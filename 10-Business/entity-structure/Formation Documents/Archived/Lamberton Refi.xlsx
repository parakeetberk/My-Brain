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stin Berk\Desktop\"/>
    </mc:Choice>
  </mc:AlternateContent>
  <xr:revisionPtr revIDLastSave="0" documentId="13_ncr:1_{593280B5-61EC-43AF-AEAF-669149EFA2B7}" xr6:coauthVersionLast="43" xr6:coauthVersionMax="43" xr10:uidLastSave="{00000000-0000-0000-0000-000000000000}"/>
  <bookViews>
    <workbookView xWindow="-120" yWindow="-120" windowWidth="51840" windowHeight="21240" xr2:uid="{F52BE19C-9BFE-4BC9-934E-A822C00CCCAF}"/>
  </bookViews>
  <sheets>
    <sheet name="Sheet1" sheetId="1" r:id="rId1"/>
    <sheet name="Sheet1 (2)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J54" i="1" l="1"/>
  <c r="J52" i="1"/>
  <c r="J51" i="1"/>
  <c r="J49" i="1"/>
  <c r="J48" i="1"/>
  <c r="D19" i="1"/>
  <c r="K39" i="1" l="1"/>
  <c r="C40" i="1" s="1"/>
  <c r="C5" i="2" l="1"/>
  <c r="C7" i="2"/>
  <c r="C9" i="2"/>
  <c r="D15" i="2" s="1"/>
  <c r="G15" i="2" s="1"/>
  <c r="C12" i="2"/>
  <c r="D12" i="2"/>
  <c r="G12" i="2" s="1"/>
  <c r="D17" i="2"/>
  <c r="G17" i="2" s="1"/>
  <c r="D28" i="2"/>
  <c r="D22" i="2" l="1"/>
  <c r="D16" i="2"/>
  <c r="G16" i="2" s="1"/>
  <c r="D21" i="2"/>
  <c r="G21" i="2" s="1"/>
  <c r="D20" i="2"/>
  <c r="D14" i="2"/>
  <c r="G14" i="2" s="1"/>
  <c r="D27" i="2"/>
  <c r="G27" i="2" s="1"/>
  <c r="D26" i="2"/>
  <c r="D25" i="2"/>
  <c r="D19" i="2"/>
  <c r="G19" i="2" s="1"/>
  <c r="D13" i="2"/>
  <c r="G13" i="2" s="1"/>
  <c r="D24" i="2"/>
  <c r="G24" i="2" s="1"/>
  <c r="D18" i="2"/>
  <c r="G18" i="2" s="1"/>
  <c r="D23" i="2"/>
  <c r="W10" i="1"/>
  <c r="W11" i="1" s="1"/>
  <c r="W12" i="1" s="1"/>
  <c r="W6" i="1"/>
  <c r="W7" i="1" s="1"/>
  <c r="F28" i="2" l="1"/>
  <c r="G28" i="2" s="1"/>
  <c r="G26" i="2"/>
  <c r="F22" i="2"/>
  <c r="G22" i="2" s="1"/>
  <c r="G20" i="2"/>
  <c r="F7" i="2" s="1"/>
  <c r="F9" i="2" s="1"/>
  <c r="G23" i="2"/>
  <c r="F25" i="2"/>
  <c r="W14" i="1"/>
  <c r="W15" i="1" s="1"/>
  <c r="W19" i="1"/>
  <c r="B18" i="1" l="1"/>
  <c r="B19" i="1" s="1"/>
  <c r="C46" i="1" l="1"/>
  <c r="C48" i="1" s="1"/>
  <c r="J39" i="1"/>
  <c r="I39" i="1"/>
  <c r="H39" i="1"/>
  <c r="G39" i="1"/>
  <c r="F39" i="1"/>
  <c r="E39" i="1"/>
  <c r="D39" i="1"/>
  <c r="C39" i="1"/>
  <c r="B12" i="1" l="1"/>
  <c r="B13" i="1" s="1"/>
  <c r="X10" i="1"/>
  <c r="X11" i="1" s="1"/>
  <c r="X12" i="1" s="1"/>
  <c r="X19" i="1" s="1"/>
  <c r="V10" i="1"/>
  <c r="V11" i="1" s="1"/>
  <c r="V12" i="1" s="1"/>
  <c r="V19" i="1" s="1"/>
  <c r="U10" i="1"/>
  <c r="U11" i="1" s="1"/>
  <c r="U12" i="1" s="1"/>
  <c r="U19" i="1" s="1"/>
  <c r="T10" i="1"/>
  <c r="T11" i="1" s="1"/>
  <c r="T12" i="1" s="1"/>
  <c r="T19" i="1" s="1"/>
  <c r="S10" i="1"/>
  <c r="S11" i="1" s="1"/>
  <c r="S12" i="1" s="1"/>
  <c r="S19" i="1" s="1"/>
  <c r="R10" i="1"/>
  <c r="R11" i="1" s="1"/>
  <c r="R12" i="1" s="1"/>
  <c r="R19" i="1" s="1"/>
  <c r="Q10" i="1"/>
  <c r="Q11" i="1" s="1"/>
  <c r="Q12" i="1" s="1"/>
  <c r="Q19" i="1" s="1"/>
  <c r="P10" i="1"/>
  <c r="P11" i="1" s="1"/>
  <c r="P12" i="1" s="1"/>
  <c r="P19" i="1" s="1"/>
  <c r="O10" i="1"/>
  <c r="O11" i="1" s="1"/>
  <c r="O12" i="1" s="1"/>
  <c r="O19" i="1" s="1"/>
  <c r="N10" i="1"/>
  <c r="N11" i="1" s="1"/>
  <c r="N12" i="1" s="1"/>
  <c r="N19" i="1" s="1"/>
  <c r="M10" i="1"/>
  <c r="M11" i="1" s="1"/>
  <c r="M12" i="1" s="1"/>
  <c r="M19" i="1" s="1"/>
  <c r="L10" i="1"/>
  <c r="L11" i="1" s="1"/>
  <c r="L12" i="1" s="1"/>
  <c r="L19" i="1" s="1"/>
  <c r="K10" i="1"/>
  <c r="K11" i="1" s="1"/>
  <c r="K12" i="1" s="1"/>
  <c r="K19" i="1" s="1"/>
  <c r="J10" i="1"/>
  <c r="J11" i="1" s="1"/>
  <c r="J12" i="1" s="1"/>
  <c r="J19" i="1" s="1"/>
  <c r="I10" i="1"/>
  <c r="I11" i="1" s="1"/>
  <c r="I12" i="1" s="1"/>
  <c r="I19" i="1" s="1"/>
  <c r="H10" i="1"/>
  <c r="H11" i="1" s="1"/>
  <c r="H12" i="1" s="1"/>
  <c r="H19" i="1" s="1"/>
  <c r="G10" i="1"/>
  <c r="G11" i="1" s="1"/>
  <c r="G12" i="1" s="1"/>
  <c r="G19" i="1" s="1"/>
  <c r="F10" i="1"/>
  <c r="F11" i="1" s="1"/>
  <c r="F12" i="1" s="1"/>
  <c r="F19" i="1" s="1"/>
  <c r="E10" i="1"/>
  <c r="E11" i="1" s="1"/>
  <c r="E12" i="1" s="1"/>
  <c r="E19" i="1" s="1"/>
  <c r="D11" i="1"/>
  <c r="D12" i="1" s="1"/>
  <c r="X6" i="1"/>
  <c r="X7" i="1" s="1"/>
  <c r="V6" i="1"/>
  <c r="V7" i="1" s="1"/>
  <c r="U6" i="1"/>
  <c r="U7" i="1" s="1"/>
  <c r="T6" i="1"/>
  <c r="T7" i="1" s="1"/>
  <c r="S6" i="1"/>
  <c r="S7" i="1" s="1"/>
  <c r="R6" i="1"/>
  <c r="R7" i="1" s="1"/>
  <c r="Q6" i="1"/>
  <c r="Q7" i="1" s="1"/>
  <c r="P6" i="1"/>
  <c r="P7" i="1" s="1"/>
  <c r="O6" i="1"/>
  <c r="O7" i="1" s="1"/>
  <c r="N6" i="1"/>
  <c r="N7" i="1" s="1"/>
  <c r="M6" i="1"/>
  <c r="M7" i="1" s="1"/>
  <c r="L6" i="1"/>
  <c r="L7" i="1" s="1"/>
  <c r="K6" i="1"/>
  <c r="K7" i="1" s="1"/>
  <c r="J6" i="1"/>
  <c r="J7" i="1" s="1"/>
  <c r="I6" i="1"/>
  <c r="I7" i="1" s="1"/>
  <c r="H6" i="1"/>
  <c r="H7" i="1" s="1"/>
  <c r="G6" i="1"/>
  <c r="G7" i="1" s="1"/>
  <c r="F6" i="1"/>
  <c r="F7" i="1" s="1"/>
  <c r="E6" i="1"/>
  <c r="D6" i="1"/>
  <c r="X14" i="1" l="1"/>
  <c r="X15" i="1" s="1"/>
  <c r="K14" i="1"/>
  <c r="K15" i="1" s="1"/>
  <c r="V14" i="1"/>
  <c r="V15" i="1" s="1"/>
  <c r="J14" i="1"/>
  <c r="J15" i="1" s="1"/>
  <c r="U14" i="1"/>
  <c r="U15" i="1" s="1"/>
  <c r="I14" i="1"/>
  <c r="I15" i="1" s="1"/>
  <c r="T14" i="1"/>
  <c r="T15" i="1" s="1"/>
  <c r="H14" i="1"/>
  <c r="H15" i="1" s="1"/>
  <c r="S14" i="1"/>
  <c r="S15" i="1" s="1"/>
  <c r="G14" i="1"/>
  <c r="G15" i="1" s="1"/>
  <c r="R14" i="1"/>
  <c r="R15" i="1" s="1"/>
  <c r="F14" i="1"/>
  <c r="F15" i="1" s="1"/>
  <c r="Q14" i="1"/>
  <c r="Q15" i="1" s="1"/>
  <c r="E14" i="1"/>
  <c r="E15" i="1" s="1"/>
  <c r="P14" i="1"/>
  <c r="P15" i="1" s="1"/>
  <c r="O14" i="1"/>
  <c r="O15" i="1" s="1"/>
  <c r="N14" i="1"/>
  <c r="N15" i="1" s="1"/>
  <c r="M14" i="1"/>
  <c r="M15" i="1" s="1"/>
  <c r="L14" i="1"/>
  <c r="L15" i="1" s="1"/>
  <c r="D14" i="1"/>
  <c r="D15" i="1" s="1"/>
</calcChain>
</file>

<file path=xl/sharedStrings.xml><?xml version="1.0" encoding="utf-8"?>
<sst xmlns="http://schemas.openxmlformats.org/spreadsheetml/2006/main" count="72" uniqueCount="65">
  <si>
    <t>GROSS INCOME</t>
  </si>
  <si>
    <t>GROSS EXPENSES</t>
  </si>
  <si>
    <t>NET OPERATING INCOME</t>
  </si>
  <si>
    <t>DISTRIBUTIONS</t>
  </si>
  <si>
    <t>PFD</t>
  </si>
  <si>
    <t>CASH FLOW</t>
  </si>
  <si>
    <t>REFI</t>
  </si>
  <si>
    <t>CASH RESERVES</t>
  </si>
  <si>
    <t>LP RETURNS</t>
  </si>
  <si>
    <t>INVESTMENT</t>
  </si>
  <si>
    <t>ADDITIONAL CASH PAID OUT</t>
  </si>
  <si>
    <t>Current Cash Balances</t>
  </si>
  <si>
    <t>Operating Account</t>
  </si>
  <si>
    <t>Reserve Account</t>
  </si>
  <si>
    <t>TOTAL</t>
  </si>
  <si>
    <t>Cash Post LP Take Out</t>
  </si>
  <si>
    <t>41 Madison Ave, Flr 35, New York, NY 10010</t>
  </si>
  <si>
    <t>Company address:</t>
  </si>
  <si>
    <t>277 Canal St, New York, NY 10013</t>
  </si>
  <si>
    <t>Bank address:</t>
  </si>
  <si>
    <t>Bank of America</t>
  </si>
  <si>
    <t>Bank name:</t>
  </si>
  <si>
    <t>EquityMultiple 40, LLC</t>
  </si>
  <si>
    <t>Account name:</t>
  </si>
  <si>
    <t>Payment Details</t>
  </si>
  <si>
    <t>Mar</t>
  </si>
  <si>
    <t>Feb</t>
  </si>
  <si>
    <t>Jan   (2019)</t>
  </si>
  <si>
    <t>Dec</t>
  </si>
  <si>
    <t xml:space="preserve">Nov </t>
  </si>
  <si>
    <t>Oct</t>
  </si>
  <si>
    <t>Sep</t>
  </si>
  <si>
    <t>Aug</t>
  </si>
  <si>
    <t>July</t>
  </si>
  <si>
    <t>Jun</t>
  </si>
  <si>
    <t>May</t>
  </si>
  <si>
    <t>Apr</t>
  </si>
  <si>
    <t>Jan</t>
  </si>
  <si>
    <t>Nov 17 (6th - 30th)</t>
  </si>
  <si>
    <t>Balance</t>
  </si>
  <si>
    <t>Paid from cash flow</t>
  </si>
  <si>
    <t>Paid from reserve</t>
  </si>
  <si>
    <t>Current Pref</t>
  </si>
  <si>
    <t>Days</t>
  </si>
  <si>
    <t>Combined reserve balance</t>
  </si>
  <si>
    <t>Current Return Per Day</t>
  </si>
  <si>
    <t>Contigency reserve balance</t>
  </si>
  <si>
    <t>Current Preferred Return (%)</t>
  </si>
  <si>
    <t>Interest reserve balance</t>
  </si>
  <si>
    <t>Investment Amount</t>
  </si>
  <si>
    <t>TOTAL EM 40 INVESTMENT</t>
  </si>
  <si>
    <t>Reserves</t>
  </si>
  <si>
    <t>EM Fees &amp; Expenses</t>
  </si>
  <si>
    <t>Net Funded Amount</t>
  </si>
  <si>
    <t>Refi Analysis</t>
  </si>
  <si>
    <t>Deal Cost</t>
  </si>
  <si>
    <t>LP Money</t>
  </si>
  <si>
    <t>GP Money</t>
  </si>
  <si>
    <t>Debt Service</t>
  </si>
  <si>
    <t>Average Monthly Collection</t>
  </si>
  <si>
    <t>Annual Collection</t>
  </si>
  <si>
    <t>Interest Rate</t>
  </si>
  <si>
    <t>Annual Debt Service</t>
  </si>
  <si>
    <t>Net Income</t>
  </si>
  <si>
    <t>Equity in Deal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</si>
</sst>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\-yy;@"/>
    <numFmt numFmtId="165" formatCode="_(* #,##0_);_(* \(#,##0\);_(* &quot;-&quot;??_);_(@_)"/>
    <numFmt numFmtId="166" formatCode="0.0%"/>
    <numFmt numFmtId="167" formatCode="[$-409]mmmm\-yy;@"/>
    <numFmt numFmtId="168" formatCode="0.000%"/>
    <numFmt numFmtId="169" formatCode="_(* #,##0.0000_);_(* \(#,##0.00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74">
    <xf numFmtId="0" fontId="0" fillId="0" borderId="0" xfId="0"/>
    <xf numFmtId="0" fontId="3" fillId="0" borderId="0" xfId="0" applyFont="1"/>
    <xf numFmtId="0" fontId="3" fillId="0" borderId="0" xfId="0" applyFont="1" applyFill="1" applyBorder="1"/>
    <xf numFmtId="14" fontId="3" fillId="0" borderId="0" xfId="0" applyNumberFormat="1" applyFont="1"/>
    <xf numFmtId="43" fontId="3" fillId="0" borderId="0" xfId="1" applyFont="1"/>
    <xf numFmtId="43" fontId="3" fillId="0" borderId="2" xfId="1" applyFont="1" applyBorder="1"/>
    <xf numFmtId="164" fontId="2" fillId="0" borderId="0" xfId="0" applyNumberFormat="1" applyFont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43" fontId="3" fillId="0" borderId="0" xfId="1" applyFont="1" applyFill="1" applyBorder="1" applyAlignment="1">
      <alignment horizontal="right"/>
    </xf>
    <xf numFmtId="43" fontId="2" fillId="0" borderId="0" xfId="1" applyFont="1" applyFill="1" applyBorder="1" applyAlignment="1">
      <alignment horizontal="right"/>
    </xf>
    <xf numFmtId="43" fontId="2" fillId="0" borderId="3" xfId="1" applyFont="1" applyFill="1" applyBorder="1" applyAlignment="1">
      <alignment horizontal="right"/>
    </xf>
    <xf numFmtId="43" fontId="3" fillId="0" borderId="3" xfId="1" applyFont="1" applyFill="1" applyBorder="1" applyAlignment="1">
      <alignment horizontal="right"/>
    </xf>
    <xf numFmtId="43" fontId="3" fillId="0" borderId="3" xfId="1" applyFont="1" applyBorder="1"/>
    <xf numFmtId="165" fontId="3" fillId="0" borderId="0" xfId="1" applyNumberFormat="1" applyFont="1"/>
    <xf numFmtId="43" fontId="3" fillId="0" borderId="0" xfId="1" applyFont="1" applyBorder="1"/>
    <xf numFmtId="43" fontId="3" fillId="0" borderId="0" xfId="1" applyFont="1" applyAlignment="1">
      <alignment horizontal="right"/>
    </xf>
    <xf numFmtId="165" fontId="3" fillId="0" borderId="0" xfId="1" applyNumberFormat="1" applyFont="1" applyAlignment="1">
      <alignment horizontal="right"/>
    </xf>
    <xf numFmtId="10" fontId="3" fillId="0" borderId="0" xfId="2" applyNumberFormat="1" applyFont="1" applyAlignment="1">
      <alignment horizontal="right"/>
    </xf>
    <xf numFmtId="43" fontId="3" fillId="0" borderId="0" xfId="0" applyNumberFormat="1" applyFont="1"/>
    <xf numFmtId="165" fontId="3" fillId="0" borderId="0" xfId="0" applyNumberFormat="1" applyFont="1" applyAlignment="1">
      <alignment horizontal="right"/>
    </xf>
    <xf numFmtId="165" fontId="3" fillId="0" borderId="0" xfId="0" applyNumberFormat="1" applyFont="1"/>
    <xf numFmtId="0" fontId="4" fillId="0" borderId="0" xfId="0" applyFont="1"/>
    <xf numFmtId="14" fontId="5" fillId="0" borderId="0" xfId="0" applyNumberFormat="1" applyFont="1"/>
    <xf numFmtId="0" fontId="5" fillId="0" borderId="0" xfId="0" applyFont="1" applyAlignment="1">
      <alignment horizontal="right"/>
    </xf>
    <xf numFmtId="43" fontId="4" fillId="0" borderId="0" xfId="1" applyFont="1"/>
    <xf numFmtId="43" fontId="4" fillId="0" borderId="1" xfId="1" applyFont="1" applyBorder="1"/>
    <xf numFmtId="10" fontId="4" fillId="0" borderId="0" xfId="2" applyNumberFormat="1" applyFont="1"/>
    <xf numFmtId="0" fontId="5" fillId="0" borderId="4" xfId="0" applyFont="1" applyBorder="1" applyAlignment="1">
      <alignment horizontal="center"/>
    </xf>
    <xf numFmtId="167" fontId="5" fillId="0" borderId="4" xfId="1" applyNumberFormat="1" applyFont="1" applyBorder="1"/>
    <xf numFmtId="0" fontId="5" fillId="0" borderId="1" xfId="0" applyFont="1" applyBorder="1" applyAlignment="1">
      <alignment horizontal="center"/>
    </xf>
    <xf numFmtId="43" fontId="4" fillId="0" borderId="0" xfId="0" applyNumberFormat="1" applyFont="1" applyFill="1"/>
    <xf numFmtId="6" fontId="4" fillId="0" borderId="0" xfId="1" applyNumberFormat="1" applyFont="1"/>
    <xf numFmtId="43" fontId="4" fillId="0" borderId="0" xfId="0" applyNumberFormat="1" applyFont="1"/>
    <xf numFmtId="166" fontId="4" fillId="0" borderId="0" xfId="2" applyNumberFormat="1" applyFont="1"/>
    <xf numFmtId="10" fontId="3" fillId="0" borderId="0" xfId="2" applyNumberFormat="1" applyFont="1"/>
    <xf numFmtId="10" fontId="4" fillId="0" borderId="0" xfId="0" applyNumberFormat="1" applyFont="1"/>
    <xf numFmtId="168" fontId="4" fillId="0" borderId="0" xfId="2" applyNumberFormat="1" applyFont="1"/>
    <xf numFmtId="0" fontId="6" fillId="0" borderId="0" xfId="3"/>
    <xf numFmtId="0" fontId="6" fillId="0" borderId="5" xfId="3" applyBorder="1"/>
    <xf numFmtId="0" fontId="6" fillId="0" borderId="4" xfId="3" applyBorder="1"/>
    <xf numFmtId="0" fontId="6" fillId="0" borderId="6" xfId="3" applyBorder="1"/>
    <xf numFmtId="0" fontId="6" fillId="0" borderId="7" xfId="3" applyBorder="1"/>
    <xf numFmtId="0" fontId="6" fillId="0" borderId="8" xfId="3" applyBorder="1"/>
    <xf numFmtId="44" fontId="6" fillId="0" borderId="0" xfId="3" applyNumberFormat="1"/>
    <xf numFmtId="0" fontId="6" fillId="0" borderId="9" xfId="3" applyBorder="1"/>
    <xf numFmtId="0" fontId="6" fillId="0" borderId="3" xfId="3" applyBorder="1"/>
    <xf numFmtId="0" fontId="7" fillId="0" borderId="10" xfId="3" applyFont="1" applyBorder="1"/>
    <xf numFmtId="44" fontId="0" fillId="0" borderId="0" xfId="4" applyFont="1"/>
    <xf numFmtId="44" fontId="6" fillId="0" borderId="5" xfId="3" applyNumberFormat="1" applyBorder="1"/>
    <xf numFmtId="44" fontId="0" fillId="0" borderId="4" xfId="4" applyFont="1" applyBorder="1"/>
    <xf numFmtId="44" fontId="6" fillId="0" borderId="7" xfId="3" applyNumberFormat="1" applyBorder="1"/>
    <xf numFmtId="44" fontId="6" fillId="0" borderId="11" xfId="3" applyNumberFormat="1" applyBorder="1"/>
    <xf numFmtId="44" fontId="0" fillId="0" borderId="1" xfId="4" applyFont="1" applyBorder="1"/>
    <xf numFmtId="0" fontId="6" fillId="0" borderId="1" xfId="3" applyBorder="1"/>
    <xf numFmtId="0" fontId="6" fillId="0" borderId="12" xfId="3" applyBorder="1"/>
    <xf numFmtId="0" fontId="6" fillId="0" borderId="11" xfId="3" applyBorder="1" applyAlignment="1">
      <alignment horizontal="right"/>
    </xf>
    <xf numFmtId="0" fontId="6" fillId="0" borderId="1" xfId="3" applyBorder="1" applyAlignment="1">
      <alignment horizontal="right"/>
    </xf>
    <xf numFmtId="44" fontId="6" fillId="3" borderId="5" xfId="3" applyNumberFormat="1" applyFill="1" applyBorder="1"/>
    <xf numFmtId="44" fontId="0" fillId="0" borderId="7" xfId="4" applyFont="1" applyBorder="1"/>
    <xf numFmtId="9" fontId="0" fillId="0" borderId="0" xfId="5" applyFont="1"/>
    <xf numFmtId="44" fontId="0" fillId="0" borderId="11" xfId="4" applyFont="1" applyBorder="1"/>
    <xf numFmtId="44" fontId="7" fillId="0" borderId="5" xfId="4" applyFont="1" applyBorder="1"/>
    <xf numFmtId="0" fontId="7" fillId="0" borderId="6" xfId="3" applyFont="1" applyBorder="1"/>
    <xf numFmtId="8" fontId="4" fillId="0" borderId="0" xfId="0" applyNumberFormat="1" applyFont="1"/>
    <xf numFmtId="169" fontId="3" fillId="0" borderId="0" xfId="1" applyNumberFormat="1" applyFont="1"/>
    <xf numFmtId="0" fontId="5" fillId="2" borderId="0" xfId="0" applyFont="1" applyFill="1" applyAlignment="1">
      <alignment horizontal="center"/>
    </xf>
    <xf numFmtId="8" fontId="3" fillId="0" borderId="0" xfId="0" applyNumberFormat="1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43" fontId="4" fillId="0" borderId="0" xfId="1" applyFont="1" applyAlignment="1">
      <alignment horizontal="right"/>
    </xf>
    <xf numFmtId="0" fontId="4" fillId="0" borderId="1" xfId="0" applyFont="1" applyBorder="1" applyAlignment="1">
      <alignment horizontal="right"/>
    </xf>
    <xf numFmtId="168" fontId="3" fillId="0" borderId="0" xfId="2" applyNumberFormat="1" applyFont="1"/>
  </cellXfs>
  <cellStyles count="6">
    <cellStyle name="Comma" xfId="1" builtinId="3"/>
    <cellStyle name="Currency 2" xfId="4" xr:uid="{EC66658C-CCA8-42B7-9918-4A4B73544484}"/>
    <cellStyle name="Normal" xfId="0" builtinId="0"/>
    <cellStyle name="Normal 2" xfId="3" xr:uid="{57504F8E-0015-4744-801E-B59FA8E358E5}"/>
    <cellStyle name="Percent" xfId="2" builtinId="5"/>
    <cellStyle name="Percent 2" xfId="5" xr:uid="{8423C1C4-4DD7-49E2-B136-A5ABE41B7A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69B52-335E-4FE4-88A8-F591FA94B247}">
  <dimension ref="A3:Z65"/>
  <sheetViews>
    <sheetView tabSelected="1" workbookViewId="0">
      <selection activeCell="L52" sqref="L52"/>
    </sheetView>
  </sheetViews>
  <sheetFormatPr defaultColWidth="9.28515625" defaultRowHeight="11.25" x14ac:dyDescent="0.2"/>
  <cols>
    <col min="1" max="1" width="9.28515625" style="1"/>
    <col min="2" max="2" width="20" style="1" bestFit="1" customWidth="1"/>
    <col min="3" max="3" width="11.28515625" style="1" bestFit="1" customWidth="1"/>
    <col min="4" max="4" width="9.5703125" style="1" bestFit="1" customWidth="1"/>
    <col min="5" max="5" width="11.28515625" style="1" bestFit="1" customWidth="1"/>
    <col min="6" max="6" width="9.140625" style="1" bestFit="1" customWidth="1"/>
    <col min="7" max="8" width="8.7109375" style="1" bestFit="1" customWidth="1"/>
    <col min="9" max="16" width="10.85546875" style="1" bestFit="1" customWidth="1"/>
    <col min="17" max="17" width="10" style="1" bestFit="1" customWidth="1"/>
    <col min="18" max="18" width="9.140625" style="1" bestFit="1" customWidth="1"/>
    <col min="19" max="19" width="10.85546875" style="1" bestFit="1" customWidth="1"/>
    <col min="20" max="20" width="10" style="1" bestFit="1" customWidth="1"/>
    <col min="21" max="21" width="10.85546875" style="1" bestFit="1" customWidth="1"/>
    <col min="22" max="22" width="8.7109375" style="1" bestFit="1" customWidth="1"/>
    <col min="23" max="24" width="9.140625" style="1" bestFit="1" customWidth="1"/>
    <col min="25" max="16384" width="9.28515625" style="1"/>
  </cols>
  <sheetData>
    <row r="3" spans="1:25" x14ac:dyDescent="0.2">
      <c r="B3" s="2"/>
      <c r="C3" s="2"/>
      <c r="D3" s="6">
        <v>43040</v>
      </c>
      <c r="E3" s="6">
        <v>43070</v>
      </c>
      <c r="F3" s="6">
        <v>43101</v>
      </c>
      <c r="G3" s="6">
        <v>43132</v>
      </c>
      <c r="H3" s="6">
        <v>43160</v>
      </c>
      <c r="I3" s="6">
        <v>43191</v>
      </c>
      <c r="J3" s="6">
        <v>43221</v>
      </c>
      <c r="K3" s="6">
        <v>43252</v>
      </c>
      <c r="L3" s="6">
        <v>43282</v>
      </c>
      <c r="M3" s="6">
        <v>43313</v>
      </c>
      <c r="N3" s="6">
        <v>43344</v>
      </c>
      <c r="O3" s="6">
        <v>43374</v>
      </c>
      <c r="P3" s="6">
        <v>43405</v>
      </c>
      <c r="Q3" s="6">
        <v>43435</v>
      </c>
      <c r="R3" s="6">
        <v>43466</v>
      </c>
      <c r="S3" s="6">
        <v>43497</v>
      </c>
      <c r="T3" s="6">
        <v>43525</v>
      </c>
      <c r="U3" s="6">
        <v>43556</v>
      </c>
      <c r="V3" s="6">
        <v>43586</v>
      </c>
      <c r="W3" s="6">
        <v>43617</v>
      </c>
      <c r="X3" s="6">
        <v>43617</v>
      </c>
      <c r="Y3" s="3"/>
    </row>
    <row r="4" spans="1:25" x14ac:dyDescent="0.2">
      <c r="B4" s="7" t="s">
        <v>0</v>
      </c>
      <c r="C4" s="7"/>
      <c r="D4" s="4">
        <v>41276.07</v>
      </c>
      <c r="E4" s="4">
        <v>21007.96</v>
      </c>
      <c r="F4" s="4">
        <v>19514.650000000001</v>
      </c>
      <c r="G4" s="4">
        <v>31586.230000000003</v>
      </c>
      <c r="H4" s="4">
        <v>20263.16</v>
      </c>
      <c r="I4" s="4">
        <v>19485.62</v>
      </c>
      <c r="J4" s="4">
        <v>18149.490000000002</v>
      </c>
      <c r="K4" s="4">
        <v>20747.8</v>
      </c>
      <c r="L4" s="4">
        <v>21081.82</v>
      </c>
      <c r="M4" s="4">
        <v>22521.95</v>
      </c>
      <c r="N4" s="4">
        <v>23839.72</v>
      </c>
      <c r="O4" s="4">
        <v>23033.48</v>
      </c>
      <c r="P4" s="4">
        <v>22127.95</v>
      </c>
      <c r="Q4" s="4">
        <v>22290.789999999997</v>
      </c>
      <c r="R4" s="4">
        <v>21186.510000000002</v>
      </c>
      <c r="S4" s="4">
        <v>22362.09</v>
      </c>
      <c r="T4" s="4">
        <v>22074.92</v>
      </c>
      <c r="U4" s="4">
        <v>21591.46</v>
      </c>
      <c r="V4" s="4">
        <v>24596.59</v>
      </c>
      <c r="W4" s="4">
        <v>19681.97</v>
      </c>
      <c r="X4" s="4">
        <v>15581</v>
      </c>
    </row>
    <row r="5" spans="1:25" x14ac:dyDescent="0.2">
      <c r="B5" s="7" t="s">
        <v>1</v>
      </c>
      <c r="C5" s="7"/>
      <c r="D5" s="4">
        <v>10754.71</v>
      </c>
      <c r="E5" s="4">
        <v>6507.17</v>
      </c>
      <c r="F5" s="4">
        <v>7907.4899999999989</v>
      </c>
      <c r="G5" s="4">
        <v>11745.77</v>
      </c>
      <c r="H5" s="4">
        <v>15232.390000000001</v>
      </c>
      <c r="I5" s="4">
        <v>9178.76</v>
      </c>
      <c r="J5" s="4">
        <v>15874.32</v>
      </c>
      <c r="K5" s="4">
        <v>9445.2799999999988</v>
      </c>
      <c r="L5" s="4">
        <v>14531.56</v>
      </c>
      <c r="M5" s="4">
        <v>11683</v>
      </c>
      <c r="N5" s="4">
        <v>11051.65</v>
      </c>
      <c r="O5" s="4">
        <v>14818.99</v>
      </c>
      <c r="P5" s="4">
        <v>9460.32</v>
      </c>
      <c r="Q5" s="4">
        <v>8342.6899999999987</v>
      </c>
      <c r="R5" s="4">
        <v>9589.94</v>
      </c>
      <c r="S5" s="4">
        <v>11617.460000000001</v>
      </c>
      <c r="T5" s="4">
        <v>13808.880000000001</v>
      </c>
      <c r="U5" s="4">
        <v>10837.55</v>
      </c>
      <c r="V5" s="4">
        <v>13431</v>
      </c>
      <c r="W5" s="4">
        <v>6033.23</v>
      </c>
      <c r="X5" s="4">
        <v>2176.9699999999998</v>
      </c>
    </row>
    <row r="6" spans="1:25" ht="12" thickBot="1" x14ac:dyDescent="0.25">
      <c r="B6" s="7" t="s">
        <v>2</v>
      </c>
      <c r="C6" s="7"/>
      <c r="D6" s="5">
        <f>+D4-D5</f>
        <v>30521.360000000001</v>
      </c>
      <c r="E6" s="5">
        <f t="shared" ref="E6:X6" si="0">+E4-E5</f>
        <v>14500.789999999999</v>
      </c>
      <c r="F6" s="5">
        <f t="shared" si="0"/>
        <v>11607.160000000003</v>
      </c>
      <c r="G6" s="5">
        <f t="shared" si="0"/>
        <v>19840.460000000003</v>
      </c>
      <c r="H6" s="5">
        <f t="shared" si="0"/>
        <v>5030.7699999999986</v>
      </c>
      <c r="I6" s="5">
        <f t="shared" si="0"/>
        <v>10306.859999999999</v>
      </c>
      <c r="J6" s="5">
        <f t="shared" si="0"/>
        <v>2275.1700000000019</v>
      </c>
      <c r="K6" s="5">
        <f t="shared" si="0"/>
        <v>11302.52</v>
      </c>
      <c r="L6" s="5">
        <f t="shared" si="0"/>
        <v>6550.26</v>
      </c>
      <c r="M6" s="5">
        <f t="shared" si="0"/>
        <v>10838.95</v>
      </c>
      <c r="N6" s="5">
        <f t="shared" si="0"/>
        <v>12788.070000000002</v>
      </c>
      <c r="O6" s="5">
        <f t="shared" si="0"/>
        <v>8214.49</v>
      </c>
      <c r="P6" s="5">
        <f t="shared" si="0"/>
        <v>12667.630000000001</v>
      </c>
      <c r="Q6" s="5">
        <f t="shared" si="0"/>
        <v>13948.099999999999</v>
      </c>
      <c r="R6" s="5">
        <f t="shared" si="0"/>
        <v>11596.570000000002</v>
      </c>
      <c r="S6" s="5">
        <f t="shared" si="0"/>
        <v>10744.63</v>
      </c>
      <c r="T6" s="5">
        <f t="shared" si="0"/>
        <v>8266.0399999999972</v>
      </c>
      <c r="U6" s="5">
        <f t="shared" si="0"/>
        <v>10753.91</v>
      </c>
      <c r="V6" s="5">
        <f t="shared" si="0"/>
        <v>11165.59</v>
      </c>
      <c r="W6" s="5">
        <f t="shared" ref="W6" si="1">+W4-W5</f>
        <v>13648.740000000002</v>
      </c>
      <c r="X6" s="5">
        <f t="shared" si="0"/>
        <v>13404.03</v>
      </c>
    </row>
    <row r="7" spans="1:25" x14ac:dyDescent="0.2">
      <c r="B7" s="8"/>
      <c r="C7" s="8"/>
      <c r="E7" s="4">
        <v>-1187000</v>
      </c>
      <c r="F7" s="36">
        <f>+F6/-$E$7</f>
        <v>9.7785678180286467E-3</v>
      </c>
      <c r="G7" s="36">
        <f t="shared" ref="G7:X7" si="2">+G6/-$E$7</f>
        <v>1.6714793597304132E-2</v>
      </c>
      <c r="H7" s="36">
        <f t="shared" si="2"/>
        <v>4.2382224094355504E-3</v>
      </c>
      <c r="I7" s="36">
        <f t="shared" si="2"/>
        <v>8.6831171019376568E-3</v>
      </c>
      <c r="J7" s="36">
        <f t="shared" si="2"/>
        <v>1.916739679865208E-3</v>
      </c>
      <c r="K7" s="36">
        <f t="shared" si="2"/>
        <v>9.5219208087615834E-3</v>
      </c>
      <c r="L7" s="36">
        <f t="shared" si="2"/>
        <v>5.5183319292333617E-3</v>
      </c>
      <c r="M7" s="36">
        <f t="shared" si="2"/>
        <v>9.1313816343723681E-3</v>
      </c>
      <c r="N7" s="36">
        <f t="shared" si="2"/>
        <v>1.0773437236731256E-2</v>
      </c>
      <c r="O7" s="36">
        <f t="shared" si="2"/>
        <v>6.9203791069924175E-3</v>
      </c>
      <c r="P7" s="36">
        <f t="shared" si="2"/>
        <v>1.0671971356360574E-2</v>
      </c>
      <c r="Q7" s="36">
        <f t="shared" si="2"/>
        <v>1.1750716090985677E-2</v>
      </c>
      <c r="R7" s="36">
        <f t="shared" si="2"/>
        <v>9.7696461668070785E-3</v>
      </c>
      <c r="S7" s="36">
        <f t="shared" si="2"/>
        <v>9.0519208087615835E-3</v>
      </c>
      <c r="T7" s="36">
        <f t="shared" si="2"/>
        <v>6.9638079191238393E-3</v>
      </c>
      <c r="U7" s="36">
        <f t="shared" si="2"/>
        <v>9.0597388374052228E-3</v>
      </c>
      <c r="V7" s="36">
        <f t="shared" si="2"/>
        <v>9.4065627632687453E-3</v>
      </c>
      <c r="W7" s="36">
        <f t="shared" ref="W7" si="3">+W6/-$E$7</f>
        <v>1.1498517270429656E-2</v>
      </c>
      <c r="X7" s="36">
        <f t="shared" si="2"/>
        <v>1.1292358887952823E-2</v>
      </c>
    </row>
    <row r="8" spans="1:25" x14ac:dyDescent="0.2">
      <c r="A8" s="4"/>
      <c r="B8" s="12" t="s">
        <v>3</v>
      </c>
      <c r="C8" s="13"/>
      <c r="D8" s="14">
        <v>0</v>
      </c>
      <c r="E8" s="14">
        <v>0</v>
      </c>
      <c r="F8" s="14">
        <v>-17966.669999999998</v>
      </c>
      <c r="G8" s="14">
        <v>0</v>
      </c>
      <c r="H8" s="14">
        <v>0</v>
      </c>
      <c r="I8" s="14">
        <v>-28874.99</v>
      </c>
      <c r="J8" s="14">
        <v>0</v>
      </c>
      <c r="K8" s="14">
        <v>0</v>
      </c>
      <c r="L8" s="14">
        <v>-29195.83</v>
      </c>
      <c r="M8" s="14">
        <v>0</v>
      </c>
      <c r="N8" s="14">
        <v>0</v>
      </c>
      <c r="O8" s="14">
        <v>-29516.66</v>
      </c>
      <c r="P8" s="14">
        <v>0</v>
      </c>
      <c r="Q8" s="14">
        <v>0</v>
      </c>
      <c r="R8" s="14">
        <v>-29195.83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</row>
    <row r="9" spans="1:25" x14ac:dyDescent="0.2">
      <c r="A9" s="4"/>
      <c r="B9" s="11"/>
      <c r="C9" s="10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 spans="1:25" x14ac:dyDescent="0.2">
      <c r="B10" s="18">
        <v>1050000</v>
      </c>
      <c r="C10" s="3">
        <v>43775</v>
      </c>
      <c r="D10" s="3">
        <v>43775</v>
      </c>
      <c r="E10" s="3">
        <f t="shared" ref="E10:X10" si="4">+E3</f>
        <v>43070</v>
      </c>
      <c r="F10" s="3">
        <f t="shared" si="4"/>
        <v>43101</v>
      </c>
      <c r="G10" s="3">
        <f t="shared" si="4"/>
        <v>43132</v>
      </c>
      <c r="H10" s="3">
        <f t="shared" si="4"/>
        <v>43160</v>
      </c>
      <c r="I10" s="3">
        <f t="shared" si="4"/>
        <v>43191</v>
      </c>
      <c r="J10" s="3">
        <f t="shared" si="4"/>
        <v>43221</v>
      </c>
      <c r="K10" s="3">
        <f t="shared" si="4"/>
        <v>43252</v>
      </c>
      <c r="L10" s="3">
        <f t="shared" si="4"/>
        <v>43282</v>
      </c>
      <c r="M10" s="3">
        <f t="shared" si="4"/>
        <v>43313</v>
      </c>
      <c r="N10" s="3">
        <f t="shared" si="4"/>
        <v>43344</v>
      </c>
      <c r="O10" s="3">
        <f t="shared" si="4"/>
        <v>43374</v>
      </c>
      <c r="P10" s="3">
        <f t="shared" si="4"/>
        <v>43405</v>
      </c>
      <c r="Q10" s="3">
        <f t="shared" si="4"/>
        <v>43435</v>
      </c>
      <c r="R10" s="3">
        <f t="shared" si="4"/>
        <v>43466</v>
      </c>
      <c r="S10" s="3">
        <f t="shared" si="4"/>
        <v>43497</v>
      </c>
      <c r="T10" s="3">
        <f t="shared" si="4"/>
        <v>43525</v>
      </c>
      <c r="U10" s="3">
        <f t="shared" si="4"/>
        <v>43556</v>
      </c>
      <c r="V10" s="3">
        <f t="shared" si="4"/>
        <v>43586</v>
      </c>
      <c r="W10" s="3">
        <f t="shared" ref="W10" si="5">+W3</f>
        <v>43617</v>
      </c>
      <c r="X10" s="3">
        <f t="shared" si="4"/>
        <v>43617</v>
      </c>
    </row>
    <row r="11" spans="1:25" x14ac:dyDescent="0.2">
      <c r="B11" s="19">
        <v>0.11</v>
      </c>
      <c r="C11" s="8"/>
      <c r="D11" s="3">
        <f>EOMONTH(D10,0)</f>
        <v>43799</v>
      </c>
      <c r="E11" s="3">
        <f t="shared" ref="E11:X11" si="6">EOMONTH(E10,0)</f>
        <v>43100</v>
      </c>
      <c r="F11" s="3">
        <f t="shared" si="6"/>
        <v>43131</v>
      </c>
      <c r="G11" s="3">
        <f t="shared" si="6"/>
        <v>43159</v>
      </c>
      <c r="H11" s="3">
        <f t="shared" si="6"/>
        <v>43190</v>
      </c>
      <c r="I11" s="3">
        <f t="shared" si="6"/>
        <v>43220</v>
      </c>
      <c r="J11" s="3">
        <f t="shared" si="6"/>
        <v>43251</v>
      </c>
      <c r="K11" s="3">
        <f t="shared" si="6"/>
        <v>43281</v>
      </c>
      <c r="L11" s="3">
        <f t="shared" si="6"/>
        <v>43312</v>
      </c>
      <c r="M11" s="3">
        <f t="shared" si="6"/>
        <v>43343</v>
      </c>
      <c r="N11" s="3">
        <f t="shared" si="6"/>
        <v>43373</v>
      </c>
      <c r="O11" s="3">
        <f t="shared" si="6"/>
        <v>43404</v>
      </c>
      <c r="P11" s="3">
        <f t="shared" si="6"/>
        <v>43434</v>
      </c>
      <c r="Q11" s="3">
        <f t="shared" si="6"/>
        <v>43465</v>
      </c>
      <c r="R11" s="3">
        <f t="shared" si="6"/>
        <v>43496</v>
      </c>
      <c r="S11" s="3">
        <f t="shared" si="6"/>
        <v>43524</v>
      </c>
      <c r="T11" s="3">
        <f t="shared" si="6"/>
        <v>43555</v>
      </c>
      <c r="U11" s="3">
        <f t="shared" si="6"/>
        <v>43585</v>
      </c>
      <c r="V11" s="3">
        <f t="shared" si="6"/>
        <v>43616</v>
      </c>
      <c r="W11" s="3">
        <f t="shared" ref="W11" si="7">EOMONTH(W10,0)</f>
        <v>43646</v>
      </c>
      <c r="X11" s="3">
        <f t="shared" si="6"/>
        <v>43646</v>
      </c>
    </row>
    <row r="12" spans="1:25" x14ac:dyDescent="0.2">
      <c r="B12" s="17">
        <f>+B10*B11</f>
        <v>115500</v>
      </c>
      <c r="C12" s="8"/>
      <c r="D12" s="15">
        <f>_xlfn.DAYS(D11,D10)+1</f>
        <v>25</v>
      </c>
      <c r="E12" s="15">
        <f t="shared" ref="E12:X12" si="8">_xlfn.DAYS(E11,E10)+1</f>
        <v>31</v>
      </c>
      <c r="F12" s="15">
        <f t="shared" si="8"/>
        <v>31</v>
      </c>
      <c r="G12" s="15">
        <f t="shared" si="8"/>
        <v>28</v>
      </c>
      <c r="H12" s="15">
        <f t="shared" si="8"/>
        <v>31</v>
      </c>
      <c r="I12" s="15">
        <f t="shared" si="8"/>
        <v>30</v>
      </c>
      <c r="J12" s="15">
        <f t="shared" si="8"/>
        <v>31</v>
      </c>
      <c r="K12" s="15">
        <f t="shared" si="8"/>
        <v>30</v>
      </c>
      <c r="L12" s="15">
        <f t="shared" si="8"/>
        <v>31</v>
      </c>
      <c r="M12" s="15">
        <f t="shared" si="8"/>
        <v>31</v>
      </c>
      <c r="N12" s="15">
        <f t="shared" si="8"/>
        <v>30</v>
      </c>
      <c r="O12" s="15">
        <f t="shared" si="8"/>
        <v>31</v>
      </c>
      <c r="P12" s="15">
        <f t="shared" si="8"/>
        <v>30</v>
      </c>
      <c r="Q12" s="15">
        <f t="shared" si="8"/>
        <v>31</v>
      </c>
      <c r="R12" s="15">
        <f t="shared" si="8"/>
        <v>31</v>
      </c>
      <c r="S12" s="15">
        <f t="shared" si="8"/>
        <v>28</v>
      </c>
      <c r="T12" s="15">
        <f t="shared" si="8"/>
        <v>31</v>
      </c>
      <c r="U12" s="15">
        <f t="shared" si="8"/>
        <v>30</v>
      </c>
      <c r="V12" s="15">
        <f t="shared" si="8"/>
        <v>31</v>
      </c>
      <c r="W12" s="15">
        <f t="shared" ref="W12" si="9">_xlfn.DAYS(W11,W10)+1</f>
        <v>30</v>
      </c>
      <c r="X12" s="15">
        <f t="shared" si="8"/>
        <v>30</v>
      </c>
    </row>
    <row r="13" spans="1:25" x14ac:dyDescent="0.2">
      <c r="B13" s="17">
        <f>+B12/360</f>
        <v>320.83333333333331</v>
      </c>
      <c r="C13" s="9"/>
    </row>
    <row r="14" spans="1:25" x14ac:dyDescent="0.2">
      <c r="C14" s="9"/>
      <c r="D14" s="20">
        <f t="shared" ref="D14:X14" si="10">+$B$13*D12</f>
        <v>8020.833333333333</v>
      </c>
      <c r="E14" s="20">
        <f t="shared" si="10"/>
        <v>9945.8333333333321</v>
      </c>
      <c r="F14" s="20">
        <f t="shared" si="10"/>
        <v>9945.8333333333321</v>
      </c>
      <c r="G14" s="20">
        <f t="shared" si="10"/>
        <v>8983.3333333333321</v>
      </c>
      <c r="H14" s="20">
        <f t="shared" si="10"/>
        <v>9945.8333333333321</v>
      </c>
      <c r="I14" s="20">
        <f t="shared" si="10"/>
        <v>9625</v>
      </c>
      <c r="J14" s="20">
        <f t="shared" si="10"/>
        <v>9945.8333333333321</v>
      </c>
      <c r="K14" s="20">
        <f t="shared" si="10"/>
        <v>9625</v>
      </c>
      <c r="L14" s="20">
        <f t="shared" si="10"/>
        <v>9945.8333333333321</v>
      </c>
      <c r="M14" s="20">
        <f t="shared" si="10"/>
        <v>9945.8333333333321</v>
      </c>
      <c r="N14" s="20">
        <f t="shared" si="10"/>
        <v>9625</v>
      </c>
      <c r="O14" s="20">
        <f t="shared" si="10"/>
        <v>9945.8333333333321</v>
      </c>
      <c r="P14" s="20">
        <f t="shared" si="10"/>
        <v>9625</v>
      </c>
      <c r="Q14" s="20">
        <f t="shared" si="10"/>
        <v>9945.8333333333321</v>
      </c>
      <c r="R14" s="20">
        <f t="shared" si="10"/>
        <v>9945.8333333333321</v>
      </c>
      <c r="S14" s="20">
        <f t="shared" si="10"/>
        <v>8983.3333333333321</v>
      </c>
      <c r="T14" s="20">
        <f t="shared" si="10"/>
        <v>9945.8333333333321</v>
      </c>
      <c r="U14" s="20">
        <f t="shared" si="10"/>
        <v>9625</v>
      </c>
      <c r="V14" s="20">
        <f t="shared" si="10"/>
        <v>9945.8333333333321</v>
      </c>
      <c r="W14" s="20">
        <f t="shared" ref="W14" si="11">+$B$13*W12</f>
        <v>9625</v>
      </c>
      <c r="X14" s="20">
        <f t="shared" si="10"/>
        <v>9625</v>
      </c>
    </row>
    <row r="15" spans="1:25" x14ac:dyDescent="0.2">
      <c r="C15" s="1" t="s">
        <v>4</v>
      </c>
      <c r="D15" s="20">
        <f>+D14</f>
        <v>8020.833333333333</v>
      </c>
      <c r="E15" s="20">
        <f t="shared" ref="E15:X15" si="12">+E14</f>
        <v>9945.8333333333321</v>
      </c>
      <c r="F15" s="20">
        <f t="shared" si="12"/>
        <v>9945.8333333333321</v>
      </c>
      <c r="G15" s="20">
        <f t="shared" si="12"/>
        <v>8983.3333333333321</v>
      </c>
      <c r="H15" s="20">
        <f t="shared" si="12"/>
        <v>9945.8333333333321</v>
      </c>
      <c r="I15" s="20">
        <f t="shared" si="12"/>
        <v>9625</v>
      </c>
      <c r="J15" s="20">
        <f t="shared" si="12"/>
        <v>9945.8333333333321</v>
      </c>
      <c r="K15" s="20">
        <f t="shared" si="12"/>
        <v>9625</v>
      </c>
      <c r="L15" s="20">
        <f t="shared" si="12"/>
        <v>9945.8333333333321</v>
      </c>
      <c r="M15" s="20">
        <f t="shared" si="12"/>
        <v>9945.8333333333321</v>
      </c>
      <c r="N15" s="20">
        <f t="shared" si="12"/>
        <v>9625</v>
      </c>
      <c r="O15" s="20">
        <f t="shared" si="12"/>
        <v>9945.8333333333321</v>
      </c>
      <c r="P15" s="20">
        <f t="shared" si="12"/>
        <v>9625</v>
      </c>
      <c r="Q15" s="20">
        <f t="shared" si="12"/>
        <v>9945.8333333333321</v>
      </c>
      <c r="R15" s="20">
        <f t="shared" si="12"/>
        <v>9945.8333333333321</v>
      </c>
      <c r="S15" s="20">
        <f t="shared" si="12"/>
        <v>8983.3333333333321</v>
      </c>
      <c r="T15" s="20">
        <f t="shared" si="12"/>
        <v>9945.8333333333321</v>
      </c>
      <c r="U15" s="20">
        <f t="shared" si="12"/>
        <v>9625</v>
      </c>
      <c r="V15" s="20">
        <f t="shared" si="12"/>
        <v>9945.8333333333321</v>
      </c>
      <c r="W15" s="20">
        <f t="shared" ref="W15" si="13">+W14</f>
        <v>9625</v>
      </c>
      <c r="X15" s="20">
        <f t="shared" si="12"/>
        <v>9625</v>
      </c>
    </row>
    <row r="16" spans="1:25" x14ac:dyDescent="0.2">
      <c r="B16" s="18">
        <v>275000</v>
      </c>
      <c r="C16" s="9"/>
    </row>
    <row r="17" spans="2:24" x14ac:dyDescent="0.2">
      <c r="B17" s="19">
        <v>0.11</v>
      </c>
      <c r="C17" s="21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</row>
    <row r="18" spans="2:24" x14ac:dyDescent="0.2">
      <c r="B18" s="17">
        <f>+B16*B17</f>
        <v>30250</v>
      </c>
      <c r="C18" s="9"/>
      <c r="W18" s="4"/>
      <c r="X18" s="4"/>
    </row>
    <row r="19" spans="2:24" x14ac:dyDescent="0.2">
      <c r="B19" s="17">
        <f>+B18/360</f>
        <v>84.027777777777771</v>
      </c>
      <c r="C19" s="21"/>
      <c r="D19" s="20">
        <f>+D12*$B$19</f>
        <v>2100.6944444444443</v>
      </c>
      <c r="E19" s="20">
        <f t="shared" ref="E19:X19" si="14">+E12*$B$19</f>
        <v>2604.8611111111109</v>
      </c>
      <c r="F19" s="20">
        <f t="shared" si="14"/>
        <v>2604.8611111111109</v>
      </c>
      <c r="G19" s="20">
        <f t="shared" si="14"/>
        <v>2352.7777777777774</v>
      </c>
      <c r="H19" s="20">
        <f t="shared" si="14"/>
        <v>2604.8611111111109</v>
      </c>
      <c r="I19" s="20">
        <f t="shared" si="14"/>
        <v>2520.833333333333</v>
      </c>
      <c r="J19" s="20">
        <f t="shared" si="14"/>
        <v>2604.8611111111109</v>
      </c>
      <c r="K19" s="20">
        <f t="shared" si="14"/>
        <v>2520.833333333333</v>
      </c>
      <c r="L19" s="20">
        <f t="shared" si="14"/>
        <v>2604.8611111111109</v>
      </c>
      <c r="M19" s="20">
        <f t="shared" si="14"/>
        <v>2604.8611111111109</v>
      </c>
      <c r="N19" s="20">
        <f t="shared" si="14"/>
        <v>2520.833333333333</v>
      </c>
      <c r="O19" s="20">
        <f t="shared" si="14"/>
        <v>2604.8611111111109</v>
      </c>
      <c r="P19" s="20">
        <f t="shared" si="14"/>
        <v>2520.833333333333</v>
      </c>
      <c r="Q19" s="20">
        <f t="shared" si="14"/>
        <v>2604.8611111111109</v>
      </c>
      <c r="R19" s="20">
        <f t="shared" si="14"/>
        <v>2604.8611111111109</v>
      </c>
      <c r="S19" s="20">
        <f t="shared" si="14"/>
        <v>2352.7777777777774</v>
      </c>
      <c r="T19" s="20">
        <f t="shared" si="14"/>
        <v>2604.8611111111109</v>
      </c>
      <c r="U19" s="20">
        <f t="shared" si="14"/>
        <v>2520.833333333333</v>
      </c>
      <c r="V19" s="20">
        <f t="shared" si="14"/>
        <v>2604.8611111111109</v>
      </c>
      <c r="W19" s="20">
        <f t="shared" ref="W19" si="15">+W12*$B$19</f>
        <v>2520.833333333333</v>
      </c>
      <c r="X19" s="20">
        <f t="shared" si="14"/>
        <v>2520.833333333333</v>
      </c>
    </row>
    <row r="20" spans="2:24" x14ac:dyDescent="0.2">
      <c r="B20" s="9"/>
      <c r="C20" s="9"/>
      <c r="I20" s="9"/>
      <c r="O20" s="9"/>
      <c r="U20" s="9"/>
    </row>
    <row r="21" spans="2:24" x14ac:dyDescent="0.2">
      <c r="C21" s="22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</row>
    <row r="23" spans="2:24" s="23" customFormat="1" x14ac:dyDescent="0.2"/>
    <row r="24" spans="2:24" s="23" customFormat="1" x14ac:dyDescent="0.2">
      <c r="C24" s="24">
        <v>43009</v>
      </c>
      <c r="D24" s="24">
        <v>43040</v>
      </c>
      <c r="E24" s="24">
        <v>43070</v>
      </c>
      <c r="F24" s="24">
        <v>43101</v>
      </c>
      <c r="G24" s="24">
        <v>43132</v>
      </c>
      <c r="H24" s="24">
        <v>43160</v>
      </c>
      <c r="I24" s="24">
        <v>43191</v>
      </c>
      <c r="J24" s="24">
        <v>43221</v>
      </c>
      <c r="K24" s="24">
        <v>43252</v>
      </c>
      <c r="L24" s="24">
        <v>43282</v>
      </c>
      <c r="M24" s="24">
        <v>43313</v>
      </c>
      <c r="N24" s="24">
        <v>43344</v>
      </c>
      <c r="O24" s="24">
        <v>43374</v>
      </c>
      <c r="P24" s="24">
        <v>43405</v>
      </c>
      <c r="Q24" s="24">
        <v>43435</v>
      </c>
      <c r="R24" s="24">
        <v>43466</v>
      </c>
      <c r="S24" s="24">
        <v>43497</v>
      </c>
      <c r="T24" s="24">
        <v>43525</v>
      </c>
      <c r="U24" s="24">
        <v>43556</v>
      </c>
      <c r="V24" s="24">
        <v>43586</v>
      </c>
      <c r="W24" s="24">
        <v>43617</v>
      </c>
      <c r="X24" s="24">
        <v>43617</v>
      </c>
    </row>
    <row r="25" spans="2:24" s="23" customFormat="1" x14ac:dyDescent="0.2">
      <c r="B25" s="25" t="s">
        <v>5</v>
      </c>
      <c r="C25" s="26"/>
      <c r="D25" s="26">
        <v>8578.8700000000008</v>
      </c>
      <c r="E25" s="26">
        <v>13914.520000000002</v>
      </c>
      <c r="F25" s="26">
        <v>13466.549999999997</v>
      </c>
      <c r="G25" s="26">
        <v>15666.539999999999</v>
      </c>
      <c r="H25" s="26">
        <v>10256.61</v>
      </c>
      <c r="I25" s="26">
        <v>10343.600000000002</v>
      </c>
      <c r="J25" s="26">
        <v>1324.5799999999981</v>
      </c>
      <c r="K25" s="26">
        <v>9823.4</v>
      </c>
      <c r="L25" s="26">
        <v>4262.9300000000021</v>
      </c>
      <c r="M25" s="26">
        <v>9444.5</v>
      </c>
      <c r="N25" s="26">
        <v>13220.410000000002</v>
      </c>
      <c r="O25" s="26">
        <v>11447.210000000005</v>
      </c>
      <c r="P25" s="26">
        <v>12909.96</v>
      </c>
      <c r="Q25" s="26">
        <v>14648.339999999998</v>
      </c>
      <c r="R25" s="26">
        <v>9651.7287999999971</v>
      </c>
      <c r="S25" s="26">
        <v>10744.63</v>
      </c>
      <c r="T25" s="26">
        <v>8266.0399999999972</v>
      </c>
      <c r="U25" s="26">
        <v>11146.96</v>
      </c>
      <c r="V25" s="26">
        <v>15265.59</v>
      </c>
      <c r="W25" s="26">
        <v>10906.46</v>
      </c>
      <c r="X25" s="26">
        <v>10906.46</v>
      </c>
    </row>
    <row r="26" spans="2:24" s="23" customFormat="1" x14ac:dyDescent="0.2">
      <c r="B26" s="25" t="s">
        <v>9</v>
      </c>
      <c r="C26" s="26">
        <v>-1050000</v>
      </c>
      <c r="D26" s="26">
        <v>0</v>
      </c>
      <c r="E26" s="26">
        <v>0</v>
      </c>
      <c r="F26" s="26">
        <v>0</v>
      </c>
      <c r="G26" s="26">
        <v>0</v>
      </c>
      <c r="H26" s="26">
        <v>0</v>
      </c>
      <c r="I26" s="26">
        <v>0</v>
      </c>
      <c r="J26" s="26">
        <v>0</v>
      </c>
      <c r="K26" s="26">
        <v>0</v>
      </c>
      <c r="L26" s="26">
        <v>0</v>
      </c>
      <c r="M26" s="26">
        <v>0</v>
      </c>
      <c r="N26" s="26">
        <v>0</v>
      </c>
      <c r="O26" s="26">
        <v>0</v>
      </c>
      <c r="P26" s="26">
        <v>0</v>
      </c>
      <c r="Q26" s="26">
        <v>0</v>
      </c>
      <c r="R26" s="26">
        <v>0</v>
      </c>
      <c r="S26" s="26">
        <v>0</v>
      </c>
      <c r="T26" s="26">
        <v>0</v>
      </c>
      <c r="U26" s="26">
        <v>0</v>
      </c>
      <c r="V26" s="26">
        <v>0</v>
      </c>
      <c r="W26" s="26">
        <v>0</v>
      </c>
      <c r="X26" s="26">
        <v>0</v>
      </c>
    </row>
    <row r="27" spans="2:24" s="23" customFormat="1" x14ac:dyDescent="0.2">
      <c r="B27" s="25" t="s">
        <v>4</v>
      </c>
      <c r="C27" s="26"/>
      <c r="D27" s="26">
        <v>8020.83</v>
      </c>
      <c r="E27" s="26">
        <v>9945.83</v>
      </c>
      <c r="F27" s="26">
        <v>9945.83</v>
      </c>
      <c r="G27" s="26">
        <v>8983.33</v>
      </c>
      <c r="H27" s="26">
        <v>9945.83</v>
      </c>
      <c r="I27" s="26">
        <v>9625</v>
      </c>
      <c r="J27" s="26">
        <v>9945.83</v>
      </c>
      <c r="K27" s="26">
        <v>9625</v>
      </c>
      <c r="L27" s="26">
        <v>9945.83</v>
      </c>
      <c r="M27" s="26">
        <v>9945.83</v>
      </c>
      <c r="N27" s="26">
        <v>9625</v>
      </c>
      <c r="O27" s="26">
        <v>9945.83</v>
      </c>
      <c r="P27" s="26">
        <v>9625</v>
      </c>
      <c r="Q27" s="26">
        <v>9945.83</v>
      </c>
      <c r="R27" s="26">
        <v>9945.83</v>
      </c>
      <c r="S27" s="26">
        <v>8983.33</v>
      </c>
      <c r="T27" s="26">
        <v>9945.83</v>
      </c>
      <c r="U27" s="26">
        <v>9625</v>
      </c>
      <c r="V27" s="26">
        <v>9945.8333333333321</v>
      </c>
      <c r="W27" s="26">
        <v>9625</v>
      </c>
      <c r="X27" s="26">
        <v>9625</v>
      </c>
    </row>
    <row r="28" spans="2:24" s="23" customFormat="1" x14ac:dyDescent="0.2">
      <c r="B28" s="25" t="s">
        <v>6</v>
      </c>
      <c r="C28" s="26"/>
      <c r="D28" s="26">
        <v>0</v>
      </c>
      <c r="E28" s="26">
        <v>0</v>
      </c>
      <c r="F28" s="26">
        <v>0</v>
      </c>
      <c r="G28" s="26">
        <v>0</v>
      </c>
      <c r="H28" s="26">
        <v>0</v>
      </c>
      <c r="I28" s="26">
        <v>0</v>
      </c>
      <c r="J28" s="26">
        <v>0</v>
      </c>
      <c r="K28" s="26">
        <v>0</v>
      </c>
      <c r="L28" s="26">
        <v>0</v>
      </c>
      <c r="M28" s="26">
        <v>0</v>
      </c>
      <c r="N28" s="26">
        <v>0</v>
      </c>
      <c r="O28" s="26">
        <v>0</v>
      </c>
      <c r="P28" s="26">
        <v>0</v>
      </c>
      <c r="Q28" s="26">
        <v>0</v>
      </c>
      <c r="R28" s="26">
        <v>0</v>
      </c>
      <c r="S28" s="26">
        <v>0</v>
      </c>
      <c r="T28" s="26">
        <v>0</v>
      </c>
      <c r="U28" s="26"/>
      <c r="V28" s="26"/>
      <c r="W28" s="26"/>
      <c r="X28" s="26"/>
    </row>
    <row r="29" spans="2:24" s="23" customFormat="1" x14ac:dyDescent="0.2">
      <c r="B29" s="25" t="s">
        <v>7</v>
      </c>
      <c r="C29" s="26"/>
      <c r="D29" s="26">
        <v>0</v>
      </c>
      <c r="E29" s="26">
        <v>0</v>
      </c>
      <c r="F29" s="26">
        <v>0</v>
      </c>
      <c r="G29" s="26">
        <v>0</v>
      </c>
      <c r="H29" s="26">
        <v>0</v>
      </c>
      <c r="I29" s="26">
        <v>0</v>
      </c>
      <c r="J29" s="26">
        <v>0</v>
      </c>
      <c r="K29" s="26">
        <v>0</v>
      </c>
      <c r="L29" s="26">
        <v>0</v>
      </c>
      <c r="M29" s="26">
        <v>0</v>
      </c>
      <c r="N29" s="26">
        <v>0</v>
      </c>
      <c r="O29" s="26">
        <v>0</v>
      </c>
      <c r="P29" s="26">
        <v>0</v>
      </c>
      <c r="Q29" s="26">
        <v>0</v>
      </c>
      <c r="R29" s="26">
        <v>0</v>
      </c>
      <c r="S29" s="26">
        <v>0</v>
      </c>
      <c r="T29" s="26">
        <v>0</v>
      </c>
      <c r="U29" s="26"/>
      <c r="V29" s="26"/>
      <c r="W29" s="26"/>
      <c r="X29" s="26"/>
    </row>
    <row r="30" spans="2:24" s="23" customFormat="1" x14ac:dyDescent="0.2"/>
    <row r="31" spans="2:24" s="23" customFormat="1" x14ac:dyDescent="0.2"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</row>
    <row r="32" spans="2:24" s="23" customFormat="1" x14ac:dyDescent="0.2">
      <c r="C32" s="28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</row>
    <row r="33" spans="2:23" s="23" customFormat="1" x14ac:dyDescent="0.2">
      <c r="B33" s="69" t="s">
        <v>54</v>
      </c>
      <c r="C33" s="69"/>
      <c r="D33" s="69"/>
      <c r="E33" s="69"/>
      <c r="F33" s="69"/>
      <c r="G33" s="69"/>
      <c r="H33" s="69"/>
      <c r="I33" s="69"/>
      <c r="J33" s="69"/>
      <c r="K33" s="69"/>
      <c r="L33" s="26"/>
      <c r="M33" s="26"/>
      <c r="N33" s="26"/>
      <c r="O33" s="26"/>
      <c r="P33" s="26"/>
      <c r="Q33" s="26"/>
      <c r="R33" s="26"/>
      <c r="S33" s="26"/>
      <c r="T33" s="26"/>
    </row>
    <row r="34" spans="2:23" s="23" customFormat="1" x14ac:dyDescent="0.2">
      <c r="B34" s="29" t="s">
        <v>8</v>
      </c>
      <c r="C34" s="30">
        <v>43040</v>
      </c>
      <c r="D34" s="30">
        <v>43101</v>
      </c>
      <c r="E34" s="30">
        <v>43191</v>
      </c>
      <c r="F34" s="30">
        <v>43282</v>
      </c>
      <c r="G34" s="30">
        <v>43374</v>
      </c>
      <c r="H34" s="30">
        <v>43466</v>
      </c>
      <c r="I34" s="30">
        <v>43556</v>
      </c>
      <c r="J34" s="30">
        <v>43647</v>
      </c>
      <c r="K34" s="30">
        <v>43739</v>
      </c>
      <c r="L34" s="26"/>
      <c r="M34" s="26"/>
      <c r="N34" s="26"/>
      <c r="O34" s="26"/>
      <c r="P34" s="26"/>
      <c r="Q34" s="26"/>
      <c r="R34" s="26"/>
      <c r="S34" s="26"/>
      <c r="T34" s="26"/>
    </row>
    <row r="35" spans="2:23" s="23" customFormat="1" x14ac:dyDescent="0.2">
      <c r="B35" s="25" t="s">
        <v>9</v>
      </c>
      <c r="C35" s="26">
        <v>-1050000</v>
      </c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</row>
    <row r="36" spans="2:23" s="23" customFormat="1" x14ac:dyDescent="0.2">
      <c r="B36" s="25" t="s">
        <v>4</v>
      </c>
      <c r="C36" s="26"/>
      <c r="D36" s="26">
        <v>17966.669999999998</v>
      </c>
      <c r="E36" s="26">
        <v>28875</v>
      </c>
      <c r="F36" s="26">
        <v>29195.83</v>
      </c>
      <c r="G36" s="26">
        <v>29516.66</v>
      </c>
      <c r="H36" s="26">
        <v>29516.660000000003</v>
      </c>
      <c r="I36" s="26">
        <v>28874.989999999998</v>
      </c>
      <c r="J36" s="26">
        <v>29195.833333333332</v>
      </c>
      <c r="K36" s="26">
        <v>29516.66</v>
      </c>
      <c r="L36" s="26"/>
      <c r="M36" s="26"/>
      <c r="N36" s="26"/>
      <c r="O36" s="26"/>
      <c r="P36" s="26"/>
      <c r="Q36" s="26"/>
      <c r="R36" s="26"/>
      <c r="S36" s="26"/>
      <c r="T36" s="26"/>
    </row>
    <row r="37" spans="2:23" s="23" customFormat="1" x14ac:dyDescent="0.2">
      <c r="B37" s="25" t="s">
        <v>6</v>
      </c>
      <c r="C37" s="26">
        <v>0</v>
      </c>
      <c r="D37" s="26">
        <v>0</v>
      </c>
      <c r="E37" s="26">
        <v>0</v>
      </c>
      <c r="F37" s="26">
        <v>0</v>
      </c>
      <c r="G37" s="26">
        <v>0</v>
      </c>
      <c r="H37" s="26">
        <v>0</v>
      </c>
      <c r="I37" s="26">
        <v>0</v>
      </c>
      <c r="J37" s="26">
        <v>0</v>
      </c>
      <c r="K37" s="26">
        <v>1085000</v>
      </c>
      <c r="L37" s="26"/>
      <c r="M37" s="26"/>
      <c r="N37" s="26"/>
      <c r="O37" s="26"/>
      <c r="P37" s="26"/>
      <c r="Q37" s="26"/>
      <c r="R37" s="26"/>
      <c r="S37" s="26"/>
      <c r="T37" s="26"/>
    </row>
    <row r="38" spans="2:23" s="23" customFormat="1" x14ac:dyDescent="0.2">
      <c r="B38" s="25" t="s">
        <v>10</v>
      </c>
      <c r="C38" s="26">
        <v>0</v>
      </c>
      <c r="D38" s="26">
        <v>0</v>
      </c>
      <c r="E38" s="26">
        <v>0</v>
      </c>
      <c r="F38" s="26">
        <v>0</v>
      </c>
      <c r="G38" s="26">
        <v>0</v>
      </c>
      <c r="H38" s="26">
        <v>0</v>
      </c>
      <c r="I38" s="26">
        <v>0</v>
      </c>
      <c r="J38" s="26">
        <v>0</v>
      </c>
      <c r="K38" s="26">
        <v>15480.710559796538</v>
      </c>
      <c r="L38" s="26"/>
      <c r="M38" s="26"/>
      <c r="N38" s="26"/>
      <c r="O38" s="26"/>
      <c r="P38" s="33"/>
      <c r="Q38" s="26"/>
      <c r="R38" s="26"/>
      <c r="S38" s="26"/>
      <c r="T38" s="26"/>
    </row>
    <row r="39" spans="2:23" s="23" customFormat="1" x14ac:dyDescent="0.2">
      <c r="C39" s="27">
        <f>SUM(C35:C38)</f>
        <v>-1050000</v>
      </c>
      <c r="D39" s="27">
        <f t="shared" ref="D39:J39" si="16">SUM(D35:D38)</f>
        <v>17966.669999999998</v>
      </c>
      <c r="E39" s="27">
        <f t="shared" si="16"/>
        <v>28875</v>
      </c>
      <c r="F39" s="27">
        <f t="shared" si="16"/>
        <v>29195.83</v>
      </c>
      <c r="G39" s="27">
        <f t="shared" si="16"/>
        <v>29516.66</v>
      </c>
      <c r="H39" s="27">
        <f t="shared" si="16"/>
        <v>29516.660000000003</v>
      </c>
      <c r="I39" s="27">
        <f t="shared" si="16"/>
        <v>28874.989999999998</v>
      </c>
      <c r="J39" s="27">
        <f t="shared" si="16"/>
        <v>29195.833333333332</v>
      </c>
      <c r="K39" s="27">
        <f t="shared" ref="K39" si="17">SUM(K35:K38)</f>
        <v>1129997.3705597965</v>
      </c>
      <c r="L39" s="26"/>
      <c r="M39" s="26"/>
      <c r="N39" s="26"/>
      <c r="O39" s="28"/>
      <c r="P39" s="26"/>
      <c r="Q39" s="26"/>
      <c r="R39" s="26"/>
      <c r="S39" s="26"/>
      <c r="T39" s="26"/>
    </row>
    <row r="40" spans="2:23" s="23" customFormat="1" x14ac:dyDescent="0.2">
      <c r="C40" s="28">
        <f>XIRR(C39:K39,C34:K34)</f>
        <v>0.13994210362434387</v>
      </c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35"/>
      <c r="S40" s="26"/>
      <c r="T40" s="26"/>
    </row>
    <row r="41" spans="2:23" s="23" customFormat="1" x14ac:dyDescent="0.2"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35"/>
      <c r="S41" s="26"/>
      <c r="T41" s="26"/>
    </row>
    <row r="42" spans="2:23" s="23" customFormat="1" x14ac:dyDescent="0.2"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35"/>
      <c r="S42" s="26"/>
      <c r="T42" s="26"/>
    </row>
    <row r="43" spans="2:23" s="23" customFormat="1" x14ac:dyDescent="0.2">
      <c r="B43" s="67" t="s">
        <v>11</v>
      </c>
      <c r="C43" s="67"/>
      <c r="D43" s="26"/>
      <c r="E43" s="26"/>
      <c r="F43" s="26"/>
      <c r="G43" s="26"/>
      <c r="H43" s="26"/>
      <c r="I43" s="71" t="s">
        <v>55</v>
      </c>
      <c r="J43" s="26">
        <v>1085000</v>
      </c>
      <c r="K43" s="26"/>
      <c r="L43" s="26"/>
      <c r="M43" s="26"/>
      <c r="N43" s="26"/>
      <c r="O43" s="26"/>
      <c r="P43" s="26"/>
      <c r="Q43" s="26"/>
      <c r="R43" s="35"/>
      <c r="S43" s="26"/>
      <c r="T43" s="26"/>
    </row>
    <row r="44" spans="2:23" s="23" customFormat="1" x14ac:dyDescent="0.2">
      <c r="B44" s="25" t="s">
        <v>12</v>
      </c>
      <c r="C44" s="26">
        <v>150000</v>
      </c>
      <c r="D44" s="26"/>
      <c r="E44" s="26"/>
      <c r="F44" s="26"/>
      <c r="G44" s="26"/>
      <c r="H44" s="26"/>
      <c r="I44" s="71" t="s">
        <v>56</v>
      </c>
      <c r="J44" s="26">
        <v>1050000</v>
      </c>
      <c r="K44" s="26"/>
      <c r="L44" s="26"/>
      <c r="M44" s="26"/>
      <c r="N44" s="26"/>
      <c r="O44" s="26"/>
      <c r="P44" s="26"/>
      <c r="Q44" s="26"/>
      <c r="R44" s="35"/>
      <c r="S44" s="26"/>
      <c r="T44" s="26"/>
    </row>
    <row r="45" spans="2:23" s="23" customFormat="1" x14ac:dyDescent="0.2">
      <c r="B45" s="25" t="s">
        <v>13</v>
      </c>
      <c r="C45" s="26">
        <v>60000</v>
      </c>
      <c r="D45" s="26"/>
      <c r="E45" s="26"/>
      <c r="F45" s="26"/>
      <c r="G45" s="26"/>
      <c r="H45" s="26"/>
      <c r="I45" s="71" t="s">
        <v>57</v>
      </c>
      <c r="J45" s="26">
        <v>275000</v>
      </c>
      <c r="K45" s="26"/>
      <c r="L45" s="26"/>
      <c r="M45" s="26"/>
      <c r="N45" s="26"/>
      <c r="O45" s="26"/>
      <c r="P45" s="26"/>
      <c r="Q45" s="26"/>
      <c r="R45" s="35"/>
      <c r="S45" s="26"/>
      <c r="T45" s="26"/>
    </row>
    <row r="46" spans="2:23" s="23" customFormat="1" x14ac:dyDescent="0.2">
      <c r="B46" s="31" t="s">
        <v>14</v>
      </c>
      <c r="C46" s="27">
        <f>+C44+C45</f>
        <v>210000</v>
      </c>
      <c r="D46" s="26"/>
      <c r="E46" s="26"/>
      <c r="F46" s="26"/>
      <c r="G46" s="26"/>
      <c r="H46" s="28"/>
      <c r="I46" s="71"/>
      <c r="J46" s="26"/>
      <c r="K46" s="26"/>
      <c r="L46" s="26"/>
      <c r="M46" s="26"/>
      <c r="N46" s="26"/>
      <c r="O46" s="26"/>
      <c r="P46" s="26"/>
      <c r="Q46" s="26"/>
      <c r="R46" s="35"/>
      <c r="S46" s="26"/>
      <c r="T46" s="26"/>
    </row>
    <row r="47" spans="2:23" s="23" customFormat="1" x14ac:dyDescent="0.2">
      <c r="E47" s="34"/>
      <c r="I47" s="70" t="s">
        <v>58</v>
      </c>
      <c r="J47" s="26">
        <v>1085000</v>
      </c>
      <c r="K47" s="26"/>
      <c r="W47" s="65"/>
    </row>
    <row r="48" spans="2:23" s="23" customFormat="1" x14ac:dyDescent="0.2">
      <c r="B48" s="25" t="s">
        <v>15</v>
      </c>
      <c r="C48" s="32">
        <f>+C46-K38</f>
        <v>194519.28944020346</v>
      </c>
      <c r="E48" s="34"/>
      <c r="I48" s="70" t="s">
        <v>59</v>
      </c>
      <c r="J48" s="26">
        <f>AVERAGE(D6:X6)</f>
        <v>11903.433333333334</v>
      </c>
      <c r="K48" s="34"/>
      <c r="N48" s="26"/>
    </row>
    <row r="49" spans="3:26" s="23" customFormat="1" x14ac:dyDescent="0.2">
      <c r="E49" s="34"/>
      <c r="I49" s="70" t="s">
        <v>60</v>
      </c>
      <c r="J49" s="26">
        <f>+J48*12</f>
        <v>142841.20000000001</v>
      </c>
      <c r="K49" s="34"/>
      <c r="N49" s="26"/>
    </row>
    <row r="50" spans="3:26" s="23" customFormat="1" x14ac:dyDescent="0.2">
      <c r="D50" s="34"/>
      <c r="I50" s="70" t="s">
        <v>61</v>
      </c>
      <c r="J50" s="28">
        <v>4.2000000000000003E-2</v>
      </c>
      <c r="N50" s="26"/>
      <c r="Z50" s="65"/>
    </row>
    <row r="51" spans="3:26" s="23" customFormat="1" x14ac:dyDescent="0.2">
      <c r="C51" s="26"/>
      <c r="I51" s="70" t="s">
        <v>62</v>
      </c>
      <c r="J51" s="26">
        <f>+J47*J50</f>
        <v>45570</v>
      </c>
      <c r="K51" s="26"/>
      <c r="M51" s="37"/>
      <c r="N51" s="26"/>
    </row>
    <row r="52" spans="3:26" s="23" customFormat="1" x14ac:dyDescent="0.2">
      <c r="C52" s="26"/>
      <c r="D52" s="34"/>
      <c r="I52" s="72" t="s">
        <v>63</v>
      </c>
      <c r="J52" s="27">
        <f>+J49-J51</f>
        <v>97271.200000000012</v>
      </c>
      <c r="L52" s="34"/>
      <c r="M52" s="38"/>
      <c r="N52" s="26"/>
    </row>
    <row r="53" spans="3:26" s="23" customFormat="1" x14ac:dyDescent="0.2">
      <c r="C53" s="26"/>
      <c r="D53" s="34"/>
      <c r="I53" s="70"/>
      <c r="J53" s="26"/>
      <c r="K53" s="26"/>
      <c r="M53" s="38"/>
      <c r="N53" s="34"/>
      <c r="U53" s="26"/>
    </row>
    <row r="54" spans="3:26" x14ac:dyDescent="0.2">
      <c r="C54" s="20"/>
      <c r="I54" s="9" t="s">
        <v>64</v>
      </c>
      <c r="J54" s="20">
        <f>+J45</f>
        <v>275000</v>
      </c>
      <c r="K54" s="66"/>
      <c r="U54" s="4"/>
    </row>
    <row r="55" spans="3:26" x14ac:dyDescent="0.2">
      <c r="I55" s="9"/>
      <c r="J55" s="73"/>
      <c r="U55" s="4"/>
      <c r="V55" s="20"/>
    </row>
    <row r="56" spans="3:26" x14ac:dyDescent="0.2">
      <c r="I56" s="9"/>
      <c r="J56" s="20"/>
      <c r="K56" s="20"/>
      <c r="U56" s="4"/>
      <c r="V56" s="20"/>
    </row>
    <row r="57" spans="3:26" x14ac:dyDescent="0.2">
      <c r="I57" s="9"/>
      <c r="U57" s="4"/>
    </row>
    <row r="58" spans="3:26" x14ac:dyDescent="0.2">
      <c r="U58" s="4"/>
    </row>
    <row r="59" spans="3:26" x14ac:dyDescent="0.2">
      <c r="U59" s="4"/>
    </row>
    <row r="60" spans="3:26" x14ac:dyDescent="0.2">
      <c r="U60" s="4"/>
    </row>
    <row r="61" spans="3:26" x14ac:dyDescent="0.2">
      <c r="U61" s="4"/>
    </row>
    <row r="62" spans="3:26" x14ac:dyDescent="0.2">
      <c r="U62" s="4"/>
    </row>
    <row r="63" spans="3:26" x14ac:dyDescent="0.2">
      <c r="U63" s="4"/>
      <c r="W63" s="68"/>
      <c r="X63" s="4"/>
    </row>
    <row r="64" spans="3:26" x14ac:dyDescent="0.2">
      <c r="U64" s="4"/>
    </row>
    <row r="65" spans="21:21" x14ac:dyDescent="0.2">
      <c r="U65" s="4"/>
    </row>
  </sheetData>
  <mergeCells count="2">
    <mergeCell ref="B43:C43"/>
    <mergeCell ref="B33:K33"/>
  </mergeCells>
  <pageMargins left="0.7" right="0.7" top="0.75" bottom="0.75" header="0.3" footer="0.3"/>
  <ignoredErrors>
    <ignoredError sqref="C39:J39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BCEC2-AABD-4F3B-A3F1-75C53CBB21A0}">
  <dimension ref="B2:J36"/>
  <sheetViews>
    <sheetView showGridLines="0" workbookViewId="0">
      <selection activeCell="F27" sqref="F27"/>
    </sheetView>
  </sheetViews>
  <sheetFormatPr defaultColWidth="12.140625" defaultRowHeight="15.75" x14ac:dyDescent="0.25"/>
  <cols>
    <col min="1" max="1" width="4.140625" style="39" customWidth="1"/>
    <col min="2" max="2" width="27.5703125" style="39" customWidth="1"/>
    <col min="3" max="3" width="20.7109375" style="39" bestFit="1" customWidth="1"/>
    <col min="4" max="4" width="16.7109375" style="39" customWidth="1"/>
    <col min="5" max="5" width="26.7109375" style="39" customWidth="1"/>
    <col min="6" max="6" width="20.42578125" style="39" customWidth="1"/>
    <col min="7" max="7" width="19.5703125" style="39" customWidth="1"/>
    <col min="8" max="9" width="13.140625" style="39" bestFit="1" customWidth="1"/>
    <col min="10" max="10" width="14.28515625" style="39" bestFit="1" customWidth="1"/>
    <col min="11" max="16384" width="12.140625" style="39"/>
  </cols>
  <sheetData>
    <row r="2" spans="2:9" x14ac:dyDescent="0.25">
      <c r="B2" s="56" t="s">
        <v>53</v>
      </c>
      <c r="C2" s="62">
        <v>933500</v>
      </c>
    </row>
    <row r="3" spans="2:9" x14ac:dyDescent="0.25">
      <c r="B3" s="44" t="s">
        <v>52</v>
      </c>
      <c r="C3" s="60">
        <v>36500</v>
      </c>
    </row>
    <row r="4" spans="2:9" x14ac:dyDescent="0.25">
      <c r="B4" s="44" t="s">
        <v>51</v>
      </c>
      <c r="C4" s="60">
        <v>80000</v>
      </c>
    </row>
    <row r="5" spans="2:9" x14ac:dyDescent="0.25">
      <c r="B5" s="64" t="s">
        <v>50</v>
      </c>
      <c r="C5" s="63">
        <f>SUM(C2:C4)</f>
        <v>1050000</v>
      </c>
    </row>
    <row r="7" spans="2:9" x14ac:dyDescent="0.25">
      <c r="B7" s="56" t="s">
        <v>49</v>
      </c>
      <c r="C7" s="54">
        <f>C5</f>
        <v>1050000</v>
      </c>
      <c r="D7" s="55"/>
      <c r="E7" s="55" t="s">
        <v>48</v>
      </c>
      <c r="F7" s="62">
        <f>50000-SUM(E12:E28)+SUM(G12:G28)</f>
        <v>49999.996666666761</v>
      </c>
    </row>
    <row r="8" spans="2:9" x14ac:dyDescent="0.25">
      <c r="B8" s="44" t="s">
        <v>47</v>
      </c>
      <c r="C8" s="61">
        <v>0.11</v>
      </c>
      <c r="E8" s="39" t="s">
        <v>46</v>
      </c>
      <c r="F8" s="60">
        <v>30000</v>
      </c>
    </row>
    <row r="9" spans="2:9" x14ac:dyDescent="0.25">
      <c r="B9" s="42" t="s">
        <v>45</v>
      </c>
      <c r="C9" s="41">
        <f>(C7*C8)/360</f>
        <v>320.83333333333331</v>
      </c>
      <c r="D9" s="41"/>
      <c r="E9" s="41" t="s">
        <v>44</v>
      </c>
      <c r="F9" s="59">
        <f>SUM(F7:F8)</f>
        <v>79999.996666666761</v>
      </c>
    </row>
    <row r="11" spans="2:9" x14ac:dyDescent="0.25">
      <c r="B11" s="56"/>
      <c r="C11" s="58" t="s">
        <v>43</v>
      </c>
      <c r="D11" s="58" t="s">
        <v>42</v>
      </c>
      <c r="E11" s="58" t="s">
        <v>41</v>
      </c>
      <c r="F11" s="58" t="s">
        <v>40</v>
      </c>
      <c r="G11" s="57" t="s">
        <v>39</v>
      </c>
    </row>
    <row r="12" spans="2:9" x14ac:dyDescent="0.25">
      <c r="B12" s="56" t="s">
        <v>38</v>
      </c>
      <c r="C12" s="55">
        <f>30-6+1</f>
        <v>25</v>
      </c>
      <c r="D12" s="54">
        <f t="shared" ref="D12:D28" si="0">-($C$9*C12)</f>
        <v>-8020.833333333333</v>
      </c>
      <c r="E12" s="54">
        <v>8020.83</v>
      </c>
      <c r="F12" s="54">
        <v>0</v>
      </c>
      <c r="G12" s="53">
        <f t="shared" ref="G12:G24" si="1">SUM(D12:F12)</f>
        <v>-3.333333333102928E-3</v>
      </c>
    </row>
    <row r="13" spans="2:9" x14ac:dyDescent="0.25">
      <c r="B13" s="44" t="s">
        <v>28</v>
      </c>
      <c r="C13" s="39">
        <v>31</v>
      </c>
      <c r="D13" s="49">
        <f t="shared" si="0"/>
        <v>-9945.8333333333321</v>
      </c>
      <c r="E13" s="49">
        <v>9945.83</v>
      </c>
      <c r="F13" s="49">
        <v>17966.669999999998</v>
      </c>
      <c r="G13" s="52">
        <f t="shared" si="1"/>
        <v>17966.666666666664</v>
      </c>
    </row>
    <row r="14" spans="2:9" x14ac:dyDescent="0.25">
      <c r="B14" s="44" t="s">
        <v>37</v>
      </c>
      <c r="C14" s="39">
        <v>31</v>
      </c>
      <c r="D14" s="49">
        <f t="shared" si="0"/>
        <v>-9945.8333333333321</v>
      </c>
      <c r="E14" s="49">
        <v>9945.83</v>
      </c>
      <c r="F14" s="49">
        <v>0</v>
      </c>
      <c r="G14" s="52">
        <f t="shared" si="1"/>
        <v>-3.3333333321934333E-3</v>
      </c>
    </row>
    <row r="15" spans="2:9" x14ac:dyDescent="0.25">
      <c r="B15" s="44" t="s">
        <v>26</v>
      </c>
      <c r="C15" s="39">
        <v>28</v>
      </c>
      <c r="D15" s="49">
        <f t="shared" si="0"/>
        <v>-8983.3333333333321</v>
      </c>
      <c r="E15" s="49">
        <v>8983.33</v>
      </c>
      <c r="F15" s="49">
        <v>0</v>
      </c>
      <c r="G15" s="52">
        <f t="shared" si="1"/>
        <v>-3.3333333321934333E-3</v>
      </c>
      <c r="H15" s="45"/>
    </row>
    <row r="16" spans="2:9" x14ac:dyDescent="0.25">
      <c r="B16" s="44" t="s">
        <v>25</v>
      </c>
      <c r="C16" s="39">
        <v>31</v>
      </c>
      <c r="D16" s="49">
        <f t="shared" si="0"/>
        <v>-9945.8333333333321</v>
      </c>
      <c r="E16" s="49">
        <v>9945.83</v>
      </c>
      <c r="F16" s="49">
        <v>28875</v>
      </c>
      <c r="G16" s="52">
        <f t="shared" si="1"/>
        <v>28874.996666666666</v>
      </c>
      <c r="I16" s="45"/>
    </row>
    <row r="17" spans="2:10" x14ac:dyDescent="0.25">
      <c r="B17" s="44" t="s">
        <v>36</v>
      </c>
      <c r="C17" s="39">
        <v>30</v>
      </c>
      <c r="D17" s="49">
        <f t="shared" si="0"/>
        <v>-9625</v>
      </c>
      <c r="E17" s="49">
        <v>9625</v>
      </c>
      <c r="F17" s="49">
        <v>0</v>
      </c>
      <c r="G17" s="52">
        <f t="shared" si="1"/>
        <v>0</v>
      </c>
    </row>
    <row r="18" spans="2:10" x14ac:dyDescent="0.25">
      <c r="B18" s="44" t="s">
        <v>35</v>
      </c>
      <c r="C18" s="39">
        <v>31</v>
      </c>
      <c r="D18" s="49">
        <f t="shared" si="0"/>
        <v>-9945.8333333333321</v>
      </c>
      <c r="E18" s="49">
        <v>9945.83</v>
      </c>
      <c r="F18" s="49">
        <v>0</v>
      </c>
      <c r="G18" s="52">
        <f t="shared" si="1"/>
        <v>-3.3333333321934333E-3</v>
      </c>
      <c r="J18" s="45"/>
    </row>
    <row r="19" spans="2:10" x14ac:dyDescent="0.25">
      <c r="B19" s="44" t="s">
        <v>34</v>
      </c>
      <c r="C19" s="39">
        <v>30</v>
      </c>
      <c r="D19" s="49">
        <f t="shared" si="0"/>
        <v>-9625</v>
      </c>
      <c r="E19" s="49">
        <v>9625</v>
      </c>
      <c r="F19" s="49">
        <v>29195.83</v>
      </c>
      <c r="G19" s="52">
        <f t="shared" si="1"/>
        <v>29195.83</v>
      </c>
      <c r="J19" s="45"/>
    </row>
    <row r="20" spans="2:10" x14ac:dyDescent="0.25">
      <c r="B20" s="44" t="s">
        <v>33</v>
      </c>
      <c r="C20" s="39">
        <v>31</v>
      </c>
      <c r="D20" s="49">
        <f t="shared" si="0"/>
        <v>-9945.8333333333321</v>
      </c>
      <c r="E20" s="49">
        <v>9945.83</v>
      </c>
      <c r="F20" s="49">
        <v>0</v>
      </c>
      <c r="G20" s="52">
        <f t="shared" si="1"/>
        <v>-3.3333333321934333E-3</v>
      </c>
      <c r="J20" s="45"/>
    </row>
    <row r="21" spans="2:10" x14ac:dyDescent="0.25">
      <c r="B21" s="44" t="s">
        <v>32</v>
      </c>
      <c r="C21" s="39">
        <v>31</v>
      </c>
      <c r="D21" s="49">
        <f t="shared" si="0"/>
        <v>-9945.8333333333321</v>
      </c>
      <c r="E21" s="49">
        <v>9945.83</v>
      </c>
      <c r="F21" s="49">
        <v>0</v>
      </c>
      <c r="G21" s="52">
        <f t="shared" si="1"/>
        <v>-3.3333333321934333E-3</v>
      </c>
    </row>
    <row r="22" spans="2:10" x14ac:dyDescent="0.25">
      <c r="B22" s="44" t="s">
        <v>31</v>
      </c>
      <c r="C22" s="39">
        <v>30</v>
      </c>
      <c r="D22" s="49">
        <f t="shared" si="0"/>
        <v>-9625</v>
      </c>
      <c r="E22" s="49">
        <v>9625</v>
      </c>
      <c r="F22" s="49">
        <f>-SUM(D20:D22)</f>
        <v>29516.666666666664</v>
      </c>
      <c r="G22" s="52">
        <f t="shared" si="1"/>
        <v>29516.666666666664</v>
      </c>
    </row>
    <row r="23" spans="2:10" x14ac:dyDescent="0.25">
      <c r="B23" s="44" t="s">
        <v>30</v>
      </c>
      <c r="C23" s="39">
        <v>31</v>
      </c>
      <c r="D23" s="49">
        <f t="shared" si="0"/>
        <v>-9945.8333333333321</v>
      </c>
      <c r="E23" s="49">
        <v>9945.83</v>
      </c>
      <c r="F23" s="49">
        <v>0</v>
      </c>
      <c r="G23" s="52">
        <f t="shared" si="1"/>
        <v>-3.3333333321934333E-3</v>
      </c>
    </row>
    <row r="24" spans="2:10" x14ac:dyDescent="0.25">
      <c r="B24" s="44" t="s">
        <v>29</v>
      </c>
      <c r="C24" s="39">
        <v>30</v>
      </c>
      <c r="D24" s="49">
        <f t="shared" si="0"/>
        <v>-9625</v>
      </c>
      <c r="E24" s="49">
        <v>9625</v>
      </c>
      <c r="F24" s="49">
        <v>0</v>
      </c>
      <c r="G24" s="52">
        <f t="shared" si="1"/>
        <v>0</v>
      </c>
    </row>
    <row r="25" spans="2:10" x14ac:dyDescent="0.25">
      <c r="B25" s="44" t="s">
        <v>28</v>
      </c>
      <c r="C25" s="39">
        <v>31</v>
      </c>
      <c r="D25" s="49">
        <f t="shared" si="0"/>
        <v>-9945.8333333333321</v>
      </c>
      <c r="E25" s="49">
        <v>9945.83</v>
      </c>
      <c r="F25" s="49">
        <f>-SUM(D23:D25)</f>
        <v>29516.666666666664</v>
      </c>
      <c r="G25" s="52">
        <v>29516.66</v>
      </c>
    </row>
    <row r="26" spans="2:10" x14ac:dyDescent="0.25">
      <c r="B26" s="44" t="s">
        <v>27</v>
      </c>
      <c r="C26" s="39">
        <v>31</v>
      </c>
      <c r="D26" s="49">
        <f t="shared" si="0"/>
        <v>-9945.8333333333321</v>
      </c>
      <c r="E26" s="49">
        <v>9945.83</v>
      </c>
      <c r="F26" s="49">
        <v>0</v>
      </c>
      <c r="G26" s="52">
        <f>SUM(D26:F26)</f>
        <v>-3.3333333321934333E-3</v>
      </c>
    </row>
    <row r="27" spans="2:10" x14ac:dyDescent="0.25">
      <c r="B27" s="44" t="s">
        <v>26</v>
      </c>
      <c r="C27" s="39">
        <v>28</v>
      </c>
      <c r="D27" s="49">
        <f t="shared" si="0"/>
        <v>-8983.3333333333321</v>
      </c>
      <c r="E27" s="49">
        <v>8983.33</v>
      </c>
      <c r="F27" s="49">
        <v>0</v>
      </c>
      <c r="G27" s="52">
        <f>SUM(D27:F27)</f>
        <v>-3.3333333321934333E-3</v>
      </c>
    </row>
    <row r="28" spans="2:10" x14ac:dyDescent="0.25">
      <c r="B28" s="42" t="s">
        <v>25</v>
      </c>
      <c r="C28" s="41">
        <v>31</v>
      </c>
      <c r="D28" s="51">
        <f t="shared" si="0"/>
        <v>-9945.8333333333321</v>
      </c>
      <c r="E28" s="51">
        <v>9945.83</v>
      </c>
      <c r="F28" s="49">
        <f>-SUM(D26:D28)</f>
        <v>28874.999999999996</v>
      </c>
      <c r="G28" s="50">
        <f>SUM(D28:F28)</f>
        <v>28874.996666666666</v>
      </c>
    </row>
    <row r="29" spans="2:10" x14ac:dyDescent="0.25">
      <c r="D29" s="49"/>
      <c r="E29" s="49"/>
      <c r="F29" s="49"/>
      <c r="G29" s="45"/>
    </row>
    <row r="30" spans="2:10" x14ac:dyDescent="0.25">
      <c r="D30" s="49"/>
      <c r="E30" s="49"/>
      <c r="F30" s="49"/>
      <c r="G30" s="45"/>
    </row>
    <row r="31" spans="2:10" x14ac:dyDescent="0.25">
      <c r="D31" s="45"/>
      <c r="E31" s="45"/>
      <c r="F31" s="45"/>
    </row>
    <row r="32" spans="2:10" x14ac:dyDescent="0.25">
      <c r="B32" s="48" t="s">
        <v>24</v>
      </c>
      <c r="C32" s="47"/>
      <c r="D32" s="47"/>
      <c r="E32" s="46"/>
      <c r="F32" s="45"/>
    </row>
    <row r="33" spans="2:5" x14ac:dyDescent="0.25">
      <c r="B33" s="44" t="s">
        <v>23</v>
      </c>
      <c r="C33" s="39" t="s">
        <v>22</v>
      </c>
      <c r="E33" s="43"/>
    </row>
    <row r="34" spans="2:5" x14ac:dyDescent="0.25">
      <c r="B34" s="44" t="s">
        <v>21</v>
      </c>
      <c r="C34" s="39" t="s">
        <v>20</v>
      </c>
      <c r="E34" s="43"/>
    </row>
    <row r="35" spans="2:5" x14ac:dyDescent="0.25">
      <c r="B35" s="44" t="s">
        <v>19</v>
      </c>
      <c r="C35" s="39" t="s">
        <v>18</v>
      </c>
      <c r="E35" s="43"/>
    </row>
    <row r="36" spans="2:5" x14ac:dyDescent="0.25">
      <c r="B36" s="42" t="s">
        <v>17</v>
      </c>
      <c r="C36" s="41" t="s">
        <v>16</v>
      </c>
      <c r="D36" s="41"/>
      <c r="E36" s="40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33F35BBD7BE847B1FE9D41E83E62E1" ma:contentTypeVersion="13" ma:contentTypeDescription="Create a new document." ma:contentTypeScope="" ma:versionID="099d58a8c37cdba098fa2852e989e5b8">
  <xsd:schema xmlns:xsd="http://www.w3.org/2001/XMLSchema" xmlns:xs="http://www.w3.org/2001/XMLSchema" xmlns:p="http://schemas.microsoft.com/office/2006/metadata/properties" xmlns:ns2="8b946ec2-561f-4a03-a63a-0eab221a5776" xmlns:ns3="764674dd-e175-44e8-a710-52b02657ed00" targetNamespace="http://schemas.microsoft.com/office/2006/metadata/properties" ma:root="true" ma:fieldsID="ef3808dd6a5f5a95543715c162420a87" ns2:_="" ns3:_="">
    <xsd:import namespace="8b946ec2-561f-4a03-a63a-0eab221a5776"/>
    <xsd:import namespace="764674dd-e175-44e8-a710-52b02657ed00"/>
    <xsd:element name="properties">
      <xsd:complexType>
        <xsd:sequence>
          <xsd:element name="documentManagement">
            <xsd:complexType>
              <xsd:all>
                <xsd:element ref="ns2:PropertyShortName" minOccurs="0"/>
                <xsd:element ref="ns2:DocumentType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46ec2-561f-4a03-a63a-0eab221a5776" elementFormDefault="qualified">
    <xsd:import namespace="http://schemas.microsoft.com/office/2006/documentManagement/types"/>
    <xsd:import namespace="http://schemas.microsoft.com/office/infopath/2007/PartnerControls"/>
    <xsd:element name="PropertyShortName" ma:index="8" nillable="true" ma:displayName="Property Short Name" ma:format="Dropdown" ma:internalName="PropertyShortName">
      <xsd:simpleType>
        <xsd:restriction base="dms:Choice">
          <xsd:enumeration value="JBJ"/>
          <xsd:enumeration value="GO"/>
          <xsd:enumeration value="A2Z"/>
          <xsd:enumeration value="PC"/>
          <xsd:enumeration value="KEET"/>
          <xsd:enumeration value="BOVI"/>
          <xsd:enumeration value="BOVII"/>
          <xsd:enumeration value="POBOVI"/>
          <xsd:enumeration value="POBOVII"/>
          <xsd:enumeration value="ARD"/>
          <xsd:enumeration value="AMER"/>
          <xsd:enumeration value="APPLE"/>
          <xsd:enumeration value="AW"/>
          <xsd:enumeration value="Choice 14"/>
        </xsd:restriction>
      </xsd:simpleType>
    </xsd:element>
    <xsd:element name="DocumentType" ma:index="9" nillable="true" ma:displayName="Document Type" ma:format="Dropdown" ma:internalName="DocumentType">
      <xsd:simpleType>
        <xsd:restriction base="dms:Choice">
          <xsd:enumeration value="Cert of Formation"/>
          <xsd:enumeration value="EIN Letter"/>
          <xsd:enumeration value="LLC Agreeement"/>
          <xsd:enumeration value="Cert of Registration"/>
        </xsd:restriction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122a211-7e95-43c4-85fe-cfb3afdd58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4674dd-e175-44e8-a710-52b02657ed0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b658d5b-c62a-4dd6-8c80-51c9b9a50843}" ma:internalName="TaxCatchAll" ma:showField="CatchAllData" ma:web="764674dd-e175-44e8-a710-52b02657ed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Type xmlns="8b946ec2-561f-4a03-a63a-0eab221a5776" xsi:nil="true"/>
    <PropertyShortName xmlns="8b946ec2-561f-4a03-a63a-0eab221a5776" xsi:nil="true"/>
    <lcf76f155ced4ddcb4097134ff3c332f xmlns="8b946ec2-561f-4a03-a63a-0eab221a5776">
      <Terms xmlns="http://schemas.microsoft.com/office/infopath/2007/PartnerControls"/>
    </lcf76f155ced4ddcb4097134ff3c332f>
    <TaxCatchAll xmlns="764674dd-e175-44e8-a710-52b02657ed00" xsi:nil="true"/>
  </documentManagement>
</p:properties>
</file>

<file path=customXml/itemProps1.xml><?xml version="1.0" encoding="utf-8"?>
<ds:datastoreItem xmlns:ds="http://schemas.openxmlformats.org/officeDocument/2006/customXml" ds:itemID="{F3ADED87-40B7-4763-96BE-68F453EFBDC8}"/>
</file>

<file path=customXml/itemProps2.xml><?xml version="1.0" encoding="utf-8"?>
<ds:datastoreItem xmlns:ds="http://schemas.openxmlformats.org/officeDocument/2006/customXml" ds:itemID="{FF43C686-84BF-4EA8-987B-23F3FC33E498}"/>
</file>

<file path=customXml/itemProps3.xml><?xml version="1.0" encoding="utf-8"?>
<ds:datastoreItem xmlns:ds="http://schemas.openxmlformats.org/officeDocument/2006/customXml" ds:itemID="{7AF0319A-4247-4C63-BFAE-979C47D2CF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Austin Berk</dc:creator>
  <cp:lastModifiedBy>Austin Berk</cp:lastModifiedBy>
  <dcterms:created xsi:type="dcterms:W3CDTF">2019-06-15T14:41:52Z</dcterms:created>
  <dcterms:modified xsi:type="dcterms:W3CDTF">2019-08-13T22:59:29Z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0x010100E233F35BBD7BE847B1FE9D41E83E62E1</vt:lpwstr>
  </property>
  <property fmtid="{D5CDD505-2E9C-101B-9397-08002B2CF9AE}" pid="3" name="Order">
    <vt:r8>2800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