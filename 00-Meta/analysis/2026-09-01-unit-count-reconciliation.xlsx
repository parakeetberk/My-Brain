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operty comparison" sheetId="2" state="visible" r:id="rId4"/>
    <sheet name="Warehouse extras" sheetId="3" state="visible" r:id="rId5"/>
    <sheet name="Bridg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<sst xmlns="http://schemas.openxmlformats.org/spreadsheetml/2006/main" count="517" uniqueCount="347">
  <si>
    <t xml:space="preserve">Unit count reconciliation: Property Data Sheet vs RentViewer warehouse</t>
  </si>
  <si>
    <t xml:space="preserve">Built 2026-09-01 for KP-0010. Answers Austin's question on the open board.</t>
  </si>
  <si>
    <t xml:space="preserve">The question</t>
  </si>
  <si>
    <t xml:space="preserve">"The portfolio disagrees with itself on how many units it has. 6,379 from the Property Data Sheet against 8,020 from the warehouse."  Austin, 2026-09-01: "My initial thought is the Data Warehouse is including sold properties and wasn't updated correctly."</t>
  </si>
  <si>
    <t xml:space="preserve">The short answer</t>
  </si>
  <si>
    <t xml:space="preserve">Directionally right, wrong mechanism. The warehouse is not counting sold properties. It is counting the SAME properties more than once, under old names that were never retired, plus utility and sub-meter records that are not lots at all.</t>
  </si>
  <si>
    <t xml:space="preserve">Three things inflate it, in order of size. (1) Renamed records: 12 properties were renamed with an x prefix and both the old and the new record still carry units, 690 in total. (2) Shadow duplicates: 10 communities exist twice, one record holding the occupancy and the other holding the AR, roughly 645 units. (3) Utility and sub-meter records: Northgate Utility, Vantage Oaks Utility and Applegate Water add 246 units that are meters, not lots.</t>
  </si>
  <si>
    <t xml:space="preserve">And it cuts the other way too, which is the part worth your attention. Four real, occupied, paying communities are in the warehouse and NOT on the Property Data Sheet: Cedar Grove, Colonial, Lambeth and Cambridge. Together they are 466 units, they are 61% to 93% occupied, and they carry $580,000 of AR. Nalls Court runs the opposite way, 19 lots on the Data Sheet and no warehouse record at all.</t>
  </si>
  <si>
    <t xml:space="preserve">So which number is right</t>
  </si>
  <si>
    <t xml:space="preserve">Neither, as they stand. 6,379 is a December 2025 vintage that is missing at least four operating communities. 8,020 is an August 2026 snapshot that still double-counts. The de-duplication that produced 8,020 removed 20 archived records and did not touch the shadow pairs, which is why it is still too high.</t>
  </si>
  <si>
    <t xml:space="preserve">The fix is not picking a side. It is retiring the dead records in Rent Manager, deciding whether utility records count as units, and adding the four missing communities to the Data Sheet. Then both numbers converge on their own.</t>
  </si>
  <si>
    <t xml:space="preserve">How to read this file</t>
  </si>
  <si>
    <t xml:space="preserve">Property comparison: all 67 Data Sheet communities against their warehouse record, with the variance and every extra record attached to the same asset.</t>
  </si>
  <si>
    <t xml:space="preserve">Warehouse extras: every warehouse record that is not one of the 67, grouped by why it exists.</t>
  </si>
  <si>
    <t xml:space="preserve">Bridge: the arithmetic from 6,379 to 9,355, step by step.</t>
  </si>
  <si>
    <t xml:space="preserve">Sources, and what this file cannot do</t>
  </si>
  <si>
    <t xml:space="preserve">Property Data Sheet side: 60-Communities/portfolio.md, the 67-row table, December 2025 vintage.</t>
  </si>
  <si>
    <t xml:space="preserve">Warehouse side: 60-Communities/portfolio-baseline-warehouse.md, sections 2 and 6. That page is a filed export built 2026-08-26 from read-only queries against the RentViewer semantic warehouse, and nothing in it has been re-verified since.</t>
  </si>
  <si>
    <t xml:space="preserve">No live warehouse connector is available in this session, so this reconciliation is export-against-export. It is enough to explain the gap and to name the records to fix. It is not a substitute for re-running the query once the dead records are retired.</t>
  </si>
  <si>
    <t xml:space="preserve">Section 2 of the export lists only properties with GL activity in the trailing twelve months, so it does not carry every record in the unit listing. That is why the bridge below does not close to the last unit, and the residual is shown rather than smoothed.</t>
  </si>
  <si>
    <t xml:space="preserve">Code</t>
  </si>
  <si>
    <t xml:space="preserve">Community</t>
  </si>
  <si>
    <t xml:space="preserve">City, State</t>
  </si>
  <si>
    <t xml:space="preserve">Portfolio</t>
  </si>
  <si>
    <t xml:space="preserve">MH lots</t>
  </si>
  <si>
    <t xml:space="preserve">RV sites</t>
  </si>
  <si>
    <t xml:space="preserve">Other</t>
  </si>
  <si>
    <t xml:space="preserve">Data Sheet core units</t>
  </si>
  <si>
    <t xml:space="preserve">Warehouse record</t>
  </si>
  <si>
    <t xml:space="preserve">Warehouse units</t>
  </si>
  <si>
    <t xml:space="preserve">Variance (WH - DS)</t>
  </si>
  <si>
    <t xml:space="preserve">Other warehouse records for the same asset</t>
  </si>
  <si>
    <t xml:space="preserve">Their units</t>
  </si>
  <si>
    <t xml:space="preserve">Note</t>
  </si>
  <si>
    <t xml:space="preserve">AMER</t>
  </si>
  <si>
    <t xml:space="preserve">American</t>
  </si>
  <si>
    <t xml:space="preserve">Auburn, MA</t>
  </si>
  <si>
    <t xml:space="preserve">Baker</t>
  </si>
  <si>
    <t xml:space="preserve">APPLE</t>
  </si>
  <si>
    <t xml:space="preserve">Applegate MHC</t>
  </si>
  <si>
    <t xml:space="preserve">Deland, FL</t>
  </si>
  <si>
    <t xml:space="preserve">JREFI</t>
  </si>
  <si>
    <t xml:space="preserve">Applegate Water (water utility record)</t>
  </si>
  <si>
    <t xml:space="preserve">Plus a 57-unit water record the Data Sheet does not carry.</t>
  </si>
  <si>
    <t xml:space="preserve">ARD</t>
  </si>
  <si>
    <t xml:space="preserve">Auburn Ridge</t>
  </si>
  <si>
    <t xml:space="preserve">Auburn, GA</t>
  </si>
  <si>
    <t xml:space="preserve">JREFII</t>
  </si>
  <si>
    <t xml:space="preserve">POBOVI</t>
  </si>
  <si>
    <t xml:space="preserve">Bay Oaks Village I</t>
  </si>
  <si>
    <t xml:space="preserve">Panama City, FL</t>
  </si>
  <si>
    <t xml:space="preserve">Origins</t>
  </si>
  <si>
    <t xml:space="preserve">POBOVII</t>
  </si>
  <si>
    <t xml:space="preserve">Bay Oaks Village II</t>
  </si>
  <si>
    <t xml:space="preserve">BELL</t>
  </si>
  <si>
    <t xml:space="preserve">Belle Haven</t>
  </si>
  <si>
    <t xml:space="preserve">Clearwater, FL</t>
  </si>
  <si>
    <t xml:space="preserve">BRUN</t>
  </si>
  <si>
    <t xml:space="preserve">Brunswick Estates</t>
  </si>
  <si>
    <t xml:space="preserve">Brunswick, GA</t>
  </si>
  <si>
    <t xml:space="preserve">CARL</t>
  </si>
  <si>
    <t xml:space="preserve">Carley's Mobile Home Park</t>
  </si>
  <si>
    <t xml:space="preserve">Miami, FL</t>
  </si>
  <si>
    <t xml:space="preserve">CENT</t>
  </si>
  <si>
    <t xml:space="preserve">Central Mobile Home Park</t>
  </si>
  <si>
    <t xml:space="preserve">Cocoa, FL</t>
  </si>
  <si>
    <t xml:space="preserve">CONG</t>
  </si>
  <si>
    <t xml:space="preserve">Congress Mobile Home Park</t>
  </si>
  <si>
    <t xml:space="preserve">West Palm Beach, FL</t>
  </si>
  <si>
    <t xml:space="preserve">CA</t>
  </si>
  <si>
    <t xml:space="preserve">Crystal Acres</t>
  </si>
  <si>
    <t xml:space="preserve">Crystal River, FL</t>
  </si>
  <si>
    <t xml:space="preserve">Kippy</t>
  </si>
  <si>
    <t xml:space="preserve">DO</t>
  </si>
  <si>
    <t xml:space="preserve">Druid Oaks MHC</t>
  </si>
  <si>
    <t xml:space="preserve">EG</t>
  </si>
  <si>
    <t xml:space="preserve">Everglades Mobile Home Park</t>
  </si>
  <si>
    <t xml:space="preserve">Clewiston, FL</t>
  </si>
  <si>
    <t xml:space="preserve">Harpreet</t>
  </si>
  <si>
    <t xml:space="preserve">Everglades MHP</t>
  </si>
  <si>
    <t xml:space="preserve">FOX</t>
  </si>
  <si>
    <t xml:space="preserve">Fox Creek</t>
  </si>
  <si>
    <t xml:space="preserve">Fountain Inn, SC</t>
  </si>
  <si>
    <t xml:space="preserve">GEIGRV</t>
  </si>
  <si>
    <t xml:space="preserve">Geiger Key RV Resort</t>
  </si>
  <si>
    <t xml:space="preserve">Key West, FL</t>
  </si>
  <si>
    <t xml:space="preserve">Plus a dead 'Geiger RV' record of 41 units and two GL-only opco/propco entities, section 6.</t>
  </si>
  <si>
    <t xml:space="preserve">GO</t>
  </si>
  <si>
    <t xml:space="preserve">Great Oak RV Resort</t>
  </si>
  <si>
    <t xml:space="preserve">Kissimmee, FL</t>
  </si>
  <si>
    <t xml:space="preserve">231 warehouse against 198 sites on the Data Sheet.</t>
  </si>
  <si>
    <t xml:space="preserve">GPT</t>
  </si>
  <si>
    <t xml:space="preserve">Greene Pointe</t>
  </si>
  <si>
    <t xml:space="preserve">Summerville, SC</t>
  </si>
  <si>
    <t xml:space="preserve">POGULF</t>
  </si>
  <si>
    <t xml:space="preserve">Gulf Breeze MHC</t>
  </si>
  <si>
    <t xml:space="preserve">Hudson, FL</t>
  </si>
  <si>
    <t xml:space="preserve">HARB</t>
  </si>
  <si>
    <t xml:space="preserve">Harbour Mobile Home Park</t>
  </si>
  <si>
    <t xml:space="preserve">HEND</t>
  </si>
  <si>
    <t xml:space="preserve">Hendersons</t>
  </si>
  <si>
    <t xml:space="preserve">South Bay, FL</t>
  </si>
  <si>
    <t xml:space="preserve">Single Asset</t>
  </si>
  <si>
    <t xml:space="preserve">Hendersons MHC</t>
  </si>
  <si>
    <t xml:space="preserve">Property Data Sheet records 0 MH, 0 RV, 0 other. Warehouse shows 66 units and $409,791 TTM revenue on $7,975 of expense. Both cannot be right.</t>
  </si>
  <si>
    <t xml:space="preserve">HP</t>
  </si>
  <si>
    <t xml:space="preserve">Hershey Park</t>
  </si>
  <si>
    <t xml:space="preserve">HSMHC</t>
  </si>
  <si>
    <t xml:space="preserve">Hunter Springs MHP</t>
  </si>
  <si>
    <t xml:space="preserve">Hunter Springs MHC (shadow duplicate, 0% occ, -$6,442 NOI)</t>
  </si>
  <si>
    <t xml:space="preserve">JBJ</t>
  </si>
  <si>
    <t xml:space="preserve">J Bar J Estates</t>
  </si>
  <si>
    <t xml:space="preserve">LS</t>
  </si>
  <si>
    <t xml:space="preserve">Lake Saunders</t>
  </si>
  <si>
    <t xml:space="preserve">Mt Dora, FL</t>
  </si>
  <si>
    <t xml:space="preserve">POLW</t>
  </si>
  <si>
    <t xml:space="preserve">Lake Wales MHC</t>
  </si>
  <si>
    <t xml:space="preserve">Lake Wales, FL</t>
  </si>
  <si>
    <t xml:space="preserve">LLMHC</t>
  </si>
  <si>
    <t xml:space="preserve">Lamberton Lake MHC</t>
  </si>
  <si>
    <t xml:space="preserve">Grand Rapids, MI</t>
  </si>
  <si>
    <t xml:space="preserve">Fund II</t>
  </si>
  <si>
    <t xml:space="preserve">LUCK</t>
  </si>
  <si>
    <t xml:space="preserve">Lucky Clover</t>
  </si>
  <si>
    <t xml:space="preserve">Melbourne, FL</t>
  </si>
  <si>
    <t xml:space="preserve">Plus a dead 'Lucky Clover RV' record of 65 units, section 6.</t>
  </si>
  <si>
    <t xml:space="preserve">MAY</t>
  </si>
  <si>
    <t xml:space="preserve">Mayflower Hills</t>
  </si>
  <si>
    <t xml:space="preserve">Plymouth, MA</t>
  </si>
  <si>
    <t xml:space="preserve">MCG</t>
  </si>
  <si>
    <t xml:space="preserve">McGregor Downs</t>
  </si>
  <si>
    <t xml:space="preserve">West Columbia, SC</t>
  </si>
  <si>
    <t xml:space="preserve">MWMHP</t>
  </si>
  <si>
    <t xml:space="preserve">Meadow Woods Mobile Home Park</t>
  </si>
  <si>
    <t xml:space="preserve">Lunenburg, MA</t>
  </si>
  <si>
    <t xml:space="preserve">Meadow Woods MHP</t>
  </si>
  <si>
    <t xml:space="preserve">MON</t>
  </si>
  <si>
    <t xml:space="preserve">Monson</t>
  </si>
  <si>
    <t xml:space="preserve">Monson, MA</t>
  </si>
  <si>
    <t xml:space="preserve">NALLS</t>
  </si>
  <si>
    <t xml:space="preserve">Nalls Court MHC</t>
  </si>
  <si>
    <t xml:space="preserve">NO MATCH</t>
  </si>
  <si>
    <t xml:space="preserve">NOT IN THE WAREHOUSE AT ALL. 19 lots on the Property Data Sheet and no record in the by-property table. Check whether it trades under another name or is genuinely absent from Rent Manager.</t>
  </si>
  <si>
    <t xml:space="preserve">NGMH</t>
  </si>
  <si>
    <t xml:space="preserve">Northgate MH</t>
  </si>
  <si>
    <t xml:space="preserve">Mims, FL</t>
  </si>
  <si>
    <t xml:space="preserve">Northgate RV (separate RV record); Northgate Utility (utility record)</t>
  </si>
  <si>
    <t xml:space="preserve">Warehouse splits Northgate into three records (MH 222, RV 117, Utility 70 = 409). The Property Data Sheet carries one line of 173. Largest single-asset gap in the file.</t>
  </si>
  <si>
    <t xml:space="preserve">OAK</t>
  </si>
  <si>
    <t xml:space="preserve">Oakside MHP</t>
  </si>
  <si>
    <t xml:space="preserve">Goose Creek, SC</t>
  </si>
  <si>
    <t xml:space="preserve">POOCEAN</t>
  </si>
  <si>
    <t xml:space="preserve">Oceanaire MHC</t>
  </si>
  <si>
    <t xml:space="preserve">New Smyrna Beach, FL</t>
  </si>
  <si>
    <t xml:space="preserve">POOBO</t>
  </si>
  <si>
    <t xml:space="preserve">Ormond Beach Oasis</t>
  </si>
  <si>
    <t xml:space="preserve">Ormond Beach, FL</t>
  </si>
  <si>
    <t xml:space="preserve">PPH</t>
  </si>
  <si>
    <t xml:space="preserve">Palm Haven Estates</t>
  </si>
  <si>
    <t xml:space="preserve">Panama City Beach, FL</t>
  </si>
  <si>
    <t xml:space="preserve">POPSE</t>
  </si>
  <si>
    <t xml:space="preserve">Palm Spring Estates</t>
  </si>
  <si>
    <t xml:space="preserve">Tarpon Springs, FL</t>
  </si>
  <si>
    <t xml:space="preserve">PL</t>
  </si>
  <si>
    <t xml:space="preserve">Paradise Lakes</t>
  </si>
  <si>
    <t xml:space="preserve">Deltona, FL</t>
  </si>
  <si>
    <t xml:space="preserve">Plus a dead 'Paradise Lakes RV' record of 193 units, section 6.</t>
  </si>
  <si>
    <t xml:space="preserve">PP</t>
  </si>
  <si>
    <t xml:space="preserve">Paradise Palms</t>
  </si>
  <si>
    <t xml:space="preserve">Lakeland, FL</t>
  </si>
  <si>
    <t xml:space="preserve">POWOLF</t>
  </si>
  <si>
    <t xml:space="preserve">Parakeet Origins Wolf Bay</t>
  </si>
  <si>
    <t xml:space="preserve">Elberta, AL</t>
  </si>
  <si>
    <t xml:space="preserve">Wolf Bay MHC</t>
  </si>
  <si>
    <t xml:space="preserve">PARK</t>
  </si>
  <si>
    <t xml:space="preserve">Parkwood Mobile Home Park</t>
  </si>
  <si>
    <t xml:space="preserve">RED</t>
  </si>
  <si>
    <t xml:space="preserve">Redlands</t>
  </si>
  <si>
    <t xml:space="preserve">REG</t>
  </si>
  <si>
    <t xml:space="preserve">Regency I &amp; II</t>
  </si>
  <si>
    <t xml:space="preserve">Savannah, GA</t>
  </si>
  <si>
    <t xml:space="preserve">RO</t>
  </si>
  <si>
    <t xml:space="preserve">River Oaks RV Resort</t>
  </si>
  <si>
    <t xml:space="preserve">Ruskin, FL</t>
  </si>
  <si>
    <t xml:space="preserve">RW</t>
  </si>
  <si>
    <t xml:space="preserve">Riverwalk</t>
  </si>
  <si>
    <t xml:space="preserve">Gibsonton, FL</t>
  </si>
  <si>
    <t xml:space="preserve">RIV</t>
  </si>
  <si>
    <t xml:space="preserve">Riviera</t>
  </si>
  <si>
    <t xml:space="preserve">Miami Gardens, FL</t>
  </si>
  <si>
    <t xml:space="preserve">ROYAL</t>
  </si>
  <si>
    <t xml:space="preserve">Royal Oaks MHC</t>
  </si>
  <si>
    <t xml:space="preserve">Vero Beach, FL</t>
  </si>
  <si>
    <t xml:space="preserve">RP</t>
  </si>
  <si>
    <t xml:space="preserve">Royal Palm Trailer Park</t>
  </si>
  <si>
    <t xml:space="preserve">SS</t>
  </si>
  <si>
    <t xml:space="preserve">Sea Shells</t>
  </si>
  <si>
    <t xml:space="preserve">Cape Canaveral, FL</t>
  </si>
  <si>
    <t xml:space="preserve">Sea Shells MHC</t>
  </si>
  <si>
    <t xml:space="preserve">SA</t>
  </si>
  <si>
    <t xml:space="preserve">Shady Acres MHC</t>
  </si>
  <si>
    <t xml:space="preserve">SO</t>
  </si>
  <si>
    <t xml:space="preserve">Shady Oaks MHP</t>
  </si>
  <si>
    <t xml:space="preserve">SP</t>
  </si>
  <si>
    <t xml:space="preserve">Shell Pointe MHC</t>
  </si>
  <si>
    <t xml:space="preserve">SILVER</t>
  </si>
  <si>
    <t xml:space="preserve">Silver Breeze</t>
  </si>
  <si>
    <t xml:space="preserve">Titusville, FL</t>
  </si>
  <si>
    <t xml:space="preserve">SH</t>
  </si>
  <si>
    <t xml:space="preserve">Silver Hill MHC</t>
  </si>
  <si>
    <t xml:space="preserve">Columbia, SC</t>
  </si>
  <si>
    <t xml:space="preserve">SOUTH</t>
  </si>
  <si>
    <t xml:space="preserve">Southgate</t>
  </si>
  <si>
    <t xml:space="preserve">Cape Canavaral, FL</t>
  </si>
  <si>
    <t xml:space="preserve">SUR</t>
  </si>
  <si>
    <t xml:space="preserve">Su-Rene</t>
  </si>
  <si>
    <t xml:space="preserve">TC</t>
  </si>
  <si>
    <t xml:space="preserve">Terrace Crossings</t>
  </si>
  <si>
    <t xml:space="preserve">Thonotosassa, FL</t>
  </si>
  <si>
    <t xml:space="preserve">TO</t>
  </si>
  <si>
    <t xml:space="preserve">The Oaks</t>
  </si>
  <si>
    <t xml:space="preserve">POTCMHC</t>
  </si>
  <si>
    <t xml:space="preserve">Town &amp; Country MHC</t>
  </si>
  <si>
    <t xml:space="preserve">Jacksonville, FL</t>
  </si>
  <si>
    <t xml:space="preserve">TRADE</t>
  </si>
  <si>
    <t xml:space="preserve">Tradewinds MHC</t>
  </si>
  <si>
    <t xml:space="preserve">SSS</t>
  </si>
  <si>
    <t xml:space="preserve">Triple S Marina</t>
  </si>
  <si>
    <t xml:space="preserve">Atlantic Beach, NC</t>
  </si>
  <si>
    <t xml:space="preserve">VO</t>
  </si>
  <si>
    <t xml:space="preserve">Vantage Oaks</t>
  </si>
  <si>
    <t xml:space="preserve">Okeechobee, FL</t>
  </si>
  <si>
    <t xml:space="preserve">Vantage Oaks Utility (utility record)</t>
  </si>
  <si>
    <t xml:space="preserve">Plus a 119-unit utility record the Data Sheet does not carry.</t>
  </si>
  <si>
    <t xml:space="preserve">POWW</t>
  </si>
  <si>
    <t xml:space="preserve">Westwood MHC</t>
  </si>
  <si>
    <t xml:space="preserve">WPMA</t>
  </si>
  <si>
    <t xml:space="preserve">Whispering Pines MA</t>
  </si>
  <si>
    <t xml:space="preserve">WPMH</t>
  </si>
  <si>
    <t xml:space="preserve">Whispering Pines MH FL</t>
  </si>
  <si>
    <t xml:space="preserve">WIND</t>
  </si>
  <si>
    <t xml:space="preserve">Windward Knoll</t>
  </si>
  <si>
    <t xml:space="preserve">TOTAL — 67 communities</t>
  </si>
  <si>
    <t xml:space="preserve">Note: the Data Sheet total of 6,379 is the published portfolio figure. The warehouse total here covers only the 66 of 67 that have a matching record.</t>
  </si>
  <si>
    <t xml:space="preserve">Units</t>
  </si>
  <si>
    <t xml:space="preserve">Why it exists</t>
  </si>
  <si>
    <t xml:space="preserve">What it does to the count</t>
  </si>
  <si>
    <t xml:space="preserve">Northgate Utility</t>
  </si>
  <si>
    <t xml:space="preserve">Utility / sub-meter record</t>
  </si>
  <si>
    <t xml:space="preserve">Meters, not lots. In the by-property table with -236.7% margin</t>
  </si>
  <si>
    <t xml:space="preserve">Vantage Oaks Utility</t>
  </si>
  <si>
    <t xml:space="preserve">Meters, not lots</t>
  </si>
  <si>
    <t xml:space="preserve">Applegate Water</t>
  </si>
  <si>
    <t xml:space="preserve">Northgate RV</t>
  </si>
  <si>
    <t xml:space="preserve">Separate leg of one asset</t>
  </si>
  <si>
    <t xml:space="preserve">Real sites, but the Data Sheet carries Northgate as a single 173-lot line</t>
  </si>
  <si>
    <t xml:space="preserve">xParkwood Manufactured Housing Community</t>
  </si>
  <si>
    <t xml:space="preserve">Archived rename (x-prefix)</t>
  </si>
  <si>
    <t xml:space="preserve">Still carries $706,420 TTM budget and $137,340 AR, 100% over 90</t>
  </si>
  <si>
    <t xml:space="preserve">xParkwood MHC</t>
  </si>
  <si>
    <t xml:space="preserve">Second-order duplicate of the row above. Three records for one 90-lot park</t>
  </si>
  <si>
    <t xml:space="preserve">xBay Oaks Village I</t>
  </si>
  <si>
    <t xml:space="preserve">$167,991 TTM revenue still on the dead record</t>
  </si>
  <si>
    <t xml:space="preserve">xOrmond Beach Oasis</t>
  </si>
  <si>
    <t xml:space="preserve">$150,661 TTM revenue; live record shows only $262,271 of a true $412,932</t>
  </si>
  <si>
    <t xml:space="preserve">xOceanaire MHC</t>
  </si>
  <si>
    <t xml:space="preserve">$180,722 TTM revenue</t>
  </si>
  <si>
    <t xml:space="preserve">xLake Wales MHC</t>
  </si>
  <si>
    <t xml:space="preserve">$98,735 TTM revenue</t>
  </si>
  <si>
    <t xml:space="preserve">xPalm Spring Estates</t>
  </si>
  <si>
    <t xml:space="preserve">$157,177 TTM revenue</t>
  </si>
  <si>
    <t xml:space="preserve">xWolf Bay Manufactured Housing Community</t>
  </si>
  <si>
    <t xml:space="preserve">$113,815 TTM revenue</t>
  </si>
  <si>
    <t xml:space="preserve">xWestwood MHP</t>
  </si>
  <si>
    <t xml:space="preserve">$123,119 TTM revenue</t>
  </si>
  <si>
    <t xml:space="preserve">xGulf Breeze MHP</t>
  </si>
  <si>
    <t xml:space="preserve">$101,671 TTM revenue</t>
  </si>
  <si>
    <t xml:space="preserve">xTown &amp; Country MHC</t>
  </si>
  <si>
    <t xml:space="preserve">$145,338 TTM revenue</t>
  </si>
  <si>
    <t xml:space="preserve">xBay Oaks Village II</t>
  </si>
  <si>
    <t xml:space="preserve">$82,300 TTM revenue</t>
  </si>
  <si>
    <t xml:space="preserve">xLake Saunders RV</t>
  </si>
  <si>
    <t xml:space="preserve">GL only, no unit row. Still accruing expense at -$12,038 TTM NOI</t>
  </si>
  <si>
    <t xml:space="preserve">XRiver Oaks</t>
  </si>
  <si>
    <t xml:space="preserve">Capital X. $1,021 revenue, -$3,888 expense</t>
  </si>
  <si>
    <t xml:space="preserve">Paradise Lakes RV</t>
  </si>
  <si>
    <t xml:space="preserve">Shadow duplicate</t>
  </si>
  <si>
    <t xml:space="preserve">0.0% occupancy. 393 units counted for a 200-site resort</t>
  </si>
  <si>
    <t xml:space="preserve">Cedar Grove MHC</t>
  </si>
  <si>
    <t xml:space="preserve">0.0% occupancy. 269 units counted for a roughly 133-lot property</t>
  </si>
  <si>
    <t xml:space="preserve">Colonial MHC</t>
  </si>
  <si>
    <t xml:space="preserve">0.0% occupancy. 230 units counted</t>
  </si>
  <si>
    <t xml:space="preserve">Lambeth MHC</t>
  </si>
  <si>
    <t xml:space="preserve">0.0% occupancy. 138 units counted</t>
  </si>
  <si>
    <t xml:space="preserve">Lucky Clover RV</t>
  </si>
  <si>
    <t xml:space="preserve">0.0% occupancy. 193 units counted for a 128-lot community</t>
  </si>
  <si>
    <t xml:space="preserve">Geiger RV</t>
  </si>
  <si>
    <t xml:space="preserve">0.0% occupancy. Four records exist for this one asset</t>
  </si>
  <si>
    <t xml:space="preserve">Hunter Springs MHC</t>
  </si>
  <si>
    <t xml:space="preserve">0.0% occupancy, -$6,442 NOI. Drags a real negative into the margin-failure list</t>
  </si>
  <si>
    <t xml:space="preserve">Cambridge Homes</t>
  </si>
  <si>
    <t xml:space="preserve">Plus a GL-only 'Cambridge MHP Investment' entity</t>
  </si>
  <si>
    <t xml:space="preserve">Whispering Pines RV FL</t>
  </si>
  <si>
    <t xml:space="preserve">Zero on every measure</t>
  </si>
  <si>
    <t xml:space="preserve">Cambridge MHC</t>
  </si>
  <si>
    <t xml:space="preserve">Property absent from the 67</t>
  </si>
  <si>
    <t xml:space="preserve">In the by-property table with 149 units, 61.1% occupancy and $311,260 AR at 85% over 90. Not on the Property Data Sheet</t>
  </si>
  <si>
    <t xml:space="preserve">Cedar Grove Manufactured Housing Community</t>
  </si>
  <si>
    <t xml:space="preserve">93.2% occupied and live. Carries $178,871 AR across 123 customers, all over 90 days</t>
  </si>
  <si>
    <t xml:space="preserve">Colonial Manufactured Housing Community</t>
  </si>
  <si>
    <t xml:space="preserve">90.4% occupied and live. $111,839 AR across 103 customers</t>
  </si>
  <si>
    <t xml:space="preserve">Lambeth Manufactured Housing Community</t>
  </si>
  <si>
    <t xml:space="preserve">91.3% occupied and live. $87,407 AR across 62 customers</t>
  </si>
  <si>
    <t xml:space="preserve">Vandemere Manufactured Housing Community</t>
  </si>
  <si>
    <t xml:space="preserve">GL-only, no unit record</t>
  </si>
  <si>
    <t xml:space="preserve">$0 TTM. Plus 'Vandemere Homes' carrying $318 AR</t>
  </si>
  <si>
    <t xml:space="preserve">Northgate MHP</t>
  </si>
  <si>
    <t xml:space="preserve">No units. A fourth Northgate record</t>
  </si>
  <si>
    <t xml:space="preserve">TOTAL</t>
  </si>
  <si>
    <t xml:space="preserve">From 6,379 to 9,355 — where the difference comes from</t>
  </si>
  <si>
    <t xml:space="preserve">Every figure below is a formula over the other two sheets or a stated figure from the warehouse export. Nothing here is typed twice.</t>
  </si>
  <si>
    <t xml:space="preserve">Step</t>
  </si>
  <si>
    <t xml:space="preserve">Running total</t>
  </si>
  <si>
    <t xml:space="preserve">What it is</t>
  </si>
  <si>
    <t xml:space="preserve">Property Data Sheet, 67 communities</t>
  </si>
  <si>
    <t xml:space="preserve">The published portfolio figure. December 2025 vintage.</t>
  </si>
  <si>
    <t xml:space="preserve">Less: the one community with no warehouse record</t>
  </si>
  <si>
    <t xml:space="preserve">Nalls Court MHC, 19 lots. On the Data Sheet, absent from the warehouse.</t>
  </si>
  <si>
    <t xml:space="preserve">Variance on the 66 matched communities</t>
  </si>
  <si>
    <t xml:space="preserve">Sum of the per-property differences. Mostly the Data Sheet counting core rentable units and the warehouse counting every unit record.</t>
  </si>
  <si>
    <t xml:space="preserve">Add: utility and sub-meter records</t>
  </si>
  <si>
    <t xml:space="preserve">Northgate Utility 70, Vantage Oaks Utility 119, Applegate Water 57. Meters, not lots.</t>
  </si>
  <si>
    <t xml:space="preserve">Add: the separate Northgate RV record</t>
  </si>
  <si>
    <t xml:space="preserve">Real sites. The Data Sheet carries Northgate as one 173-lot line.</t>
  </si>
  <si>
    <t xml:space="preserve">Add: communities in the warehouse and not on the Data Sheet</t>
  </si>
  <si>
    <t xml:space="preserve">Cedar Grove 133, Colonial 115, Lambeth 69, Cambridge 149. All live and occupied.</t>
  </si>
  <si>
    <t xml:space="preserve">Add: shadow duplicate records</t>
  </si>
  <si>
    <t xml:space="preserve">Ten communities existing twice. One record holds occupancy, the other holds AR.</t>
  </si>
  <si>
    <t xml:space="preserve">Add: archived x-prefix renames</t>
  </si>
  <si>
    <t xml:space="preserve">Twelve records. Both the old and the new name still carry units, budgets and AR.</t>
  </si>
  <si>
    <t xml:space="preserve">Subtotal explained</t>
  </si>
  <si>
    <t xml:space="preserve">Warehouse raw unit count, as stated</t>
  </si>
  <si>
    <t xml:space="preserve">VERIFIED figure from the warehouse export, snapshot 2026-08.</t>
  </si>
  <si>
    <t xml:space="preserve">Residual not explained by this file</t>
  </si>
  <si>
    <t xml:space="preserve">Section 2 of the export lists only properties with GL activity in the trailing twelve months, so records with units and no GL activity are not in it. This residual is those records. It is shown rather than smoothed. Closing it needs a live query against the unit listing, which this session cannot run.</t>
  </si>
  <si>
    <t xml:space="preserve">For reference: the warehouse's own de-duplicated figure</t>
  </si>
  <si>
    <t xml:space="preserve">Produced by excluding 20 archived or zero-occupancy records. It removes the x-prefix renames and does NOT remove the shadow pairs, the utility records or the four communities missing from the Data Sheet. That is why it is still too high.</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</si>
</sst>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B57"/>
      <name val="Arial"/>
      <family val="0"/>
      <charset val="1"/>
    </font>
    <font>
      <i val="true"/>
      <sz val="10"/>
      <color rgb="FF666666"/>
      <name val="Arial"/>
      <family val="0"/>
      <charset val="1"/>
    </font>
    <font>
      <sz val="10"/>
      <name val="Arial"/>
      <family val="0"/>
      <charset val="1"/>
    </font>
    <font>
      <b val="true"/>
      <sz val="11"/>
      <color rgb="FF1F3B57"/>
      <name val="Arial"/>
      <family val="0"/>
      <charset val="1"/>
    </font>
    <font>
      <b val="true"/>
      <sz val="10"/>
      <color rgb="FFFFFFFF"/>
      <name val="Arial"/>
      <family val="0"/>
      <charset val="1"/>
    </font>
    <font>
      <b val="true"/>
      <sz val="10"/>
      <name val="Arial"/>
      <family val="0"/>
      <charset val="1"/>
    </font>
    <font>
      <i val="true"/>
      <sz val="9"/>
      <color rgb="FF666666"/>
      <name val="Arial"/>
      <family val="0"/>
      <charset val="1"/>
    </font>
  </fonts>
  <fills count="6">
    <fill>
      <patternFill patternType="none"/>
    </fill>
    <fill>
      <patternFill patternType="gray125"/>
    </fill>
    <fill>
      <patternFill patternType="solid">
        <fgColor rgb="FF1F3B57"/>
        <bgColor rgb="FF003366"/>
      </patternFill>
    </fill>
    <fill>
      <patternFill patternType="solid">
        <fgColor rgb="FFFFF4D6"/>
        <bgColor rgb="FFFCE4E4"/>
      </patternFill>
    </fill>
    <fill>
      <patternFill patternType="solid">
        <fgColor rgb="FFFCE4E4"/>
        <bgColor rgb="FFFFF4D6"/>
      </patternFill>
    </fill>
    <fill>
      <patternFill patternType="solid">
        <fgColor rgb="FFE8F4EA"/>
        <bgColor rgb="FFFFF4D6"/>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right"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right"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6"/>
      <rgbColor rgb="FFE8F4EA"/>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3B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30" hidden="false" customHeight="tru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30" hidden="false" customHeight="true" outlineLevel="0" collapsed="false">
      <c r="A8" s="3" t="s">
        <v>5</v>
      </c>
    </row>
    <row r="9" customFormat="false" ht="60" hidden="false" customHeight="true" outlineLevel="0" collapsed="false">
      <c r="A9" s="3" t="s">
        <v>6</v>
      </c>
    </row>
    <row r="10" customFormat="false" ht="60" hidden="false" customHeight="true" outlineLevel="0" collapsed="false">
      <c r="A10" s="3" t="s">
        <v>7</v>
      </c>
    </row>
    <row r="11" customFormat="false" ht="15" hidden="false" customHeight="false" outlineLevel="0" collapsed="false">
      <c r="A11" s="3"/>
    </row>
    <row r="12" customFormat="false" ht="15" hidden="false" customHeight="false" outlineLevel="0" collapsed="false">
      <c r="A12" s="4" t="s">
        <v>8</v>
      </c>
    </row>
    <row r="13" customFormat="false" ht="45" hidden="false" customHeight="true" outlineLevel="0" collapsed="false">
      <c r="A13" s="3" t="s">
        <v>9</v>
      </c>
    </row>
    <row r="14" customFormat="false" ht="30" hidden="false" customHeight="true" outlineLevel="0" collapsed="false">
      <c r="A14" s="3" t="s">
        <v>10</v>
      </c>
    </row>
    <row r="15" customFormat="false" ht="15" hidden="false" customHeight="false" outlineLevel="0" collapsed="false">
      <c r="A15" s="3"/>
    </row>
    <row r="16" customFormat="false" ht="15" hidden="false" customHeight="false" outlineLevel="0" collapsed="false">
      <c r="A16" s="4" t="s">
        <v>11</v>
      </c>
    </row>
    <row r="17" customFormat="false" ht="30" hidden="false" customHeight="true" outlineLevel="0" collapsed="false">
      <c r="A17" s="3" t="s">
        <v>12</v>
      </c>
    </row>
    <row r="18" customFormat="false" ht="15" hidden="false" customHeight="false" outlineLevel="0" collapsed="false">
      <c r="A18" s="3" t="s">
        <v>13</v>
      </c>
    </row>
    <row r="19" customFormat="false" ht="15" hidden="false" customHeight="false" outlineLevel="0" collapsed="false">
      <c r="A19" s="3" t="s">
        <v>14</v>
      </c>
    </row>
    <row r="20" customFormat="false" ht="15" hidden="false" customHeight="false" outlineLevel="0" collapsed="false">
      <c r="A20" s="3"/>
    </row>
    <row r="21" customFormat="false" ht="15" hidden="false" customHeight="false" outlineLevel="0" collapsed="false">
      <c r="A21" s="4" t="s">
        <v>15</v>
      </c>
    </row>
    <row r="22" customFormat="false" ht="15" hidden="false" customHeight="false" outlineLevel="0" collapsed="false">
      <c r="A22" s="3" t="s">
        <v>16</v>
      </c>
    </row>
    <row r="23" customFormat="false" ht="30" hidden="false" customHeight="true" outlineLevel="0" collapsed="false">
      <c r="A23" s="3" t="s">
        <v>17</v>
      </c>
    </row>
    <row r="24" customFormat="false" ht="30" hidden="false" customHeight="true" outlineLevel="0" collapsed="false">
      <c r="A24" s="3" t="s">
        <v>18</v>
      </c>
    </row>
    <row r="25" customFormat="false" ht="30" hidden="false" customHeight="true" outlineLevel="0" collapsed="false">
      <c r="A25"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22"/>
    <col collapsed="false" customWidth="true" hidden="false" outlineLevel="0" max="4" min="4" style="0" width="12"/>
    <col collapsed="false" customWidth="true" hidden="false" outlineLevel="0" max="6" min="5" style="0" width="9"/>
    <col collapsed="false" customWidth="true" hidden="false" outlineLevel="0" max="7" min="7" style="0" width="8"/>
    <col collapsed="false" customWidth="true" hidden="false" outlineLevel="0" max="8" min="8" style="0" width="13"/>
    <col collapsed="false" customWidth="true" hidden="false" outlineLevel="0" max="9" min="9" style="0" width="28"/>
    <col collapsed="false" customWidth="true" hidden="false" outlineLevel="0" max="10" min="10" style="0" width="12"/>
    <col collapsed="false" customWidth="true" hidden="false" outlineLevel="0" max="11" min="11" style="0" width="13"/>
    <col collapsed="false" customWidth="true" hidden="false" outlineLevel="0" max="12" min="12" style="0" width="42"/>
    <col collapsed="false" customWidth="true" hidden="false" outlineLevel="0" max="13" min="13" style="0" width="10"/>
    <col collapsed="false" customWidth="true" hidden="false" outlineLevel="0" max="14" min="14" style="0" width="60"/>
  </cols>
  <sheetData>
    <row r="1" customFormat="false" ht="23.85" hidden="false" customHeight="false" outlineLevel="0" collapsed="false">
      <c r="A1" s="5" t="s">
        <v>20</v>
      </c>
      <c r="B1" s="5" t="s">
        <v>21</v>
      </c>
      <c r="C1" s="5" t="s">
        <v>22</v>
      </c>
      <c r="D1" s="5" t="s">
        <v>23</v>
      </c>
      <c r="E1" s="5" t="s">
        <v>24</v>
      </c>
      <c r="F1" s="5" t="s">
        <v>25</v>
      </c>
      <c r="G1" s="5" t="s">
        <v>26</v>
      </c>
      <c r="H1" s="5" t="s">
        <v>27</v>
      </c>
      <c r="I1" s="5" t="s">
        <v>28</v>
      </c>
      <c r="J1" s="5" t="s">
        <v>29</v>
      </c>
      <c r="K1" s="5" t="s">
        <v>30</v>
      </c>
      <c r="L1" s="5" t="s">
        <v>31</v>
      </c>
      <c r="M1" s="5" t="s">
        <v>32</v>
      </c>
      <c r="N1" s="5" t="s">
        <v>33</v>
      </c>
    </row>
    <row r="2" customFormat="false" ht="15" hidden="false" customHeight="false" outlineLevel="0" collapsed="false">
      <c r="A2" s="6" t="s">
        <v>34</v>
      </c>
      <c r="B2" s="6" t="s">
        <v>35</v>
      </c>
      <c r="C2" s="6" t="s">
        <v>36</v>
      </c>
      <c r="D2" s="6" t="s">
        <v>37</v>
      </c>
      <c r="E2" s="7" t="n">
        <v>40</v>
      </c>
      <c r="F2" s="7" t="n">
        <v>0</v>
      </c>
      <c r="G2" s="7" t="n">
        <v>0</v>
      </c>
      <c r="H2" s="7" t="n">
        <v>40</v>
      </c>
      <c r="I2" s="6" t="s">
        <v>35</v>
      </c>
      <c r="J2" s="7" t="n">
        <v>41</v>
      </c>
      <c r="K2" s="7" t="n">
        <f aca="false">IF(J2="","",J2-H2)</f>
        <v>1</v>
      </c>
      <c r="L2" s="8"/>
      <c r="M2" s="7"/>
      <c r="N2" s="8"/>
    </row>
    <row r="3" customFormat="false" ht="15" hidden="false" customHeight="false" outlineLevel="0" collapsed="false">
      <c r="A3" s="9" t="s">
        <v>38</v>
      </c>
      <c r="B3" s="9" t="s">
        <v>39</v>
      </c>
      <c r="C3" s="9" t="s">
        <v>40</v>
      </c>
      <c r="D3" s="9" t="s">
        <v>41</v>
      </c>
      <c r="E3" s="10" t="n">
        <v>87</v>
      </c>
      <c r="F3" s="10" t="n">
        <v>0</v>
      </c>
      <c r="G3" s="10" t="n">
        <v>1</v>
      </c>
      <c r="H3" s="10" t="n">
        <v>88</v>
      </c>
      <c r="I3" s="9" t="s">
        <v>39</v>
      </c>
      <c r="J3" s="10" t="n">
        <v>88</v>
      </c>
      <c r="K3" s="10" t="n">
        <f aca="false">IF(J3="","",J3-H3)</f>
        <v>0</v>
      </c>
      <c r="L3" s="11" t="s">
        <v>42</v>
      </c>
      <c r="M3" s="10" t="n">
        <v>57</v>
      </c>
      <c r="N3" s="11" t="s">
        <v>43</v>
      </c>
    </row>
    <row r="4" customFormat="false" ht="15" hidden="false" customHeight="false" outlineLevel="0" collapsed="false">
      <c r="A4" s="6" t="s">
        <v>44</v>
      </c>
      <c r="B4" s="6" t="s">
        <v>45</v>
      </c>
      <c r="C4" s="6" t="s">
        <v>46</v>
      </c>
      <c r="D4" s="6" t="s">
        <v>47</v>
      </c>
      <c r="E4" s="7" t="n">
        <v>133</v>
      </c>
      <c r="F4" s="7" t="n">
        <v>0</v>
      </c>
      <c r="G4" s="7" t="n">
        <v>24</v>
      </c>
      <c r="H4" s="7" t="n">
        <v>157</v>
      </c>
      <c r="I4" s="6" t="s">
        <v>45</v>
      </c>
      <c r="J4" s="7" t="n">
        <v>160</v>
      </c>
      <c r="K4" s="7" t="n">
        <f aca="false">IF(J4="","",J4-H4)</f>
        <v>3</v>
      </c>
      <c r="L4" s="8"/>
      <c r="M4" s="7"/>
      <c r="N4" s="8"/>
    </row>
    <row r="5" customFormat="false" ht="15" hidden="false" customHeight="false" outlineLevel="0" collapsed="false">
      <c r="A5" s="6" t="s">
        <v>48</v>
      </c>
      <c r="B5" s="6" t="s">
        <v>49</v>
      </c>
      <c r="C5" s="6" t="s">
        <v>50</v>
      </c>
      <c r="D5" s="6" t="s">
        <v>51</v>
      </c>
      <c r="E5" s="7" t="n">
        <v>87</v>
      </c>
      <c r="F5" s="7" t="n">
        <v>0</v>
      </c>
      <c r="G5" s="7" t="n">
        <v>0</v>
      </c>
      <c r="H5" s="7" t="n">
        <v>87</v>
      </c>
      <c r="I5" s="6" t="s">
        <v>49</v>
      </c>
      <c r="J5" s="7" t="n">
        <v>87</v>
      </c>
      <c r="K5" s="7" t="n">
        <f aca="false">IF(J5="","",J5-H5)</f>
        <v>0</v>
      </c>
      <c r="L5" s="8"/>
      <c r="M5" s="7"/>
      <c r="N5" s="8"/>
    </row>
    <row r="6" customFormat="false" ht="15" hidden="false" customHeight="false" outlineLevel="0" collapsed="false">
      <c r="A6" s="6" t="s">
        <v>52</v>
      </c>
      <c r="B6" s="6" t="s">
        <v>53</v>
      </c>
      <c r="C6" s="6" t="s">
        <v>50</v>
      </c>
      <c r="D6" s="6" t="s">
        <v>51</v>
      </c>
      <c r="E6" s="7" t="n">
        <v>34</v>
      </c>
      <c r="F6" s="7" t="n">
        <v>0</v>
      </c>
      <c r="G6" s="7" t="n">
        <v>0</v>
      </c>
      <c r="H6" s="7" t="n">
        <v>34</v>
      </c>
      <c r="I6" s="6" t="s">
        <v>53</v>
      </c>
      <c r="J6" s="7" t="n">
        <v>34</v>
      </c>
      <c r="K6" s="7" t="n">
        <f aca="false">IF(J6="","",J6-H6)</f>
        <v>0</v>
      </c>
      <c r="L6" s="8"/>
      <c r="M6" s="7"/>
      <c r="N6" s="8"/>
    </row>
    <row r="7" customFormat="false" ht="15" hidden="false" customHeight="false" outlineLevel="0" collapsed="false">
      <c r="A7" s="6" t="s">
        <v>54</v>
      </c>
      <c r="B7" s="6" t="s">
        <v>55</v>
      </c>
      <c r="C7" s="6" t="s">
        <v>56</v>
      </c>
      <c r="D7" s="6" t="s">
        <v>41</v>
      </c>
      <c r="E7" s="7" t="n">
        <v>59</v>
      </c>
      <c r="F7" s="7" t="n">
        <v>34</v>
      </c>
      <c r="G7" s="7" t="n">
        <v>0</v>
      </c>
      <c r="H7" s="7" t="n">
        <v>93</v>
      </c>
      <c r="I7" s="6" t="s">
        <v>55</v>
      </c>
      <c r="J7" s="7" t="n">
        <v>93</v>
      </c>
      <c r="K7" s="7" t="n">
        <f aca="false">IF(J7="","",J7-H7)</f>
        <v>0</v>
      </c>
      <c r="L7" s="8"/>
      <c r="M7" s="7"/>
      <c r="N7" s="8"/>
    </row>
    <row r="8" customFormat="false" ht="15" hidden="false" customHeight="false" outlineLevel="0" collapsed="false">
      <c r="A8" s="6" t="s">
        <v>57</v>
      </c>
      <c r="B8" s="6" t="s">
        <v>58</v>
      </c>
      <c r="C8" s="6" t="s">
        <v>59</v>
      </c>
      <c r="D8" s="6" t="s">
        <v>47</v>
      </c>
      <c r="E8" s="7" t="n">
        <v>57</v>
      </c>
      <c r="F8" s="7" t="n">
        <v>0</v>
      </c>
      <c r="G8" s="7" t="n">
        <v>5</v>
      </c>
      <c r="H8" s="7" t="n">
        <v>62</v>
      </c>
      <c r="I8" s="6" t="s">
        <v>58</v>
      </c>
      <c r="J8" s="7" t="n">
        <v>65</v>
      </c>
      <c r="K8" s="7" t="n">
        <f aca="false">IF(J8="","",J8-H8)</f>
        <v>3</v>
      </c>
      <c r="L8" s="8"/>
      <c r="M8" s="7"/>
      <c r="N8" s="8"/>
    </row>
    <row r="9" customFormat="false" ht="15" hidden="false" customHeight="false" outlineLevel="0" collapsed="false">
      <c r="A9" s="6" t="s">
        <v>60</v>
      </c>
      <c r="B9" s="6" t="s">
        <v>61</v>
      </c>
      <c r="C9" s="6" t="s">
        <v>62</v>
      </c>
      <c r="D9" s="6" t="s">
        <v>41</v>
      </c>
      <c r="E9" s="7" t="n">
        <v>74</v>
      </c>
      <c r="F9" s="7" t="n">
        <v>0</v>
      </c>
      <c r="G9" s="7" t="n">
        <v>1</v>
      </c>
      <c r="H9" s="7" t="n">
        <v>75</v>
      </c>
      <c r="I9" s="6" t="s">
        <v>61</v>
      </c>
      <c r="J9" s="7" t="n">
        <v>76</v>
      </c>
      <c r="K9" s="7" t="n">
        <f aca="false">IF(J9="","",J9-H9)</f>
        <v>1</v>
      </c>
      <c r="L9" s="8"/>
      <c r="M9" s="7"/>
      <c r="N9" s="8"/>
    </row>
    <row r="10" customFormat="false" ht="15" hidden="false" customHeight="false" outlineLevel="0" collapsed="false">
      <c r="A10" s="6" t="s">
        <v>63</v>
      </c>
      <c r="B10" s="6" t="s">
        <v>64</v>
      </c>
      <c r="C10" s="6" t="s">
        <v>65</v>
      </c>
      <c r="D10" s="6" t="s">
        <v>41</v>
      </c>
      <c r="E10" s="7" t="n">
        <v>64</v>
      </c>
      <c r="F10" s="7" t="n">
        <v>0</v>
      </c>
      <c r="G10" s="7" t="n">
        <v>0</v>
      </c>
      <c r="H10" s="7" t="n">
        <v>64</v>
      </c>
      <c r="I10" s="6" t="s">
        <v>64</v>
      </c>
      <c r="J10" s="7" t="n">
        <v>64</v>
      </c>
      <c r="K10" s="7" t="n">
        <f aca="false">IF(J10="","",J10-H10)</f>
        <v>0</v>
      </c>
      <c r="L10" s="8"/>
      <c r="M10" s="7"/>
      <c r="N10" s="8"/>
    </row>
    <row r="11" customFormat="false" ht="15" hidden="false" customHeight="false" outlineLevel="0" collapsed="false">
      <c r="A11" s="6" t="s">
        <v>66</v>
      </c>
      <c r="B11" s="6" t="s">
        <v>67</v>
      </c>
      <c r="C11" s="6" t="s">
        <v>68</v>
      </c>
      <c r="D11" s="6" t="s">
        <v>41</v>
      </c>
      <c r="E11" s="7" t="n">
        <v>30</v>
      </c>
      <c r="F11" s="7" t="n">
        <v>0</v>
      </c>
      <c r="G11" s="7" t="n">
        <v>1</v>
      </c>
      <c r="H11" s="7" t="n">
        <v>31</v>
      </c>
      <c r="I11" s="6" t="s">
        <v>67</v>
      </c>
      <c r="J11" s="7" t="n">
        <v>31</v>
      </c>
      <c r="K11" s="7" t="n">
        <f aca="false">IF(J11="","",J11-H11)</f>
        <v>0</v>
      </c>
      <c r="L11" s="8"/>
      <c r="M11" s="7"/>
      <c r="N11" s="8"/>
    </row>
    <row r="12" customFormat="false" ht="15" hidden="false" customHeight="false" outlineLevel="0" collapsed="false">
      <c r="A12" s="6" t="s">
        <v>69</v>
      </c>
      <c r="B12" s="6" t="s">
        <v>70</v>
      </c>
      <c r="C12" s="6" t="s">
        <v>71</v>
      </c>
      <c r="D12" s="6" t="s">
        <v>72</v>
      </c>
      <c r="E12" s="7" t="n">
        <v>31</v>
      </c>
      <c r="F12" s="7" t="n">
        <v>17</v>
      </c>
      <c r="G12" s="7" t="n">
        <v>0</v>
      </c>
      <c r="H12" s="7" t="n">
        <v>48</v>
      </c>
      <c r="I12" s="6" t="s">
        <v>70</v>
      </c>
      <c r="J12" s="7" t="n">
        <v>51</v>
      </c>
      <c r="K12" s="7" t="n">
        <f aca="false">IF(J12="","",J12-H12)</f>
        <v>3</v>
      </c>
      <c r="L12" s="8"/>
      <c r="M12" s="7"/>
      <c r="N12" s="8"/>
    </row>
    <row r="13" customFormat="false" ht="15" hidden="false" customHeight="false" outlineLevel="0" collapsed="false">
      <c r="A13" s="6" t="s">
        <v>73</v>
      </c>
      <c r="B13" s="6" t="s">
        <v>74</v>
      </c>
      <c r="C13" s="6" t="s">
        <v>59</v>
      </c>
      <c r="D13" s="6" t="s">
        <v>47</v>
      </c>
      <c r="E13" s="7" t="n">
        <v>127</v>
      </c>
      <c r="F13" s="7" t="n">
        <v>0</v>
      </c>
      <c r="G13" s="7" t="n">
        <v>0</v>
      </c>
      <c r="H13" s="7" t="n">
        <v>127</v>
      </c>
      <c r="I13" s="6" t="s">
        <v>74</v>
      </c>
      <c r="J13" s="7" t="n">
        <v>127</v>
      </c>
      <c r="K13" s="7" t="n">
        <f aca="false">IF(J13="","",J13-H13)</f>
        <v>0</v>
      </c>
      <c r="L13" s="8"/>
      <c r="M13" s="7"/>
      <c r="N13" s="8"/>
    </row>
    <row r="14" customFormat="false" ht="15" hidden="false" customHeight="false" outlineLevel="0" collapsed="false">
      <c r="A14" s="6" t="s">
        <v>75</v>
      </c>
      <c r="B14" s="6" t="s">
        <v>76</v>
      </c>
      <c r="C14" s="6" t="s">
        <v>77</v>
      </c>
      <c r="D14" s="6" t="s">
        <v>78</v>
      </c>
      <c r="E14" s="7" t="n">
        <v>55</v>
      </c>
      <c r="F14" s="7" t="n">
        <v>0</v>
      </c>
      <c r="G14" s="7" t="n">
        <v>0</v>
      </c>
      <c r="H14" s="7" t="n">
        <v>55</v>
      </c>
      <c r="I14" s="6" t="s">
        <v>79</v>
      </c>
      <c r="J14" s="7" t="n">
        <v>55</v>
      </c>
      <c r="K14" s="7" t="n">
        <f aca="false">IF(J14="","",J14-H14)</f>
        <v>0</v>
      </c>
      <c r="L14" s="8"/>
      <c r="M14" s="7"/>
      <c r="N14" s="8"/>
    </row>
    <row r="15" customFormat="false" ht="15" hidden="false" customHeight="false" outlineLevel="0" collapsed="false">
      <c r="A15" s="6" t="s">
        <v>80</v>
      </c>
      <c r="B15" s="6" t="s">
        <v>81</v>
      </c>
      <c r="C15" s="6" t="s">
        <v>82</v>
      </c>
      <c r="D15" s="6" t="s">
        <v>47</v>
      </c>
      <c r="E15" s="7" t="n">
        <v>129</v>
      </c>
      <c r="F15" s="7" t="n">
        <v>0</v>
      </c>
      <c r="G15" s="7" t="n">
        <v>0</v>
      </c>
      <c r="H15" s="7" t="n">
        <v>129</v>
      </c>
      <c r="I15" s="6" t="s">
        <v>81</v>
      </c>
      <c r="J15" s="7" t="n">
        <v>129</v>
      </c>
      <c r="K15" s="7" t="n">
        <f aca="false">IF(J15="","",J15-H15)</f>
        <v>0</v>
      </c>
      <c r="L15" s="8"/>
      <c r="M15" s="7"/>
      <c r="N15" s="8"/>
    </row>
    <row r="16" customFormat="false" ht="23.85" hidden="false" customHeight="false" outlineLevel="0" collapsed="false">
      <c r="A16" s="6" t="s">
        <v>83</v>
      </c>
      <c r="B16" s="6" t="s">
        <v>84</v>
      </c>
      <c r="C16" s="6" t="s">
        <v>85</v>
      </c>
      <c r="D16" s="6" t="s">
        <v>41</v>
      </c>
      <c r="E16" s="7" t="n">
        <v>0</v>
      </c>
      <c r="F16" s="7" t="n">
        <v>36</v>
      </c>
      <c r="G16" s="7" t="n">
        <v>22</v>
      </c>
      <c r="H16" s="7" t="n">
        <v>58</v>
      </c>
      <c r="I16" s="6" t="s">
        <v>84</v>
      </c>
      <c r="J16" s="7" t="n">
        <v>63</v>
      </c>
      <c r="K16" s="7" t="n">
        <f aca="false">IF(J16="","",J16-H16)</f>
        <v>5</v>
      </c>
      <c r="L16" s="8"/>
      <c r="M16" s="7"/>
      <c r="N16" s="8" t="s">
        <v>86</v>
      </c>
    </row>
    <row r="17" customFormat="false" ht="15" hidden="false" customHeight="false" outlineLevel="0" collapsed="false">
      <c r="A17" s="6" t="s">
        <v>87</v>
      </c>
      <c r="B17" s="6" t="s">
        <v>88</v>
      </c>
      <c r="C17" s="6" t="s">
        <v>89</v>
      </c>
      <c r="D17" s="6" t="s">
        <v>47</v>
      </c>
      <c r="E17" s="7" t="n">
        <v>0</v>
      </c>
      <c r="F17" s="7" t="n">
        <v>198</v>
      </c>
      <c r="G17" s="7" t="n">
        <v>0</v>
      </c>
      <c r="H17" s="7" t="n">
        <v>198</v>
      </c>
      <c r="I17" s="6" t="s">
        <v>88</v>
      </c>
      <c r="J17" s="7" t="n">
        <v>231</v>
      </c>
      <c r="K17" s="7" t="n">
        <f aca="false">IF(J17="","",J17-H17)</f>
        <v>33</v>
      </c>
      <c r="L17" s="8"/>
      <c r="M17" s="7"/>
      <c r="N17" s="8" t="s">
        <v>90</v>
      </c>
    </row>
    <row r="18" customFormat="false" ht="15" hidden="false" customHeight="false" outlineLevel="0" collapsed="false">
      <c r="A18" s="6" t="s">
        <v>91</v>
      </c>
      <c r="B18" s="6" t="s">
        <v>92</v>
      </c>
      <c r="C18" s="6" t="s">
        <v>93</v>
      </c>
      <c r="D18" s="6" t="s">
        <v>47</v>
      </c>
      <c r="E18" s="7" t="n">
        <v>95</v>
      </c>
      <c r="F18" s="7" t="n">
        <v>0</v>
      </c>
      <c r="G18" s="7" t="n">
        <v>0</v>
      </c>
      <c r="H18" s="7" t="n">
        <v>95</v>
      </c>
      <c r="I18" s="6" t="s">
        <v>92</v>
      </c>
      <c r="J18" s="7" t="n">
        <v>95</v>
      </c>
      <c r="K18" s="7" t="n">
        <f aca="false">IF(J18="","",J18-H18)</f>
        <v>0</v>
      </c>
      <c r="L18" s="8"/>
      <c r="M18" s="7"/>
      <c r="N18" s="8"/>
    </row>
    <row r="19" customFormat="false" ht="15" hidden="false" customHeight="false" outlineLevel="0" collapsed="false">
      <c r="A19" s="6" t="s">
        <v>94</v>
      </c>
      <c r="B19" s="6" t="s">
        <v>95</v>
      </c>
      <c r="C19" s="6" t="s">
        <v>96</v>
      </c>
      <c r="D19" s="6" t="s">
        <v>51</v>
      </c>
      <c r="E19" s="7" t="n">
        <v>39</v>
      </c>
      <c r="F19" s="7" t="n">
        <v>0</v>
      </c>
      <c r="G19" s="7" t="n">
        <v>0</v>
      </c>
      <c r="H19" s="7" t="n">
        <v>39</v>
      </c>
      <c r="I19" s="6" t="s">
        <v>95</v>
      </c>
      <c r="J19" s="7" t="n">
        <v>39</v>
      </c>
      <c r="K19" s="7" t="n">
        <f aca="false">IF(J19="","",J19-H19)</f>
        <v>0</v>
      </c>
      <c r="L19" s="8"/>
      <c r="M19" s="7"/>
      <c r="N19" s="8"/>
    </row>
    <row r="20" customFormat="false" ht="15" hidden="false" customHeight="false" outlineLevel="0" collapsed="false">
      <c r="A20" s="6" t="s">
        <v>97</v>
      </c>
      <c r="B20" s="6" t="s">
        <v>98</v>
      </c>
      <c r="C20" s="6" t="s">
        <v>65</v>
      </c>
      <c r="D20" s="6" t="s">
        <v>41</v>
      </c>
      <c r="E20" s="7" t="n">
        <v>46</v>
      </c>
      <c r="F20" s="7" t="n">
        <v>0</v>
      </c>
      <c r="G20" s="7" t="n">
        <v>0</v>
      </c>
      <c r="H20" s="7" t="n">
        <v>46</v>
      </c>
      <c r="I20" s="6" t="s">
        <v>98</v>
      </c>
      <c r="J20" s="7" t="n">
        <v>46</v>
      </c>
      <c r="K20" s="7" t="n">
        <f aca="false">IF(J20="","",J20-H20)</f>
        <v>0</v>
      </c>
      <c r="L20" s="8"/>
      <c r="M20" s="7"/>
      <c r="N20" s="8"/>
    </row>
    <row r="21" customFormat="false" ht="35.05" hidden="false" customHeight="false" outlineLevel="0" collapsed="false">
      <c r="A21" s="6" t="s">
        <v>99</v>
      </c>
      <c r="B21" s="6" t="s">
        <v>100</v>
      </c>
      <c r="C21" s="6" t="s">
        <v>101</v>
      </c>
      <c r="D21" s="6" t="s">
        <v>102</v>
      </c>
      <c r="E21" s="7" t="n">
        <v>0</v>
      </c>
      <c r="F21" s="7" t="n">
        <v>0</v>
      </c>
      <c r="G21" s="7" t="n">
        <v>0</v>
      </c>
      <c r="H21" s="7" t="n">
        <v>0</v>
      </c>
      <c r="I21" s="6" t="s">
        <v>103</v>
      </c>
      <c r="J21" s="7" t="n">
        <v>66</v>
      </c>
      <c r="K21" s="7" t="n">
        <f aca="false">IF(J21="","",J21-H21)</f>
        <v>66</v>
      </c>
      <c r="L21" s="8"/>
      <c r="M21" s="7"/>
      <c r="N21" s="8" t="s">
        <v>104</v>
      </c>
    </row>
    <row r="22" customFormat="false" ht="15" hidden="false" customHeight="false" outlineLevel="0" collapsed="false">
      <c r="A22" s="6" t="s">
        <v>105</v>
      </c>
      <c r="B22" s="6" t="s">
        <v>106</v>
      </c>
      <c r="C22" s="6" t="s">
        <v>93</v>
      </c>
      <c r="D22" s="6" t="s">
        <v>47</v>
      </c>
      <c r="E22" s="7" t="n">
        <v>75</v>
      </c>
      <c r="F22" s="7" t="n">
        <v>0</v>
      </c>
      <c r="G22" s="7" t="n">
        <v>1</v>
      </c>
      <c r="H22" s="7" t="n">
        <v>76</v>
      </c>
      <c r="I22" s="6" t="s">
        <v>106</v>
      </c>
      <c r="J22" s="7" t="n">
        <v>76</v>
      </c>
      <c r="K22" s="7" t="n">
        <f aca="false">IF(J22="","",J22-H22)</f>
        <v>0</v>
      </c>
      <c r="L22" s="8"/>
      <c r="M22" s="7"/>
      <c r="N22" s="8"/>
    </row>
    <row r="23" customFormat="false" ht="23.85" hidden="false" customHeight="false" outlineLevel="0" collapsed="false">
      <c r="A23" s="9" t="s">
        <v>107</v>
      </c>
      <c r="B23" s="9" t="s">
        <v>108</v>
      </c>
      <c r="C23" s="9" t="s">
        <v>71</v>
      </c>
      <c r="D23" s="9" t="s">
        <v>72</v>
      </c>
      <c r="E23" s="10" t="n">
        <v>25</v>
      </c>
      <c r="F23" s="10" t="n">
        <v>0</v>
      </c>
      <c r="G23" s="10" t="n">
        <v>0</v>
      </c>
      <c r="H23" s="10" t="n">
        <v>25</v>
      </c>
      <c r="I23" s="9" t="s">
        <v>108</v>
      </c>
      <c r="J23" s="10" t="n">
        <v>25</v>
      </c>
      <c r="K23" s="10" t="n">
        <f aca="false">IF(J23="","",J23-H23)</f>
        <v>0</v>
      </c>
      <c r="L23" s="11" t="s">
        <v>109</v>
      </c>
      <c r="M23" s="10" t="n">
        <v>25</v>
      </c>
      <c r="N23" s="11"/>
    </row>
    <row r="24" customFormat="false" ht="15" hidden="false" customHeight="false" outlineLevel="0" collapsed="false">
      <c r="A24" s="6" t="s">
        <v>110</v>
      </c>
      <c r="B24" s="6" t="s">
        <v>111</v>
      </c>
      <c r="C24" s="6" t="s">
        <v>62</v>
      </c>
      <c r="D24" s="6" t="s">
        <v>41</v>
      </c>
      <c r="E24" s="7" t="n">
        <v>97</v>
      </c>
      <c r="F24" s="7" t="n">
        <v>0</v>
      </c>
      <c r="G24" s="7" t="n">
        <v>2</v>
      </c>
      <c r="H24" s="7" t="n">
        <v>99</v>
      </c>
      <c r="I24" s="6" t="s">
        <v>111</v>
      </c>
      <c r="J24" s="7" t="n">
        <v>100</v>
      </c>
      <c r="K24" s="7" t="n">
        <f aca="false">IF(J24="","",J24-H24)</f>
        <v>1</v>
      </c>
      <c r="L24" s="8"/>
      <c r="M24" s="7"/>
      <c r="N24" s="8"/>
    </row>
    <row r="25" customFormat="false" ht="15" hidden="false" customHeight="false" outlineLevel="0" collapsed="false">
      <c r="A25" s="6" t="s">
        <v>112</v>
      </c>
      <c r="B25" s="6" t="s">
        <v>113</v>
      </c>
      <c r="C25" s="6" t="s">
        <v>114</v>
      </c>
      <c r="D25" s="6" t="s">
        <v>41</v>
      </c>
      <c r="E25" s="7" t="n">
        <v>45</v>
      </c>
      <c r="F25" s="7" t="n">
        <v>0</v>
      </c>
      <c r="G25" s="7" t="n">
        <v>2</v>
      </c>
      <c r="H25" s="7" t="n">
        <v>47</v>
      </c>
      <c r="I25" s="6" t="s">
        <v>113</v>
      </c>
      <c r="J25" s="7" t="n">
        <v>48</v>
      </c>
      <c r="K25" s="7" t="n">
        <f aca="false">IF(J25="","",J25-H25)</f>
        <v>1</v>
      </c>
      <c r="L25" s="8"/>
      <c r="M25" s="7"/>
      <c r="N25" s="8"/>
    </row>
    <row r="26" customFormat="false" ht="15" hidden="false" customHeight="false" outlineLevel="0" collapsed="false">
      <c r="A26" s="6" t="s">
        <v>115</v>
      </c>
      <c r="B26" s="6" t="s">
        <v>116</v>
      </c>
      <c r="C26" s="6" t="s">
        <v>117</v>
      </c>
      <c r="D26" s="6" t="s">
        <v>51</v>
      </c>
      <c r="E26" s="7" t="n">
        <v>47</v>
      </c>
      <c r="F26" s="7" t="n">
        <v>0</v>
      </c>
      <c r="G26" s="7" t="n">
        <v>0</v>
      </c>
      <c r="H26" s="7" t="n">
        <v>47</v>
      </c>
      <c r="I26" s="6" t="s">
        <v>116</v>
      </c>
      <c r="J26" s="7" t="n">
        <v>48</v>
      </c>
      <c r="K26" s="7" t="n">
        <f aca="false">IF(J26="","",J26-H26)</f>
        <v>1</v>
      </c>
      <c r="L26" s="8"/>
      <c r="M26" s="7"/>
      <c r="N26" s="8"/>
    </row>
    <row r="27" customFormat="false" ht="15" hidden="false" customHeight="false" outlineLevel="0" collapsed="false">
      <c r="A27" s="6" t="s">
        <v>118</v>
      </c>
      <c r="B27" s="6" t="s">
        <v>119</v>
      </c>
      <c r="C27" s="6" t="s">
        <v>120</v>
      </c>
      <c r="D27" s="6" t="s">
        <v>121</v>
      </c>
      <c r="E27" s="7" t="n">
        <v>53</v>
      </c>
      <c r="F27" s="7" t="n">
        <v>0</v>
      </c>
      <c r="G27" s="7" t="n">
        <v>0</v>
      </c>
      <c r="H27" s="7" t="n">
        <v>53</v>
      </c>
      <c r="I27" s="6" t="s">
        <v>119</v>
      </c>
      <c r="J27" s="7" t="n">
        <v>53</v>
      </c>
      <c r="K27" s="7" t="n">
        <f aca="false">IF(J27="","",J27-H27)</f>
        <v>0</v>
      </c>
      <c r="L27" s="8"/>
      <c r="M27" s="7"/>
      <c r="N27" s="8"/>
    </row>
    <row r="28" customFormat="false" ht="15" hidden="false" customHeight="false" outlineLevel="0" collapsed="false">
      <c r="A28" s="6" t="s">
        <v>122</v>
      </c>
      <c r="B28" s="6" t="s">
        <v>123</v>
      </c>
      <c r="C28" s="6" t="s">
        <v>124</v>
      </c>
      <c r="D28" s="6" t="s">
        <v>41</v>
      </c>
      <c r="E28" s="7" t="n">
        <v>119</v>
      </c>
      <c r="F28" s="7" t="n">
        <v>0</v>
      </c>
      <c r="G28" s="7" t="n">
        <v>2</v>
      </c>
      <c r="H28" s="7" t="n">
        <v>121</v>
      </c>
      <c r="I28" s="6" t="s">
        <v>123</v>
      </c>
      <c r="J28" s="7" t="n">
        <v>128</v>
      </c>
      <c r="K28" s="7" t="n">
        <f aca="false">IF(J28="","",J28-H28)</f>
        <v>7</v>
      </c>
      <c r="L28" s="8"/>
      <c r="M28" s="7"/>
      <c r="N28" s="8" t="s">
        <v>125</v>
      </c>
    </row>
    <row r="29" customFormat="false" ht="15" hidden="false" customHeight="false" outlineLevel="0" collapsed="false">
      <c r="A29" s="6" t="s">
        <v>126</v>
      </c>
      <c r="B29" s="6" t="s">
        <v>127</v>
      </c>
      <c r="C29" s="6" t="s">
        <v>128</v>
      </c>
      <c r="D29" s="6" t="s">
        <v>102</v>
      </c>
      <c r="E29" s="7" t="n">
        <v>50</v>
      </c>
      <c r="F29" s="7" t="n">
        <v>0</v>
      </c>
      <c r="G29" s="7" t="n">
        <v>0</v>
      </c>
      <c r="H29" s="7" t="n">
        <v>50</v>
      </c>
      <c r="I29" s="6" t="s">
        <v>127</v>
      </c>
      <c r="J29" s="7" t="n">
        <v>50</v>
      </c>
      <c r="K29" s="7" t="n">
        <f aca="false">IF(J29="","",J29-H29)</f>
        <v>0</v>
      </c>
      <c r="L29" s="8"/>
      <c r="M29" s="7"/>
      <c r="N29" s="8"/>
    </row>
    <row r="30" customFormat="false" ht="15" hidden="false" customHeight="false" outlineLevel="0" collapsed="false">
      <c r="A30" s="6" t="s">
        <v>129</v>
      </c>
      <c r="B30" s="6" t="s">
        <v>130</v>
      </c>
      <c r="C30" s="6" t="s">
        <v>131</v>
      </c>
      <c r="D30" s="6" t="s">
        <v>47</v>
      </c>
      <c r="E30" s="7" t="n">
        <v>232</v>
      </c>
      <c r="F30" s="7" t="n">
        <v>0</v>
      </c>
      <c r="G30" s="7" t="n">
        <v>0</v>
      </c>
      <c r="H30" s="7" t="n">
        <v>232</v>
      </c>
      <c r="I30" s="6" t="s">
        <v>130</v>
      </c>
      <c r="J30" s="7" t="n">
        <v>232</v>
      </c>
      <c r="K30" s="7" t="n">
        <f aca="false">IF(J30="","",J30-H30)</f>
        <v>0</v>
      </c>
      <c r="L30" s="8"/>
      <c r="M30" s="7"/>
      <c r="N30" s="8"/>
    </row>
    <row r="31" customFormat="false" ht="15" hidden="false" customHeight="false" outlineLevel="0" collapsed="false">
      <c r="A31" s="6" t="s">
        <v>132</v>
      </c>
      <c r="B31" s="6" t="s">
        <v>133</v>
      </c>
      <c r="C31" s="6" t="s">
        <v>134</v>
      </c>
      <c r="D31" s="6" t="s">
        <v>102</v>
      </c>
      <c r="E31" s="7" t="n">
        <v>69</v>
      </c>
      <c r="F31" s="7" t="n">
        <v>0</v>
      </c>
      <c r="G31" s="7" t="n">
        <v>0</v>
      </c>
      <c r="H31" s="7" t="n">
        <v>69</v>
      </c>
      <c r="I31" s="6" t="s">
        <v>135</v>
      </c>
      <c r="J31" s="7" t="n">
        <v>69</v>
      </c>
      <c r="K31" s="7" t="n">
        <f aca="false">IF(J31="","",J31-H31)</f>
        <v>0</v>
      </c>
      <c r="L31" s="8"/>
      <c r="M31" s="7"/>
      <c r="N31" s="8"/>
    </row>
    <row r="32" customFormat="false" ht="15" hidden="false" customHeight="false" outlineLevel="0" collapsed="false">
      <c r="A32" s="6" t="s">
        <v>136</v>
      </c>
      <c r="B32" s="6" t="s">
        <v>137</v>
      </c>
      <c r="C32" s="6" t="s">
        <v>138</v>
      </c>
      <c r="D32" s="6" t="s">
        <v>37</v>
      </c>
      <c r="E32" s="7" t="n">
        <v>61</v>
      </c>
      <c r="F32" s="7" t="n">
        <v>0</v>
      </c>
      <c r="G32" s="7" t="n">
        <v>0</v>
      </c>
      <c r="H32" s="7" t="n">
        <v>61</v>
      </c>
      <c r="I32" s="6" t="s">
        <v>137</v>
      </c>
      <c r="J32" s="7" t="n">
        <v>61</v>
      </c>
      <c r="K32" s="7" t="n">
        <f aca="false">IF(J32="","",J32-H32)</f>
        <v>0</v>
      </c>
      <c r="L32" s="8"/>
      <c r="M32" s="7"/>
      <c r="N32" s="8"/>
    </row>
    <row r="33" customFormat="false" ht="35.05" hidden="false" customHeight="false" outlineLevel="0" collapsed="false">
      <c r="A33" s="12" t="s">
        <v>139</v>
      </c>
      <c r="B33" s="12" t="s">
        <v>140</v>
      </c>
      <c r="C33" s="12" t="s">
        <v>77</v>
      </c>
      <c r="D33" s="12" t="s">
        <v>102</v>
      </c>
      <c r="E33" s="13" t="n">
        <v>19</v>
      </c>
      <c r="F33" s="13" t="n">
        <v>0</v>
      </c>
      <c r="G33" s="13" t="n">
        <v>0</v>
      </c>
      <c r="H33" s="13" t="n">
        <v>19</v>
      </c>
      <c r="I33" s="12" t="s">
        <v>141</v>
      </c>
      <c r="J33" s="13"/>
      <c r="K33" s="13" t="str">
        <f aca="false">IF(J33="","",J33-H33)</f>
        <v/>
      </c>
      <c r="L33" s="14"/>
      <c r="M33" s="13"/>
      <c r="N33" s="14" t="s">
        <v>142</v>
      </c>
    </row>
    <row r="34" customFormat="false" ht="35.05" hidden="false" customHeight="false" outlineLevel="0" collapsed="false">
      <c r="A34" s="9" t="s">
        <v>143</v>
      </c>
      <c r="B34" s="9" t="s">
        <v>144</v>
      </c>
      <c r="C34" s="9" t="s">
        <v>145</v>
      </c>
      <c r="D34" s="9" t="s">
        <v>47</v>
      </c>
      <c r="E34" s="10" t="n">
        <v>172</v>
      </c>
      <c r="F34" s="10" t="n">
        <v>0</v>
      </c>
      <c r="G34" s="10" t="n">
        <v>1</v>
      </c>
      <c r="H34" s="10" t="n">
        <v>173</v>
      </c>
      <c r="I34" s="9" t="s">
        <v>144</v>
      </c>
      <c r="J34" s="10" t="n">
        <v>222</v>
      </c>
      <c r="K34" s="10" t="n">
        <f aca="false">IF(J34="","",J34-H34)</f>
        <v>49</v>
      </c>
      <c r="L34" s="11" t="s">
        <v>146</v>
      </c>
      <c r="M34" s="10" t="n">
        <v>187</v>
      </c>
      <c r="N34" s="11" t="s">
        <v>147</v>
      </c>
    </row>
    <row r="35" customFormat="false" ht="15" hidden="false" customHeight="false" outlineLevel="0" collapsed="false">
      <c r="A35" s="6" t="s">
        <v>148</v>
      </c>
      <c r="B35" s="6" t="s">
        <v>149</v>
      </c>
      <c r="C35" s="6" t="s">
        <v>150</v>
      </c>
      <c r="D35" s="6" t="s">
        <v>47</v>
      </c>
      <c r="E35" s="7" t="n">
        <v>93</v>
      </c>
      <c r="F35" s="7" t="n">
        <v>0</v>
      </c>
      <c r="G35" s="7" t="n">
        <v>0</v>
      </c>
      <c r="H35" s="7" t="n">
        <v>93</v>
      </c>
      <c r="I35" s="6" t="s">
        <v>149</v>
      </c>
      <c r="J35" s="7" t="n">
        <v>93</v>
      </c>
      <c r="K35" s="7" t="n">
        <f aca="false">IF(J35="","",J35-H35)</f>
        <v>0</v>
      </c>
      <c r="L35" s="8"/>
      <c r="M35" s="7"/>
      <c r="N35" s="8"/>
    </row>
    <row r="36" customFormat="false" ht="15" hidden="false" customHeight="false" outlineLevel="0" collapsed="false">
      <c r="A36" s="6" t="s">
        <v>151</v>
      </c>
      <c r="B36" s="6" t="s">
        <v>152</v>
      </c>
      <c r="C36" s="6" t="s">
        <v>153</v>
      </c>
      <c r="D36" s="6" t="s">
        <v>51</v>
      </c>
      <c r="E36" s="7" t="n">
        <v>50</v>
      </c>
      <c r="F36" s="7" t="n">
        <v>0</v>
      </c>
      <c r="G36" s="7" t="n">
        <v>0</v>
      </c>
      <c r="H36" s="7" t="n">
        <v>50</v>
      </c>
      <c r="I36" s="6" t="s">
        <v>152</v>
      </c>
      <c r="J36" s="7" t="n">
        <v>50</v>
      </c>
      <c r="K36" s="7" t="n">
        <f aca="false">IF(J36="","",J36-H36)</f>
        <v>0</v>
      </c>
      <c r="L36" s="8"/>
      <c r="M36" s="7"/>
      <c r="N36" s="8"/>
    </row>
    <row r="37" customFormat="false" ht="15" hidden="false" customHeight="false" outlineLevel="0" collapsed="false">
      <c r="A37" s="6" t="s">
        <v>154</v>
      </c>
      <c r="B37" s="6" t="s">
        <v>155</v>
      </c>
      <c r="C37" s="6" t="s">
        <v>156</v>
      </c>
      <c r="D37" s="6" t="s">
        <v>51</v>
      </c>
      <c r="E37" s="7" t="n">
        <v>61</v>
      </c>
      <c r="F37" s="7" t="n">
        <v>0</v>
      </c>
      <c r="G37" s="7" t="n">
        <v>1</v>
      </c>
      <c r="H37" s="7" t="n">
        <v>62</v>
      </c>
      <c r="I37" s="6" t="s">
        <v>155</v>
      </c>
      <c r="J37" s="7" t="n">
        <v>62</v>
      </c>
      <c r="K37" s="7" t="n">
        <f aca="false">IF(J37="","",J37-H37)</f>
        <v>0</v>
      </c>
      <c r="L37" s="8"/>
      <c r="M37" s="7"/>
      <c r="N37" s="8"/>
    </row>
    <row r="38" customFormat="false" ht="15" hidden="false" customHeight="false" outlineLevel="0" collapsed="false">
      <c r="A38" s="6" t="s">
        <v>157</v>
      </c>
      <c r="B38" s="6" t="s">
        <v>158</v>
      </c>
      <c r="C38" s="6" t="s">
        <v>159</v>
      </c>
      <c r="D38" s="6" t="s">
        <v>41</v>
      </c>
      <c r="E38" s="7" t="n">
        <v>60</v>
      </c>
      <c r="F38" s="7" t="n">
        <v>0</v>
      </c>
      <c r="G38" s="7" t="n">
        <v>0</v>
      </c>
      <c r="H38" s="7" t="n">
        <v>60</v>
      </c>
      <c r="I38" s="6" t="s">
        <v>158</v>
      </c>
      <c r="J38" s="7" t="n">
        <v>60</v>
      </c>
      <c r="K38" s="7" t="n">
        <f aca="false">IF(J38="","",J38-H38)</f>
        <v>0</v>
      </c>
      <c r="L38" s="8"/>
      <c r="M38" s="7"/>
      <c r="N38" s="8"/>
    </row>
    <row r="39" customFormat="false" ht="15" hidden="false" customHeight="false" outlineLevel="0" collapsed="false">
      <c r="A39" s="6" t="s">
        <v>160</v>
      </c>
      <c r="B39" s="6" t="s">
        <v>161</v>
      </c>
      <c r="C39" s="6" t="s">
        <v>162</v>
      </c>
      <c r="D39" s="6" t="s">
        <v>51</v>
      </c>
      <c r="E39" s="7" t="n">
        <v>44</v>
      </c>
      <c r="F39" s="7" t="n">
        <v>0</v>
      </c>
      <c r="G39" s="7" t="n">
        <v>0</v>
      </c>
      <c r="H39" s="7" t="n">
        <v>44</v>
      </c>
      <c r="I39" s="6" t="s">
        <v>161</v>
      </c>
      <c r="J39" s="7" t="n">
        <v>45</v>
      </c>
      <c r="K39" s="7" t="n">
        <f aca="false">IF(J39="","",J39-H39)</f>
        <v>1</v>
      </c>
      <c r="L39" s="8"/>
      <c r="M39" s="7"/>
      <c r="N39" s="8"/>
    </row>
    <row r="40" customFormat="false" ht="15" hidden="false" customHeight="false" outlineLevel="0" collapsed="false">
      <c r="A40" s="6" t="s">
        <v>163</v>
      </c>
      <c r="B40" s="6" t="s">
        <v>164</v>
      </c>
      <c r="C40" s="6" t="s">
        <v>165</v>
      </c>
      <c r="D40" s="6" t="s">
        <v>41</v>
      </c>
      <c r="E40" s="7" t="n">
        <v>0</v>
      </c>
      <c r="F40" s="7" t="n">
        <v>175</v>
      </c>
      <c r="G40" s="7" t="n">
        <v>3</v>
      </c>
      <c r="H40" s="7" t="n">
        <v>178</v>
      </c>
      <c r="I40" s="6" t="s">
        <v>164</v>
      </c>
      <c r="J40" s="7" t="n">
        <v>200</v>
      </c>
      <c r="K40" s="7" t="n">
        <f aca="false">IF(J40="","",J40-H40)</f>
        <v>22</v>
      </c>
      <c r="L40" s="8"/>
      <c r="M40" s="7"/>
      <c r="N40" s="8" t="s">
        <v>166</v>
      </c>
    </row>
    <row r="41" customFormat="false" ht="15" hidden="false" customHeight="false" outlineLevel="0" collapsed="false">
      <c r="A41" s="6" t="s">
        <v>167</v>
      </c>
      <c r="B41" s="6" t="s">
        <v>168</v>
      </c>
      <c r="C41" s="6" t="s">
        <v>169</v>
      </c>
      <c r="D41" s="6" t="s">
        <v>47</v>
      </c>
      <c r="E41" s="7" t="n">
        <v>50</v>
      </c>
      <c r="F41" s="7" t="n">
        <v>0</v>
      </c>
      <c r="G41" s="7" t="n">
        <v>0</v>
      </c>
      <c r="H41" s="7" t="n">
        <v>50</v>
      </c>
      <c r="I41" s="6" t="s">
        <v>168</v>
      </c>
      <c r="J41" s="7" t="n">
        <v>50</v>
      </c>
      <c r="K41" s="7" t="n">
        <f aca="false">IF(J41="","",J41-H41)</f>
        <v>0</v>
      </c>
      <c r="L41" s="8"/>
      <c r="M41" s="7"/>
      <c r="N41" s="8"/>
    </row>
    <row r="42" customFormat="false" ht="15" hidden="false" customHeight="false" outlineLevel="0" collapsed="false">
      <c r="A42" s="6" t="s">
        <v>170</v>
      </c>
      <c r="B42" s="6" t="s">
        <v>171</v>
      </c>
      <c r="C42" s="6" t="s">
        <v>172</v>
      </c>
      <c r="D42" s="6" t="s">
        <v>51</v>
      </c>
      <c r="E42" s="7" t="n">
        <v>45</v>
      </c>
      <c r="F42" s="7" t="n">
        <v>0</v>
      </c>
      <c r="G42" s="7" t="n">
        <v>0</v>
      </c>
      <c r="H42" s="7" t="n">
        <v>45</v>
      </c>
      <c r="I42" s="6" t="s">
        <v>173</v>
      </c>
      <c r="J42" s="7" t="n">
        <v>45</v>
      </c>
      <c r="K42" s="7" t="n">
        <f aca="false">IF(J42="","",J42-H42)</f>
        <v>0</v>
      </c>
      <c r="L42" s="8"/>
      <c r="M42" s="7"/>
      <c r="N42" s="8"/>
    </row>
    <row r="43" customFormat="false" ht="15" hidden="false" customHeight="false" outlineLevel="0" collapsed="false">
      <c r="A43" s="6" t="s">
        <v>174</v>
      </c>
      <c r="B43" s="6" t="s">
        <v>175</v>
      </c>
      <c r="C43" s="6" t="s">
        <v>131</v>
      </c>
      <c r="D43" s="6" t="s">
        <v>47</v>
      </c>
      <c r="E43" s="7" t="n">
        <v>89</v>
      </c>
      <c r="F43" s="7" t="n">
        <v>0</v>
      </c>
      <c r="G43" s="7" t="n">
        <v>1</v>
      </c>
      <c r="H43" s="7" t="n">
        <v>90</v>
      </c>
      <c r="I43" s="6" t="s">
        <v>175</v>
      </c>
      <c r="J43" s="7" t="n">
        <v>90</v>
      </c>
      <c r="K43" s="7" t="n">
        <f aca="false">IF(J43="","",J43-H43)</f>
        <v>0</v>
      </c>
      <c r="L43" s="8"/>
      <c r="M43" s="7"/>
      <c r="N43" s="8"/>
    </row>
    <row r="44" customFormat="false" ht="15" hidden="false" customHeight="false" outlineLevel="0" collapsed="false">
      <c r="A44" s="6" t="s">
        <v>176</v>
      </c>
      <c r="B44" s="6" t="s">
        <v>177</v>
      </c>
      <c r="C44" s="6" t="s">
        <v>62</v>
      </c>
      <c r="D44" s="6" t="s">
        <v>47</v>
      </c>
      <c r="E44" s="7" t="n">
        <v>81</v>
      </c>
      <c r="F44" s="7" t="n">
        <v>0</v>
      </c>
      <c r="G44" s="7" t="n">
        <v>0</v>
      </c>
      <c r="H44" s="7" t="n">
        <v>81</v>
      </c>
      <c r="I44" s="6" t="s">
        <v>177</v>
      </c>
      <c r="J44" s="7" t="n">
        <v>81</v>
      </c>
      <c r="K44" s="7" t="n">
        <f aca="false">IF(J44="","",J44-H44)</f>
        <v>0</v>
      </c>
      <c r="L44" s="8"/>
      <c r="M44" s="7"/>
      <c r="N44" s="8"/>
    </row>
    <row r="45" customFormat="false" ht="15" hidden="false" customHeight="false" outlineLevel="0" collapsed="false">
      <c r="A45" s="6" t="s">
        <v>178</v>
      </c>
      <c r="B45" s="6" t="s">
        <v>179</v>
      </c>
      <c r="C45" s="6" t="s">
        <v>180</v>
      </c>
      <c r="D45" s="6" t="s">
        <v>47</v>
      </c>
      <c r="E45" s="7" t="n">
        <v>424</v>
      </c>
      <c r="F45" s="7" t="n">
        <v>0</v>
      </c>
      <c r="G45" s="7" t="n">
        <v>0</v>
      </c>
      <c r="H45" s="7" t="n">
        <v>424</v>
      </c>
      <c r="I45" s="6" t="s">
        <v>179</v>
      </c>
      <c r="J45" s="7" t="n">
        <v>424</v>
      </c>
      <c r="K45" s="7" t="n">
        <f aca="false">IF(J45="","",J45-H45)</f>
        <v>0</v>
      </c>
      <c r="L45" s="8"/>
      <c r="M45" s="7"/>
      <c r="N45" s="8"/>
    </row>
    <row r="46" customFormat="false" ht="15" hidden="false" customHeight="false" outlineLevel="0" collapsed="false">
      <c r="A46" s="6" t="s">
        <v>181</v>
      </c>
      <c r="B46" s="6" t="s">
        <v>182</v>
      </c>
      <c r="C46" s="6" t="s">
        <v>183</v>
      </c>
      <c r="D46" s="6" t="s">
        <v>41</v>
      </c>
      <c r="E46" s="7" t="n">
        <v>0</v>
      </c>
      <c r="F46" s="7" t="n">
        <v>110</v>
      </c>
      <c r="G46" s="7" t="n">
        <v>0</v>
      </c>
      <c r="H46" s="7" t="n">
        <v>110</v>
      </c>
      <c r="I46" s="6" t="s">
        <v>182</v>
      </c>
      <c r="J46" s="7" t="n">
        <v>113</v>
      </c>
      <c r="K46" s="7" t="n">
        <f aca="false">IF(J46="","",J46-H46)</f>
        <v>3</v>
      </c>
      <c r="L46" s="8"/>
      <c r="M46" s="7"/>
      <c r="N46" s="8"/>
    </row>
    <row r="47" customFormat="false" ht="15" hidden="false" customHeight="false" outlineLevel="0" collapsed="false">
      <c r="A47" s="6" t="s">
        <v>184</v>
      </c>
      <c r="B47" s="6" t="s">
        <v>185</v>
      </c>
      <c r="C47" s="6" t="s">
        <v>186</v>
      </c>
      <c r="D47" s="6" t="s">
        <v>47</v>
      </c>
      <c r="E47" s="7" t="n">
        <v>168</v>
      </c>
      <c r="F47" s="7" t="n">
        <v>12</v>
      </c>
      <c r="G47" s="7" t="n">
        <v>1</v>
      </c>
      <c r="H47" s="7" t="n">
        <v>181</v>
      </c>
      <c r="I47" s="6" t="s">
        <v>185</v>
      </c>
      <c r="J47" s="7" t="n">
        <v>201</v>
      </c>
      <c r="K47" s="7" t="n">
        <f aca="false">IF(J47="","",J47-H47)</f>
        <v>20</v>
      </c>
      <c r="L47" s="8"/>
      <c r="M47" s="7"/>
      <c r="N47" s="8"/>
    </row>
    <row r="48" customFormat="false" ht="15" hidden="false" customHeight="false" outlineLevel="0" collapsed="false">
      <c r="A48" s="6" t="s">
        <v>187</v>
      </c>
      <c r="B48" s="6" t="s">
        <v>188</v>
      </c>
      <c r="C48" s="6" t="s">
        <v>189</v>
      </c>
      <c r="D48" s="6" t="s">
        <v>41</v>
      </c>
      <c r="E48" s="7" t="n">
        <v>162</v>
      </c>
      <c r="F48" s="7" t="n">
        <v>0</v>
      </c>
      <c r="G48" s="7" t="n">
        <v>0</v>
      </c>
      <c r="H48" s="7" t="n">
        <v>162</v>
      </c>
      <c r="I48" s="6" t="s">
        <v>188</v>
      </c>
      <c r="J48" s="7" t="n">
        <v>163</v>
      </c>
      <c r="K48" s="7" t="n">
        <f aca="false">IF(J48="","",J48-H48)</f>
        <v>1</v>
      </c>
      <c r="L48" s="8"/>
      <c r="M48" s="7"/>
      <c r="N48" s="8"/>
    </row>
    <row r="49" customFormat="false" ht="15" hidden="false" customHeight="false" outlineLevel="0" collapsed="false">
      <c r="A49" s="6" t="s">
        <v>190</v>
      </c>
      <c r="B49" s="6" t="s">
        <v>191</v>
      </c>
      <c r="C49" s="6" t="s">
        <v>192</v>
      </c>
      <c r="D49" s="6" t="s">
        <v>72</v>
      </c>
      <c r="E49" s="7" t="n">
        <v>37</v>
      </c>
      <c r="F49" s="7" t="n">
        <v>0</v>
      </c>
      <c r="G49" s="7" t="n">
        <v>2</v>
      </c>
      <c r="H49" s="7" t="n">
        <v>39</v>
      </c>
      <c r="I49" s="6" t="s">
        <v>191</v>
      </c>
      <c r="J49" s="7" t="n">
        <v>39</v>
      </c>
      <c r="K49" s="7" t="n">
        <f aca="false">IF(J49="","",J49-H49)</f>
        <v>0</v>
      </c>
      <c r="L49" s="8"/>
      <c r="M49" s="7"/>
      <c r="N49" s="8"/>
    </row>
    <row r="50" customFormat="false" ht="15" hidden="false" customHeight="false" outlineLevel="0" collapsed="false">
      <c r="A50" s="6" t="s">
        <v>193</v>
      </c>
      <c r="B50" s="6" t="s">
        <v>194</v>
      </c>
      <c r="C50" s="6" t="s">
        <v>77</v>
      </c>
      <c r="D50" s="6" t="s">
        <v>78</v>
      </c>
      <c r="E50" s="7" t="n">
        <v>51</v>
      </c>
      <c r="F50" s="7" t="n">
        <v>0</v>
      </c>
      <c r="G50" s="7" t="n">
        <v>0</v>
      </c>
      <c r="H50" s="7" t="n">
        <v>51</v>
      </c>
      <c r="I50" s="6" t="s">
        <v>194</v>
      </c>
      <c r="J50" s="7" t="n">
        <v>51</v>
      </c>
      <c r="K50" s="7" t="n">
        <f aca="false">IF(J50="","",J50-H50)</f>
        <v>0</v>
      </c>
      <c r="L50" s="8"/>
      <c r="M50" s="7"/>
      <c r="N50" s="8"/>
    </row>
    <row r="51" customFormat="false" ht="15" hidden="false" customHeight="false" outlineLevel="0" collapsed="false">
      <c r="A51" s="6" t="s">
        <v>195</v>
      </c>
      <c r="B51" s="6" t="s">
        <v>196</v>
      </c>
      <c r="C51" s="6" t="s">
        <v>197</v>
      </c>
      <c r="D51" s="6" t="s">
        <v>41</v>
      </c>
      <c r="E51" s="7" t="n">
        <v>100</v>
      </c>
      <c r="F51" s="7" t="n">
        <v>0</v>
      </c>
      <c r="G51" s="7" t="n">
        <v>0</v>
      </c>
      <c r="H51" s="7" t="n">
        <v>100</v>
      </c>
      <c r="I51" s="6" t="s">
        <v>198</v>
      </c>
      <c r="J51" s="7" t="n">
        <v>100</v>
      </c>
      <c r="K51" s="7" t="n">
        <f aca="false">IF(J51="","",J51-H51)</f>
        <v>0</v>
      </c>
      <c r="L51" s="8"/>
      <c r="M51" s="7"/>
      <c r="N51" s="8"/>
    </row>
    <row r="52" customFormat="false" ht="15" hidden="false" customHeight="false" outlineLevel="0" collapsed="false">
      <c r="A52" s="6" t="s">
        <v>199</v>
      </c>
      <c r="B52" s="6" t="s">
        <v>200</v>
      </c>
      <c r="C52" s="6" t="s">
        <v>59</v>
      </c>
      <c r="D52" s="6" t="s">
        <v>47</v>
      </c>
      <c r="E52" s="7" t="n">
        <v>212</v>
      </c>
      <c r="F52" s="7" t="n">
        <v>0</v>
      </c>
      <c r="G52" s="7" t="n">
        <v>1</v>
      </c>
      <c r="H52" s="7" t="n">
        <v>213</v>
      </c>
      <c r="I52" s="6" t="s">
        <v>200</v>
      </c>
      <c r="J52" s="7" t="n">
        <v>219</v>
      </c>
      <c r="K52" s="7" t="n">
        <f aca="false">IF(J52="","",J52-H52)</f>
        <v>6</v>
      </c>
      <c r="L52" s="8"/>
      <c r="M52" s="7"/>
      <c r="N52" s="8"/>
    </row>
    <row r="53" customFormat="false" ht="15" hidden="false" customHeight="false" outlineLevel="0" collapsed="false">
      <c r="A53" s="6" t="s">
        <v>201</v>
      </c>
      <c r="B53" s="6" t="s">
        <v>202</v>
      </c>
      <c r="C53" s="6" t="s">
        <v>62</v>
      </c>
      <c r="D53" s="6" t="s">
        <v>41</v>
      </c>
      <c r="E53" s="7" t="n">
        <v>37</v>
      </c>
      <c r="F53" s="7" t="n">
        <v>0</v>
      </c>
      <c r="G53" s="7" t="n">
        <v>0</v>
      </c>
      <c r="H53" s="7" t="n">
        <v>37</v>
      </c>
      <c r="I53" s="6" t="s">
        <v>202</v>
      </c>
      <c r="J53" s="7" t="n">
        <v>37</v>
      </c>
      <c r="K53" s="7" t="n">
        <f aca="false">IF(J53="","",J53-H53)</f>
        <v>0</v>
      </c>
      <c r="L53" s="8"/>
      <c r="M53" s="7"/>
      <c r="N53" s="8"/>
    </row>
    <row r="54" customFormat="false" ht="15" hidden="false" customHeight="false" outlineLevel="0" collapsed="false">
      <c r="A54" s="6" t="s">
        <v>203</v>
      </c>
      <c r="B54" s="6" t="s">
        <v>204</v>
      </c>
      <c r="C54" s="6" t="s">
        <v>183</v>
      </c>
      <c r="D54" s="6" t="s">
        <v>47</v>
      </c>
      <c r="E54" s="7" t="n">
        <v>60</v>
      </c>
      <c r="F54" s="7" t="n">
        <v>3</v>
      </c>
      <c r="G54" s="7" t="n">
        <v>2</v>
      </c>
      <c r="H54" s="7" t="n">
        <v>65</v>
      </c>
      <c r="I54" s="6" t="s">
        <v>204</v>
      </c>
      <c r="J54" s="7" t="n">
        <v>74</v>
      </c>
      <c r="K54" s="7" t="n">
        <f aca="false">IF(J54="","",J54-H54)</f>
        <v>9</v>
      </c>
      <c r="L54" s="8"/>
      <c r="M54" s="7"/>
      <c r="N54" s="8"/>
    </row>
    <row r="55" customFormat="false" ht="15" hidden="false" customHeight="false" outlineLevel="0" collapsed="false">
      <c r="A55" s="6" t="s">
        <v>205</v>
      </c>
      <c r="B55" s="6" t="s">
        <v>206</v>
      </c>
      <c r="C55" s="6" t="s">
        <v>207</v>
      </c>
      <c r="D55" s="6" t="s">
        <v>41</v>
      </c>
      <c r="E55" s="7" t="n">
        <v>26</v>
      </c>
      <c r="F55" s="7" t="n">
        <v>30</v>
      </c>
      <c r="G55" s="7" t="n">
        <v>0</v>
      </c>
      <c r="H55" s="7" t="n">
        <v>56</v>
      </c>
      <c r="I55" s="6" t="s">
        <v>206</v>
      </c>
      <c r="J55" s="7" t="n">
        <v>57</v>
      </c>
      <c r="K55" s="7" t="n">
        <f aca="false">IF(J55="","",J55-H55)</f>
        <v>1</v>
      </c>
      <c r="L55" s="8"/>
      <c r="M55" s="7"/>
      <c r="N55" s="8"/>
    </row>
    <row r="56" customFormat="false" ht="15" hidden="false" customHeight="false" outlineLevel="0" collapsed="false">
      <c r="A56" s="6" t="s">
        <v>208</v>
      </c>
      <c r="B56" s="6" t="s">
        <v>209</v>
      </c>
      <c r="C56" s="6" t="s">
        <v>210</v>
      </c>
      <c r="D56" s="6" t="s">
        <v>47</v>
      </c>
      <c r="E56" s="7" t="n">
        <v>124</v>
      </c>
      <c r="F56" s="7" t="n">
        <v>0</v>
      </c>
      <c r="G56" s="7" t="n">
        <v>2</v>
      </c>
      <c r="H56" s="7" t="n">
        <v>126</v>
      </c>
      <c r="I56" s="6" t="s">
        <v>209</v>
      </c>
      <c r="J56" s="7" t="n">
        <v>126</v>
      </c>
      <c r="K56" s="7" t="n">
        <f aca="false">IF(J56="","",J56-H56)</f>
        <v>0</v>
      </c>
      <c r="L56" s="8"/>
      <c r="M56" s="7"/>
      <c r="N56" s="8"/>
    </row>
    <row r="57" customFormat="false" ht="15" hidden="false" customHeight="false" outlineLevel="0" collapsed="false">
      <c r="A57" s="6" t="s">
        <v>211</v>
      </c>
      <c r="B57" s="6" t="s">
        <v>212</v>
      </c>
      <c r="C57" s="6" t="s">
        <v>213</v>
      </c>
      <c r="D57" s="6" t="s">
        <v>41</v>
      </c>
      <c r="E57" s="7" t="n">
        <v>100</v>
      </c>
      <c r="F57" s="7" t="n">
        <v>0</v>
      </c>
      <c r="G57" s="7" t="n">
        <v>2</v>
      </c>
      <c r="H57" s="7" t="n">
        <v>102</v>
      </c>
      <c r="I57" s="6" t="s">
        <v>212</v>
      </c>
      <c r="J57" s="7" t="n">
        <v>102</v>
      </c>
      <c r="K57" s="7" t="n">
        <f aca="false">IF(J57="","",J57-H57)</f>
        <v>0</v>
      </c>
      <c r="L57" s="8"/>
      <c r="M57" s="7"/>
      <c r="N57" s="8"/>
    </row>
    <row r="58" customFormat="false" ht="15" hidden="false" customHeight="false" outlineLevel="0" collapsed="false">
      <c r="A58" s="6" t="s">
        <v>214</v>
      </c>
      <c r="B58" s="6" t="s">
        <v>215</v>
      </c>
      <c r="C58" s="6" t="s">
        <v>192</v>
      </c>
      <c r="D58" s="6" t="s">
        <v>47</v>
      </c>
      <c r="E58" s="7" t="n">
        <v>79</v>
      </c>
      <c r="F58" s="7" t="n">
        <v>0</v>
      </c>
      <c r="G58" s="7" t="n">
        <v>0</v>
      </c>
      <c r="H58" s="7" t="n">
        <v>79</v>
      </c>
      <c r="I58" s="6" t="s">
        <v>215</v>
      </c>
      <c r="J58" s="7" t="n">
        <v>80</v>
      </c>
      <c r="K58" s="7" t="n">
        <f aca="false">IF(J58="","",J58-H58)</f>
        <v>1</v>
      </c>
      <c r="L58" s="8"/>
      <c r="M58" s="7"/>
      <c r="N58" s="8"/>
    </row>
    <row r="59" customFormat="false" ht="15" hidden="false" customHeight="false" outlineLevel="0" collapsed="false">
      <c r="A59" s="6" t="s">
        <v>216</v>
      </c>
      <c r="B59" s="6" t="s">
        <v>217</v>
      </c>
      <c r="C59" s="6" t="s">
        <v>218</v>
      </c>
      <c r="D59" s="6" t="s">
        <v>47</v>
      </c>
      <c r="E59" s="7" t="n">
        <v>65</v>
      </c>
      <c r="F59" s="7" t="n">
        <v>0</v>
      </c>
      <c r="G59" s="7" t="n">
        <v>0</v>
      </c>
      <c r="H59" s="7" t="n">
        <v>65</v>
      </c>
      <c r="I59" s="6" t="s">
        <v>217</v>
      </c>
      <c r="J59" s="7" t="n">
        <v>65</v>
      </c>
      <c r="K59" s="7" t="n">
        <f aca="false">IF(J59="","",J59-H59)</f>
        <v>0</v>
      </c>
      <c r="L59" s="8"/>
      <c r="M59" s="7"/>
      <c r="N59" s="8"/>
    </row>
    <row r="60" customFormat="false" ht="15" hidden="false" customHeight="false" outlineLevel="0" collapsed="false">
      <c r="A60" s="6" t="s">
        <v>219</v>
      </c>
      <c r="B60" s="6" t="s">
        <v>220</v>
      </c>
      <c r="C60" s="6" t="s">
        <v>218</v>
      </c>
      <c r="D60" s="6" t="s">
        <v>47</v>
      </c>
      <c r="E60" s="7" t="n">
        <v>190</v>
      </c>
      <c r="F60" s="7" t="n">
        <v>0</v>
      </c>
      <c r="G60" s="7" t="n">
        <v>0</v>
      </c>
      <c r="H60" s="7" t="n">
        <v>190</v>
      </c>
      <c r="I60" s="6" t="s">
        <v>220</v>
      </c>
      <c r="J60" s="7" t="n">
        <v>190</v>
      </c>
      <c r="K60" s="7" t="n">
        <f aca="false">IF(J60="","",J60-H60)</f>
        <v>0</v>
      </c>
      <c r="L60" s="8"/>
      <c r="M60" s="7"/>
      <c r="N60" s="8"/>
    </row>
    <row r="61" customFormat="false" ht="15" hidden="false" customHeight="false" outlineLevel="0" collapsed="false">
      <c r="A61" s="6" t="s">
        <v>221</v>
      </c>
      <c r="B61" s="6" t="s">
        <v>222</v>
      </c>
      <c r="C61" s="6" t="s">
        <v>223</v>
      </c>
      <c r="D61" s="6" t="s">
        <v>51</v>
      </c>
      <c r="E61" s="7" t="n">
        <v>36</v>
      </c>
      <c r="F61" s="7" t="n">
        <v>0</v>
      </c>
      <c r="G61" s="7" t="n">
        <v>0</v>
      </c>
      <c r="H61" s="7" t="n">
        <v>36</v>
      </c>
      <c r="I61" s="6" t="s">
        <v>222</v>
      </c>
      <c r="J61" s="7" t="n">
        <v>36</v>
      </c>
      <c r="K61" s="7" t="n">
        <f aca="false">IF(J61="","",J61-H61)</f>
        <v>0</v>
      </c>
      <c r="L61" s="8"/>
      <c r="M61" s="7"/>
      <c r="N61" s="8"/>
    </row>
    <row r="62" customFormat="false" ht="15" hidden="false" customHeight="false" outlineLevel="0" collapsed="false">
      <c r="A62" s="6" t="s">
        <v>224</v>
      </c>
      <c r="B62" s="6" t="s">
        <v>225</v>
      </c>
      <c r="C62" s="6" t="s">
        <v>65</v>
      </c>
      <c r="D62" s="6" t="s">
        <v>41</v>
      </c>
      <c r="E62" s="7" t="n">
        <v>52</v>
      </c>
      <c r="F62" s="7" t="n">
        <v>17</v>
      </c>
      <c r="G62" s="7" t="n">
        <v>4</v>
      </c>
      <c r="H62" s="7" t="n">
        <v>73</v>
      </c>
      <c r="I62" s="6" t="s">
        <v>225</v>
      </c>
      <c r="J62" s="7" t="n">
        <v>73</v>
      </c>
      <c r="K62" s="7" t="n">
        <f aca="false">IF(J62="","",J62-H62)</f>
        <v>0</v>
      </c>
      <c r="L62" s="8"/>
      <c r="M62" s="7"/>
      <c r="N62" s="8"/>
    </row>
    <row r="63" customFormat="false" ht="15" hidden="false" customHeight="false" outlineLevel="0" collapsed="false">
      <c r="A63" s="6" t="s">
        <v>226</v>
      </c>
      <c r="B63" s="6" t="s">
        <v>227</v>
      </c>
      <c r="C63" s="6" t="s">
        <v>228</v>
      </c>
      <c r="D63" s="6" t="s">
        <v>41</v>
      </c>
      <c r="E63" s="7" t="n">
        <v>123</v>
      </c>
      <c r="F63" s="7" t="n">
        <v>56</v>
      </c>
      <c r="G63" s="7" t="n">
        <v>55</v>
      </c>
      <c r="H63" s="7" t="n">
        <v>234</v>
      </c>
      <c r="I63" s="6" t="s">
        <v>227</v>
      </c>
      <c r="J63" s="7" t="n">
        <v>245</v>
      </c>
      <c r="K63" s="7" t="n">
        <f aca="false">IF(J63="","",J63-H63)</f>
        <v>11</v>
      </c>
      <c r="L63" s="8"/>
      <c r="M63" s="7"/>
      <c r="N63" s="8"/>
    </row>
    <row r="64" customFormat="false" ht="15" hidden="false" customHeight="false" outlineLevel="0" collapsed="false">
      <c r="A64" s="9" t="s">
        <v>229</v>
      </c>
      <c r="B64" s="9" t="s">
        <v>230</v>
      </c>
      <c r="C64" s="9" t="s">
        <v>231</v>
      </c>
      <c r="D64" s="9" t="s">
        <v>41</v>
      </c>
      <c r="E64" s="10" t="n">
        <v>59</v>
      </c>
      <c r="F64" s="10" t="n">
        <v>174</v>
      </c>
      <c r="G64" s="10" t="n">
        <v>0</v>
      </c>
      <c r="H64" s="10" t="n">
        <v>233</v>
      </c>
      <c r="I64" s="9" t="s">
        <v>230</v>
      </c>
      <c r="J64" s="10" t="n">
        <v>253</v>
      </c>
      <c r="K64" s="10" t="n">
        <f aca="false">IF(J64="","",J64-H64)</f>
        <v>20</v>
      </c>
      <c r="L64" s="11" t="s">
        <v>232</v>
      </c>
      <c r="M64" s="10" t="n">
        <v>119</v>
      </c>
      <c r="N64" s="11" t="s">
        <v>233</v>
      </c>
    </row>
    <row r="65" customFormat="false" ht="15" hidden="false" customHeight="false" outlineLevel="0" collapsed="false">
      <c r="A65" s="6" t="s">
        <v>234</v>
      </c>
      <c r="B65" s="6" t="s">
        <v>235</v>
      </c>
      <c r="C65" s="6" t="s">
        <v>156</v>
      </c>
      <c r="D65" s="6" t="s">
        <v>51</v>
      </c>
      <c r="E65" s="7" t="n">
        <v>44</v>
      </c>
      <c r="F65" s="7" t="n">
        <v>0</v>
      </c>
      <c r="G65" s="7" t="n">
        <v>0</v>
      </c>
      <c r="H65" s="7" t="n">
        <v>44</v>
      </c>
      <c r="I65" s="6" t="s">
        <v>235</v>
      </c>
      <c r="J65" s="7" t="n">
        <v>44</v>
      </c>
      <c r="K65" s="7" t="n">
        <f aca="false">IF(J65="","",J65-H65)</f>
        <v>0</v>
      </c>
      <c r="L65" s="8"/>
      <c r="M65" s="7"/>
      <c r="N65" s="8"/>
    </row>
    <row r="66" customFormat="false" ht="15" hidden="false" customHeight="false" outlineLevel="0" collapsed="false">
      <c r="A66" s="6" t="s">
        <v>236</v>
      </c>
      <c r="B66" s="6" t="s">
        <v>237</v>
      </c>
      <c r="C66" s="6" t="s">
        <v>36</v>
      </c>
      <c r="D66" s="6" t="s">
        <v>37</v>
      </c>
      <c r="E66" s="7" t="n">
        <v>53</v>
      </c>
      <c r="F66" s="7" t="n">
        <v>0</v>
      </c>
      <c r="G66" s="7" t="n">
        <v>0</v>
      </c>
      <c r="H66" s="7" t="n">
        <v>53</v>
      </c>
      <c r="I66" s="6" t="s">
        <v>237</v>
      </c>
      <c r="J66" s="7" t="n">
        <v>53</v>
      </c>
      <c r="K66" s="7" t="n">
        <f aca="false">IF(J66="","",J66-H66)</f>
        <v>0</v>
      </c>
      <c r="L66" s="8"/>
      <c r="M66" s="7"/>
      <c r="N66" s="8"/>
    </row>
    <row r="67" customFormat="false" ht="15" hidden="false" customHeight="false" outlineLevel="0" collapsed="false">
      <c r="A67" s="6" t="s">
        <v>238</v>
      </c>
      <c r="B67" s="6" t="s">
        <v>239</v>
      </c>
      <c r="C67" s="6" t="s">
        <v>207</v>
      </c>
      <c r="D67" s="6" t="s">
        <v>41</v>
      </c>
      <c r="E67" s="7" t="n">
        <v>137</v>
      </c>
      <c r="F67" s="7" t="n">
        <v>64</v>
      </c>
      <c r="G67" s="7" t="n">
        <v>0</v>
      </c>
      <c r="H67" s="7" t="n">
        <v>201</v>
      </c>
      <c r="I67" s="6" t="s">
        <v>239</v>
      </c>
      <c r="J67" s="7" t="n">
        <v>202</v>
      </c>
      <c r="K67" s="7" t="n">
        <f aca="false">IF(J67="","",J67-H67)</f>
        <v>1</v>
      </c>
      <c r="L67" s="8"/>
      <c r="M67" s="7"/>
      <c r="N67" s="8"/>
    </row>
    <row r="68" customFormat="false" ht="15" hidden="false" customHeight="false" outlineLevel="0" collapsed="false">
      <c r="A68" s="6" t="s">
        <v>240</v>
      </c>
      <c r="B68" s="6" t="s">
        <v>241</v>
      </c>
      <c r="C68" s="6" t="s">
        <v>218</v>
      </c>
      <c r="D68" s="6" t="s">
        <v>47</v>
      </c>
      <c r="E68" s="7" t="n">
        <v>130</v>
      </c>
      <c r="F68" s="7" t="n">
        <v>24</v>
      </c>
      <c r="G68" s="7" t="n">
        <v>0</v>
      </c>
      <c r="H68" s="7" t="n">
        <v>154</v>
      </c>
      <c r="I68" s="6" t="s">
        <v>241</v>
      </c>
      <c r="J68" s="7" t="n">
        <v>168</v>
      </c>
      <c r="K68" s="7" t="n">
        <f aca="false">IF(J68="","",J68-H68)</f>
        <v>14</v>
      </c>
      <c r="L68" s="8"/>
      <c r="M68" s="7"/>
      <c r="N68" s="8"/>
    </row>
    <row r="69" customFormat="false" ht="15" hidden="false" customHeight="false" outlineLevel="0" collapsed="false">
      <c r="B69" s="15" t="s">
        <v>242</v>
      </c>
      <c r="H69" s="15" t="n">
        <f aca="false">SUM(H2:H68)</f>
        <v>6379</v>
      </c>
      <c r="J69" s="15" t="n">
        <f aca="false">SUM(J2:J68)</f>
        <v>6644</v>
      </c>
      <c r="K69" s="15" t="n">
        <f aca="false">J69-H69</f>
        <v>265</v>
      </c>
      <c r="M69" s="15" t="n">
        <f aca="false">SUM(M2:M68)</f>
        <v>388</v>
      </c>
    </row>
    <row r="70" customFormat="false" ht="15" hidden="false" customHeight="false" outlineLevel="0" collapsed="false">
      <c r="B70" s="16" t="s">
        <v>243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0"/>
    <col collapsed="false" customWidth="true" hidden="false" outlineLevel="0" max="3" min="3" style="0" width="30"/>
    <col collapsed="false" customWidth="true" hidden="false" outlineLevel="0" max="4" min="4" style="0" width="80"/>
  </cols>
  <sheetData>
    <row r="1" customFormat="false" ht="15" hidden="false" customHeight="false" outlineLevel="0" collapsed="false">
      <c r="A1" s="17" t="s">
        <v>28</v>
      </c>
      <c r="B1" s="17" t="s">
        <v>244</v>
      </c>
      <c r="C1" s="17" t="s">
        <v>245</v>
      </c>
      <c r="D1" s="17" t="s">
        <v>246</v>
      </c>
    </row>
    <row r="2" customFormat="false" ht="15" hidden="false" customHeight="false" outlineLevel="0" collapsed="false">
      <c r="A2" s="6" t="s">
        <v>247</v>
      </c>
      <c r="B2" s="6" t="n">
        <v>70</v>
      </c>
      <c r="C2" s="6" t="s">
        <v>248</v>
      </c>
      <c r="D2" s="8" t="s">
        <v>249</v>
      </c>
    </row>
    <row r="3" customFormat="false" ht="15" hidden="false" customHeight="false" outlineLevel="0" collapsed="false">
      <c r="A3" s="6" t="s">
        <v>250</v>
      </c>
      <c r="B3" s="6" t="n">
        <v>119</v>
      </c>
      <c r="C3" s="6" t="s">
        <v>248</v>
      </c>
      <c r="D3" s="8" t="s">
        <v>251</v>
      </c>
    </row>
    <row r="4" customFormat="false" ht="15" hidden="false" customHeight="false" outlineLevel="0" collapsed="false">
      <c r="A4" s="6" t="s">
        <v>252</v>
      </c>
      <c r="B4" s="6" t="n">
        <v>57</v>
      </c>
      <c r="C4" s="6" t="s">
        <v>248</v>
      </c>
      <c r="D4" s="8" t="s">
        <v>251</v>
      </c>
    </row>
    <row r="5" customFormat="false" ht="15" hidden="false" customHeight="false" outlineLevel="0" collapsed="false">
      <c r="A5" s="6" t="s">
        <v>253</v>
      </c>
      <c r="B5" s="6" t="n">
        <v>117</v>
      </c>
      <c r="C5" s="6" t="s">
        <v>254</v>
      </c>
      <c r="D5" s="8" t="s">
        <v>255</v>
      </c>
    </row>
    <row r="6" customFormat="false" ht="15" hidden="false" customHeight="false" outlineLevel="0" collapsed="false">
      <c r="A6" s="6" t="s">
        <v>256</v>
      </c>
      <c r="B6" s="6" t="n">
        <v>100</v>
      </c>
      <c r="C6" s="6" t="s">
        <v>257</v>
      </c>
      <c r="D6" s="8" t="s">
        <v>258</v>
      </c>
    </row>
    <row r="7" customFormat="false" ht="15" hidden="false" customHeight="false" outlineLevel="0" collapsed="false">
      <c r="A7" s="6" t="s">
        <v>259</v>
      </c>
      <c r="B7" s="6" t="n">
        <v>100</v>
      </c>
      <c r="C7" s="6" t="s">
        <v>257</v>
      </c>
      <c r="D7" s="8" t="s">
        <v>260</v>
      </c>
    </row>
    <row r="8" customFormat="false" ht="15" hidden="false" customHeight="false" outlineLevel="0" collapsed="false">
      <c r="A8" s="6" t="s">
        <v>261</v>
      </c>
      <c r="B8" s="6" t="n">
        <v>87</v>
      </c>
      <c r="C8" s="6" t="s">
        <v>257</v>
      </c>
      <c r="D8" s="8" t="s">
        <v>262</v>
      </c>
    </row>
    <row r="9" customFormat="false" ht="15" hidden="false" customHeight="false" outlineLevel="0" collapsed="false">
      <c r="A9" s="6" t="s">
        <v>263</v>
      </c>
      <c r="B9" s="6" t="n">
        <v>62</v>
      </c>
      <c r="C9" s="6" t="s">
        <v>257</v>
      </c>
      <c r="D9" s="8" t="s">
        <v>264</v>
      </c>
    </row>
    <row r="10" customFormat="false" ht="15" hidden="false" customHeight="false" outlineLevel="0" collapsed="false">
      <c r="A10" s="6" t="s">
        <v>265</v>
      </c>
      <c r="B10" s="6" t="n">
        <v>50</v>
      </c>
      <c r="C10" s="6" t="s">
        <v>257</v>
      </c>
      <c r="D10" s="8" t="s">
        <v>266</v>
      </c>
    </row>
    <row r="11" customFormat="false" ht="15" hidden="false" customHeight="false" outlineLevel="0" collapsed="false">
      <c r="A11" s="6" t="s">
        <v>267</v>
      </c>
      <c r="B11" s="6" t="n">
        <v>48</v>
      </c>
      <c r="C11" s="6" t="s">
        <v>257</v>
      </c>
      <c r="D11" s="8" t="s">
        <v>268</v>
      </c>
    </row>
    <row r="12" customFormat="false" ht="15" hidden="false" customHeight="false" outlineLevel="0" collapsed="false">
      <c r="A12" s="6" t="s">
        <v>269</v>
      </c>
      <c r="B12" s="6" t="n">
        <v>45</v>
      </c>
      <c r="C12" s="6" t="s">
        <v>257</v>
      </c>
      <c r="D12" s="8" t="s">
        <v>270</v>
      </c>
    </row>
    <row r="13" customFormat="false" ht="15" hidden="false" customHeight="false" outlineLevel="0" collapsed="false">
      <c r="A13" s="6" t="s">
        <v>271</v>
      </c>
      <c r="B13" s="6" t="n">
        <v>45</v>
      </c>
      <c r="C13" s="6" t="s">
        <v>257</v>
      </c>
      <c r="D13" s="8" t="s">
        <v>272</v>
      </c>
    </row>
    <row r="14" customFormat="false" ht="15" hidden="false" customHeight="false" outlineLevel="0" collapsed="false">
      <c r="A14" s="6" t="s">
        <v>273</v>
      </c>
      <c r="B14" s="6" t="n">
        <v>44</v>
      </c>
      <c r="C14" s="6" t="s">
        <v>257</v>
      </c>
      <c r="D14" s="8" t="s">
        <v>274</v>
      </c>
    </row>
    <row r="15" customFormat="false" ht="15" hidden="false" customHeight="false" outlineLevel="0" collapsed="false">
      <c r="A15" s="6" t="s">
        <v>275</v>
      </c>
      <c r="B15" s="6" t="n">
        <v>39</v>
      </c>
      <c r="C15" s="6" t="s">
        <v>257</v>
      </c>
      <c r="D15" s="8" t="s">
        <v>276</v>
      </c>
    </row>
    <row r="16" customFormat="false" ht="15" hidden="false" customHeight="false" outlineLevel="0" collapsed="false">
      <c r="A16" s="6" t="s">
        <v>277</v>
      </c>
      <c r="B16" s="6" t="n">
        <v>36</v>
      </c>
      <c r="C16" s="6" t="s">
        <v>257</v>
      </c>
      <c r="D16" s="8" t="s">
        <v>278</v>
      </c>
    </row>
    <row r="17" customFormat="false" ht="15" hidden="false" customHeight="false" outlineLevel="0" collapsed="false">
      <c r="A17" s="6" t="s">
        <v>279</v>
      </c>
      <c r="B17" s="6" t="n">
        <v>34</v>
      </c>
      <c r="C17" s="6" t="s">
        <v>257</v>
      </c>
      <c r="D17" s="8" t="s">
        <v>280</v>
      </c>
    </row>
    <row r="18" customFormat="false" ht="15" hidden="false" customHeight="false" outlineLevel="0" collapsed="false">
      <c r="A18" s="6" t="s">
        <v>281</v>
      </c>
      <c r="B18" s="6" t="n">
        <v>0</v>
      </c>
      <c r="C18" s="6" t="s">
        <v>257</v>
      </c>
      <c r="D18" s="8" t="s">
        <v>282</v>
      </c>
    </row>
    <row r="19" customFormat="false" ht="15" hidden="false" customHeight="false" outlineLevel="0" collapsed="false">
      <c r="A19" s="6" t="s">
        <v>283</v>
      </c>
      <c r="B19" s="6" t="n">
        <v>0</v>
      </c>
      <c r="C19" s="6" t="s">
        <v>257</v>
      </c>
      <c r="D19" s="8" t="s">
        <v>284</v>
      </c>
    </row>
    <row r="20" customFormat="false" ht="15" hidden="false" customHeight="false" outlineLevel="0" collapsed="false">
      <c r="A20" s="6" t="s">
        <v>285</v>
      </c>
      <c r="B20" s="6" t="n">
        <v>193</v>
      </c>
      <c r="C20" s="6" t="s">
        <v>286</v>
      </c>
      <c r="D20" s="8" t="s">
        <v>287</v>
      </c>
    </row>
    <row r="21" customFormat="false" ht="15" hidden="false" customHeight="false" outlineLevel="0" collapsed="false">
      <c r="A21" s="6" t="s">
        <v>288</v>
      </c>
      <c r="B21" s="6" t="n">
        <v>136</v>
      </c>
      <c r="C21" s="6" t="s">
        <v>286</v>
      </c>
      <c r="D21" s="8" t="s">
        <v>289</v>
      </c>
    </row>
    <row r="22" customFormat="false" ht="15" hidden="false" customHeight="false" outlineLevel="0" collapsed="false">
      <c r="A22" s="6" t="s">
        <v>290</v>
      </c>
      <c r="B22" s="6" t="n">
        <v>115</v>
      </c>
      <c r="C22" s="6" t="s">
        <v>286</v>
      </c>
      <c r="D22" s="8" t="s">
        <v>291</v>
      </c>
    </row>
    <row r="23" customFormat="false" ht="15" hidden="false" customHeight="false" outlineLevel="0" collapsed="false">
      <c r="A23" s="6" t="s">
        <v>292</v>
      </c>
      <c r="B23" s="6" t="n">
        <v>69</v>
      </c>
      <c r="C23" s="6" t="s">
        <v>286</v>
      </c>
      <c r="D23" s="8" t="s">
        <v>293</v>
      </c>
    </row>
    <row r="24" customFormat="false" ht="15" hidden="false" customHeight="false" outlineLevel="0" collapsed="false">
      <c r="A24" s="6" t="s">
        <v>294</v>
      </c>
      <c r="B24" s="6" t="n">
        <v>65</v>
      </c>
      <c r="C24" s="6" t="s">
        <v>286</v>
      </c>
      <c r="D24" s="8" t="s">
        <v>295</v>
      </c>
    </row>
    <row r="25" customFormat="false" ht="15" hidden="false" customHeight="false" outlineLevel="0" collapsed="false">
      <c r="A25" s="6" t="s">
        <v>296</v>
      </c>
      <c r="B25" s="6" t="n">
        <v>41</v>
      </c>
      <c r="C25" s="6" t="s">
        <v>286</v>
      </c>
      <c r="D25" s="8" t="s">
        <v>297</v>
      </c>
    </row>
    <row r="26" customFormat="false" ht="15" hidden="false" customHeight="false" outlineLevel="0" collapsed="false">
      <c r="A26" s="6" t="s">
        <v>298</v>
      </c>
      <c r="B26" s="6" t="n">
        <v>25</v>
      </c>
      <c r="C26" s="6" t="s">
        <v>286</v>
      </c>
      <c r="D26" s="8" t="s">
        <v>299</v>
      </c>
    </row>
    <row r="27" customFormat="false" ht="15" hidden="false" customHeight="false" outlineLevel="0" collapsed="false">
      <c r="A27" s="6" t="s">
        <v>300</v>
      </c>
      <c r="B27" s="6" t="n">
        <v>1</v>
      </c>
      <c r="C27" s="6" t="s">
        <v>286</v>
      </c>
      <c r="D27" s="8" t="s">
        <v>301</v>
      </c>
    </row>
    <row r="28" customFormat="false" ht="15" hidden="false" customHeight="false" outlineLevel="0" collapsed="false">
      <c r="A28" s="6" t="s">
        <v>302</v>
      </c>
      <c r="B28" s="6" t="n">
        <v>0</v>
      </c>
      <c r="C28" s="6" t="s">
        <v>286</v>
      </c>
      <c r="D28" s="8" t="s">
        <v>303</v>
      </c>
    </row>
    <row r="29" customFormat="false" ht="23.85" hidden="false" customHeight="false" outlineLevel="0" collapsed="false">
      <c r="A29" s="18" t="s">
        <v>304</v>
      </c>
      <c r="B29" s="18" t="n">
        <v>149</v>
      </c>
      <c r="C29" s="18" t="s">
        <v>305</v>
      </c>
      <c r="D29" s="19" t="s">
        <v>306</v>
      </c>
    </row>
    <row r="30" customFormat="false" ht="15" hidden="false" customHeight="false" outlineLevel="0" collapsed="false">
      <c r="A30" s="18" t="s">
        <v>307</v>
      </c>
      <c r="B30" s="18" t="n">
        <v>133</v>
      </c>
      <c r="C30" s="18" t="s">
        <v>305</v>
      </c>
      <c r="D30" s="19" t="s">
        <v>308</v>
      </c>
    </row>
    <row r="31" customFormat="false" ht="15" hidden="false" customHeight="false" outlineLevel="0" collapsed="false">
      <c r="A31" s="18" t="s">
        <v>309</v>
      </c>
      <c r="B31" s="18" t="n">
        <v>115</v>
      </c>
      <c r="C31" s="18" t="s">
        <v>305</v>
      </c>
      <c r="D31" s="19" t="s">
        <v>310</v>
      </c>
    </row>
    <row r="32" customFormat="false" ht="15" hidden="false" customHeight="false" outlineLevel="0" collapsed="false">
      <c r="A32" s="18" t="s">
        <v>311</v>
      </c>
      <c r="B32" s="18" t="n">
        <v>69</v>
      </c>
      <c r="C32" s="18" t="s">
        <v>305</v>
      </c>
      <c r="D32" s="19" t="s">
        <v>312</v>
      </c>
    </row>
    <row r="33" customFormat="false" ht="15" hidden="false" customHeight="false" outlineLevel="0" collapsed="false">
      <c r="A33" s="6" t="s">
        <v>313</v>
      </c>
      <c r="B33" s="6" t="n">
        <v>0</v>
      </c>
      <c r="C33" s="6" t="s">
        <v>314</v>
      </c>
      <c r="D33" s="8" t="s">
        <v>315</v>
      </c>
    </row>
    <row r="34" customFormat="false" ht="15" hidden="false" customHeight="false" outlineLevel="0" collapsed="false">
      <c r="A34" s="6" t="s">
        <v>316</v>
      </c>
      <c r="B34" s="6" t="n">
        <v>0</v>
      </c>
      <c r="C34" s="6" t="s">
        <v>314</v>
      </c>
      <c r="D34" s="8" t="s">
        <v>317</v>
      </c>
    </row>
    <row r="35" customFormat="false" ht="15" hidden="false" customHeight="false" outlineLevel="0" collapsed="false">
      <c r="A35" s="15" t="s">
        <v>318</v>
      </c>
      <c r="B35" s="15" t="n">
        <f aca="false">SUM(B2:B34)</f>
        <v>2164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6"/>
    <col collapsed="false" customWidth="true" hidden="false" outlineLevel="0" max="4" min="4" style="0" width="95"/>
  </cols>
  <sheetData>
    <row r="1" customFormat="false" ht="17.35" hidden="false" customHeight="false" outlineLevel="0" collapsed="false">
      <c r="A1" s="1" t="s">
        <v>319</v>
      </c>
    </row>
    <row r="2" customFormat="false" ht="15" hidden="false" customHeight="false" outlineLevel="0" collapsed="false">
      <c r="A2" s="16" t="s">
        <v>320</v>
      </c>
    </row>
    <row r="4" customFormat="false" ht="15" hidden="false" customHeight="false" outlineLevel="0" collapsed="false">
      <c r="A4" s="17" t="s">
        <v>321</v>
      </c>
      <c r="B4" s="17" t="s">
        <v>244</v>
      </c>
      <c r="C4" s="17" t="s">
        <v>322</v>
      </c>
      <c r="D4" s="17" t="s">
        <v>323</v>
      </c>
    </row>
    <row r="5" customFormat="false" ht="15" hidden="false" customHeight="false" outlineLevel="0" collapsed="false">
      <c r="A5" s="6" t="s">
        <v>324</v>
      </c>
      <c r="B5" s="20" t="n">
        <f aca="false">'Property comparison'!H69</f>
        <v>6379</v>
      </c>
      <c r="C5" s="20" t="n">
        <f aca="false">SUM($B$5:B5)</f>
        <v>6379</v>
      </c>
      <c r="D5" s="8" t="s">
        <v>325</v>
      </c>
    </row>
    <row r="6" customFormat="false" ht="15" hidden="false" customHeight="false" outlineLevel="0" collapsed="false">
      <c r="A6" s="6" t="s">
        <v>326</v>
      </c>
      <c r="B6" s="20" t="n">
        <f aca="false">-19</f>
        <v>-19</v>
      </c>
      <c r="C6" s="20" t="n">
        <f aca="false">SUM($B$5:B6)</f>
        <v>6360</v>
      </c>
      <c r="D6" s="8" t="s">
        <v>327</v>
      </c>
    </row>
    <row r="7" customFormat="false" ht="23.85" hidden="false" customHeight="false" outlineLevel="0" collapsed="false">
      <c r="A7" s="6" t="s">
        <v>328</v>
      </c>
      <c r="B7" s="20" t="n">
        <f aca="false">'Property comparison'!J69-('Property comparison'!H69-19)</f>
        <v>284</v>
      </c>
      <c r="C7" s="20" t="n">
        <f aca="false">SUM($B$5:B7)</f>
        <v>6644</v>
      </c>
      <c r="D7" s="8" t="s">
        <v>329</v>
      </c>
    </row>
    <row r="8" customFormat="false" ht="15" hidden="false" customHeight="false" outlineLevel="0" collapsed="false">
      <c r="A8" s="6" t="s">
        <v>330</v>
      </c>
      <c r="B8" s="20" t="n">
        <f aca="false">246</f>
        <v>246</v>
      </c>
      <c r="C8" s="20" t="n">
        <f aca="false">SUM($B$5:B8)</f>
        <v>6890</v>
      </c>
      <c r="D8" s="8" t="s">
        <v>331</v>
      </c>
    </row>
    <row r="9" customFormat="false" ht="15" hidden="false" customHeight="false" outlineLevel="0" collapsed="false">
      <c r="A9" s="6" t="s">
        <v>332</v>
      </c>
      <c r="B9" s="20" t="n">
        <f aca="false">117</f>
        <v>117</v>
      </c>
      <c r="C9" s="20" t="n">
        <f aca="false">SUM($B$5:B9)</f>
        <v>7007</v>
      </c>
      <c r="D9" s="8" t="s">
        <v>333</v>
      </c>
    </row>
    <row r="10" customFormat="false" ht="15" hidden="false" customHeight="false" outlineLevel="0" collapsed="false">
      <c r="A10" s="6" t="s">
        <v>334</v>
      </c>
      <c r="B10" s="20" t="n">
        <f aca="false">466</f>
        <v>466</v>
      </c>
      <c r="C10" s="20" t="n">
        <f aca="false">SUM($B$5:B10)</f>
        <v>7473</v>
      </c>
      <c r="D10" s="8" t="s">
        <v>335</v>
      </c>
    </row>
    <row r="11" customFormat="false" ht="15" hidden="false" customHeight="false" outlineLevel="0" collapsed="false">
      <c r="A11" s="6" t="s">
        <v>336</v>
      </c>
      <c r="B11" s="20" t="n">
        <f aca="false">645</f>
        <v>645</v>
      </c>
      <c r="C11" s="20" t="n">
        <f aca="false">SUM($B$5:B11)</f>
        <v>8118</v>
      </c>
      <c r="D11" s="8" t="s">
        <v>337</v>
      </c>
    </row>
    <row r="12" customFormat="false" ht="15" hidden="false" customHeight="false" outlineLevel="0" collapsed="false">
      <c r="A12" s="6" t="s">
        <v>338</v>
      </c>
      <c r="B12" s="20" t="n">
        <f aca="false">690</f>
        <v>690</v>
      </c>
      <c r="C12" s="20" t="n">
        <f aca="false">SUM($B$5:B12)</f>
        <v>8808</v>
      </c>
      <c r="D12" s="8" t="s">
        <v>339</v>
      </c>
    </row>
    <row r="13" customFormat="false" ht="15" hidden="false" customHeight="false" outlineLevel="0" collapsed="false">
      <c r="A13" s="15" t="s">
        <v>340</v>
      </c>
      <c r="B13" s="21"/>
      <c r="C13" s="22" t="n">
        <f aca="false">SUM(B5:B12)</f>
        <v>8808</v>
      </c>
    </row>
    <row r="14" customFormat="false" ht="15" hidden="false" customHeight="false" outlineLevel="0" collapsed="false">
      <c r="A14" s="15" t="s">
        <v>341</v>
      </c>
      <c r="B14" s="21"/>
      <c r="C14" s="22" t="n">
        <v>9355</v>
      </c>
      <c r="D14" s="23" t="s">
        <v>342</v>
      </c>
    </row>
    <row r="15" customFormat="false" ht="35.05" hidden="false" customHeight="false" outlineLevel="0" collapsed="false">
      <c r="A15" s="15" t="s">
        <v>343</v>
      </c>
      <c r="B15" s="21"/>
      <c r="C15" s="24" t="n">
        <f aca="false">C14-C12</f>
        <v>547</v>
      </c>
      <c r="D15" s="3" t="s">
        <v>344</v>
      </c>
    </row>
    <row r="16" customFormat="false" ht="15" hidden="false" customHeight="false" outlineLevel="0" collapsed="false">
      <c r="B16" s="21"/>
      <c r="C16" s="21"/>
    </row>
    <row r="17" customFormat="false" ht="35.05" hidden="false" customHeight="false" outlineLevel="0" collapsed="false">
      <c r="A17" s="15" t="s">
        <v>345</v>
      </c>
      <c r="B17" s="21"/>
      <c r="C17" s="22" t="n">
        <v>8020</v>
      </c>
      <c r="D17" s="3" t="s">
        <v>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2026-09-01T17:21:07Z</dcterms:created>
  <dc:creator>openpyxl</dc:creator>
  <dc:description/>
  <dc:language>en-US</dc:language>
  <cp:lastModifiedBy/>
  <dcterms:modified xsi:type="dcterms:W3CDTF">2026-09-01T17:21:07Z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