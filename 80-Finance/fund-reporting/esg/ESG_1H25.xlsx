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rakeetcommunities.sharepoint.com/sites/main/Shared Documents/Corporate/ESG/"/>
    </mc:Choice>
  </mc:AlternateContent>
  <xr:revisionPtr revIDLastSave="0" documentId="8_{1074267C-9F42-49D9-8437-E9A44438139C}" xr6:coauthVersionLast="47" xr6:coauthVersionMax="47" xr10:uidLastSave="{00000000-0000-0000-0000-000000000000}"/>
  <bookViews>
    <workbookView xWindow="34740" yWindow="-1320" windowWidth="43800" windowHeight="17325" xr2:uid="{6BF782B1-EEC2-41F4-91CC-1843D52FFA0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7" i="1"/>
  <c r="I6" i="1"/>
  <c r="I5" i="1"/>
  <c r="I8" i="1"/>
</calcChain>
</file>

<file path=xl/sharedStrings.xml><?xml version="1.0" encoding="utf-8"?>
<sst xmlns="http://schemas.openxmlformats.org/spreadsheetml/2006/main" count="310" uniqueCount="108">
  <si>
    <t>Asset Characteristics</t>
  </si>
  <si>
    <t>Data</t>
  </si>
  <si>
    <t>Energy Usage</t>
  </si>
  <si>
    <t>Water Consumption</t>
  </si>
  <si>
    <t>Social</t>
  </si>
  <si>
    <t>Governance</t>
  </si>
  <si>
    <t>Investment Vehicle</t>
  </si>
  <si>
    <t>Investment Name</t>
  </si>
  <si>
    <t>Country</t>
  </si>
  <si>
    <t>City</t>
  </si>
  <si>
    <t>Street Address</t>
  </si>
  <si>
    <t>Asset Class</t>
  </si>
  <si>
    <t>Sector / Property Type</t>
  </si>
  <si>
    <t>Building Status</t>
  </si>
  <si>
    <t>Reporting Year</t>
  </si>
  <si>
    <t>Total Energy Consumption (kWh)</t>
  </si>
  <si>
    <t>% Floor Area Covered</t>
  </si>
  <si>
    <t>% Natural Gas and other fuels</t>
  </si>
  <si>
    <t>% Renewable Energy Used</t>
  </si>
  <si>
    <t>% Other (pls specify)</t>
  </si>
  <si>
    <t>Total Consumption (kGal)</t>
  </si>
  <si>
    <t>Onsite water reuse (kGal)</t>
  </si>
  <si>
    <t>Diversity (% Women on Board)</t>
  </si>
  <si>
    <t>Diversity (% Women in C-suite)</t>
  </si>
  <si>
    <t>Work-related Accidents: Injuries</t>
  </si>
  <si>
    <t>Work-related Accidents: Days Lost</t>
  </si>
  <si>
    <t>New Hires: Total %</t>
  </si>
  <si>
    <t>New Hires: Turnover %</t>
  </si>
  <si>
    <t>Total: Turnover %</t>
  </si>
  <si>
    <t>Employee Training (Type/Date)</t>
  </si>
  <si>
    <t>Community Engagement (yes/no)</t>
  </si>
  <si>
    <t>Community Engagement ($ spent)</t>
  </si>
  <si>
    <t>Cyber Security Breaches (#)</t>
  </si>
  <si>
    <t xml:space="preserve">HIPAA Violations (#) (specify if N/A) </t>
  </si>
  <si>
    <r>
      <t xml:space="preserve">(Gross) Square Footage / Asset Size </t>
    </r>
    <r>
      <rPr>
        <b/>
        <vertAlign val="superscript"/>
        <sz val="9"/>
        <color rgb="FFFFFFFF"/>
        <rFont val="Calibri"/>
        <family val="2"/>
      </rPr>
      <t>(1)</t>
    </r>
  </si>
  <si>
    <t>Fund 1</t>
  </si>
  <si>
    <t>Parakeet</t>
  </si>
  <si>
    <t>United States</t>
  </si>
  <si>
    <t>Various</t>
  </si>
  <si>
    <t>Real Estate</t>
  </si>
  <si>
    <t>Manufactured Housing </t>
  </si>
  <si>
    <t>Standing Investment</t>
  </si>
  <si>
    <t>N/A</t>
  </si>
  <si>
    <t>All New Hires have Fair Housing Certificates And have had one on one Anti-Harassment Training with HR</t>
  </si>
  <si>
    <t>APPLE</t>
  </si>
  <si>
    <t>Deland</t>
  </si>
  <si>
    <t>399 Circle Dr.</t>
  </si>
  <si>
    <t>1/1/2025 - 6/30/2025</t>
  </si>
  <si>
    <t>YES</t>
  </si>
  <si>
    <t>NO</t>
  </si>
  <si>
    <t>BELL</t>
  </si>
  <si>
    <t>Clearwater</t>
  </si>
  <si>
    <t>27554 US Hwy 19 N</t>
  </si>
  <si>
    <t>CARL</t>
  </si>
  <si>
    <t>Miami</t>
  </si>
  <si>
    <t>4111 NW 37th Ave</t>
  </si>
  <si>
    <t>CENT</t>
  </si>
  <si>
    <t>Cocoa</t>
  </si>
  <si>
    <t>810 Peachtree Street</t>
  </si>
  <si>
    <t>CONG</t>
  </si>
  <si>
    <t>West Palm Beach</t>
  </si>
  <si>
    <t>1960 Congress Avenue</t>
  </si>
  <si>
    <t>GKFC</t>
  </si>
  <si>
    <t>Key West</t>
  </si>
  <si>
    <t>5 Geiger Rd</t>
  </si>
  <si>
    <t>HARB</t>
  </si>
  <si>
    <t>821 Peachtree Street</t>
  </si>
  <si>
    <t>JBJ</t>
  </si>
  <si>
    <t>2980 NW 79th St</t>
  </si>
  <si>
    <t>LS</t>
  </si>
  <si>
    <t>Mt Dora</t>
  </si>
  <si>
    <t>4301 County Road 19A</t>
  </si>
  <si>
    <t>LUCK</t>
  </si>
  <si>
    <t>Melbourne</t>
  </si>
  <si>
    <t>635 E Eau Gallie Blvd.</t>
  </si>
  <si>
    <t>PL</t>
  </si>
  <si>
    <t>Deltona</t>
  </si>
  <si>
    <t>1571 Doyle Road</t>
  </si>
  <si>
    <t>PPH</t>
  </si>
  <si>
    <t>Panama City Beach</t>
  </si>
  <si>
    <t>250 Nell Street</t>
  </si>
  <si>
    <t>RIV</t>
  </si>
  <si>
    <t>Miami Gardens</t>
  </si>
  <si>
    <t>19900 NW 37th Avenue</t>
  </si>
  <si>
    <t>RO</t>
  </si>
  <si>
    <t>Ruskin</t>
  </si>
  <si>
    <t>201 Stephens Road</t>
  </si>
  <si>
    <t>SILVER</t>
  </si>
  <si>
    <t>Titusville</t>
  </si>
  <si>
    <t>925 Cheney Hwy</t>
  </si>
  <si>
    <t>SO</t>
  </si>
  <si>
    <t>14721 NE 6 Avenue</t>
  </si>
  <si>
    <t>SOUTH</t>
  </si>
  <si>
    <t>Cape Canavaral</t>
  </si>
  <si>
    <t>8817 North Atlantic Ave</t>
  </si>
  <si>
    <t>SS</t>
  </si>
  <si>
    <t>Cape Canaveral</t>
  </si>
  <si>
    <t>7521 N. Atlantic Ave</t>
  </si>
  <si>
    <t>SSS</t>
  </si>
  <si>
    <t>Atlantic Beach</t>
  </si>
  <si>
    <t>1511 East Fort Macon Road</t>
  </si>
  <si>
    <t>TRADE</t>
  </si>
  <si>
    <t>4100 N Cocoa Blvd</t>
  </si>
  <si>
    <t>VO</t>
  </si>
  <si>
    <t>Okeechobee</t>
  </si>
  <si>
    <t>4071 SE 24th Street</t>
  </si>
  <si>
    <t>WPMH</t>
  </si>
  <si>
    <t>359 Cheney Hwy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</si>
</sst>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\ &quot;pads&quot;"/>
    <numFmt numFmtId="165" formatCode="0.0%"/>
    <numFmt numFmtId="166" formatCode="_(* #,##0_);_(* \(#,##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Calibri"/>
      <family val="2"/>
    </font>
    <font>
      <b/>
      <sz val="9"/>
      <color rgb="FFFFFFFF"/>
      <name val="Calibri"/>
      <family val="2"/>
    </font>
    <font>
      <b/>
      <vertAlign val="superscript"/>
      <sz val="9"/>
      <color rgb="FFFFFFFF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DB8E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CA4A4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medium">
        <color rgb="FF8CA4A4"/>
      </left>
      <right/>
      <top/>
      <bottom style="medium">
        <color rgb="FF8CA4A4"/>
      </bottom>
      <diagonal/>
    </border>
    <border>
      <left/>
      <right/>
      <top/>
      <bottom style="medium">
        <color rgb="FF8CA4A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6" fillId="0" borderId="0"/>
  </cellStyleXfs>
  <cellXfs count="41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7" fillId="9" borderId="7" xfId="0" applyFont="1" applyFill="1" applyBorder="1" applyAlignment="1">
      <alignment horizontal="center" vertical="center"/>
    </xf>
    <xf numFmtId="0" fontId="8" fillId="9" borderId="7" xfId="3" applyFont="1" applyFill="1" applyBorder="1" applyAlignment="1">
      <alignment horizontal="center" vertical="center"/>
    </xf>
    <xf numFmtId="164" fontId="7" fillId="9" borderId="7" xfId="0" applyNumberFormat="1" applyFont="1" applyFill="1" applyBorder="1" applyAlignment="1">
      <alignment horizontal="center" vertical="center"/>
    </xf>
    <xf numFmtId="14" fontId="7" fillId="9" borderId="7" xfId="0" applyNumberFormat="1" applyFont="1" applyFill="1" applyBorder="1" applyAlignment="1">
      <alignment horizontal="center" vertical="center"/>
    </xf>
    <xf numFmtId="165" fontId="7" fillId="9" borderId="7" xfId="2" applyNumberFormat="1" applyFont="1" applyFill="1" applyBorder="1" applyAlignment="1">
      <alignment horizontal="center" vertical="center"/>
    </xf>
    <xf numFmtId="166" fontId="7" fillId="9" borderId="7" xfId="1" applyNumberFormat="1" applyFont="1" applyFill="1" applyBorder="1" applyAlignment="1">
      <alignment horizontal="center" vertical="center"/>
    </xf>
    <xf numFmtId="10" fontId="7" fillId="9" borderId="7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right" vertical="center"/>
    </xf>
    <xf numFmtId="0" fontId="8" fillId="0" borderId="0" xfId="3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3" applyFont="1" applyAlignment="1">
      <alignment horizontal="left" vertical="center"/>
    </xf>
    <xf numFmtId="164" fontId="7" fillId="0" borderId="0" xfId="0" applyNumberFormat="1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166" fontId="2" fillId="0" borderId="0" xfId="1" applyNumberFormat="1" applyFont="1" applyAlignment="1"/>
    <xf numFmtId="0" fontId="7" fillId="0" borderId="0" xfId="0" applyFont="1" applyAlignment="1">
      <alignment horizontal="center" vertical="center"/>
    </xf>
    <xf numFmtId="166" fontId="7" fillId="0" borderId="0" xfId="1" applyNumberFormat="1" applyFont="1" applyAlignment="1">
      <alignment horizontal="center" vertical="center"/>
    </xf>
    <xf numFmtId="43" fontId="7" fillId="0" borderId="0" xfId="1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2" fillId="0" borderId="0" xfId="0" applyFont="1" applyAlignment="1"/>
    <xf numFmtId="0" fontId="7" fillId="0" borderId="0" xfId="4" applyFont="1" applyAlignment="1"/>
    <xf numFmtId="0" fontId="7" fillId="0" borderId="0" xfId="0" quotePrefix="1" applyFont="1" applyAlignment="1">
      <alignment horizontal="right" vertical="center"/>
    </xf>
    <xf numFmtId="0" fontId="2" fillId="0" borderId="0" xfId="0" applyFont="1" applyAlignment="1">
      <alignment horizontal="left"/>
    </xf>
    <xf numFmtId="43" fontId="2" fillId="0" borderId="0" xfId="1" applyFont="1" applyAlignment="1"/>
  </cellXfs>
  <cellStyles count="5">
    <cellStyle name="Comma" xfId="1" builtinId="3"/>
    <cellStyle name="Normal" xfId="0" builtinId="0"/>
    <cellStyle name="Normal 3" xfId="4" xr:uid="{63955290-BB88-4E9D-A87D-1004062085F9}"/>
    <cellStyle name="Normal 6 2" xfId="3" xr:uid="{41136B9C-11BD-4EF0-B96B-40C99BC9D5CD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AustinBerk\AppData\Local\Microsoft\Olk\Attachments\ooa-fc1a9614-6abc-4a53-ab5c-9750e260ec37\638f93b2ad20f5d87547080c4fcdf2bb72c138f0909d419d4a8e5454ee4b88a6\Parakeet-Jadian%20Portco%20ESG%20Data%20Collection%202H24%20(Response).xlsx" TargetMode="External"/><Relationship Id="rId2" Type="http://schemas.microsoft.com/office/2019/04/relationships/externalLinkLongPath" Target="file:///C:\Users\AustinBerk\AppData\Local\Microsoft\Olk\Attachments\ooa-fc1a9614-6abc-4a53-ab5c-9750e260ec37\638f93b2ad20f5d87547080c4fcdf2bb72c138f0909d419d4a8e5454ee4b88a6\Parakeet-Jadian%20Portco%20ESG%20Data%20Collection%202H24%20(Response).xlsx?A95060DE" TargetMode="External"/><Relationship Id="rId1" Type="http://schemas.openxmlformats.org/officeDocument/2006/relationships/externalLinkPath" Target="file:///\\A95060DE\Parakeet-Jadian%20Portco%20ESG%20Data%20Collection%202H24%20(Respons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ESG DDQ Appendix A"/>
      <sheetName val="Bill Analysis"/>
      <sheetName val="Sheet1"/>
      <sheetName val="Site-Level RFI"/>
    </sheetNames>
    <sheetDataSet>
      <sheetData sheetId="0">
        <row r="6">
          <cell r="A6" t="str">
            <v>AMER</v>
          </cell>
          <cell r="B6" t="str">
            <v>Parakeet</v>
          </cell>
          <cell r="C6" t="str">
            <v>United States</v>
          </cell>
          <cell r="D6" t="str">
            <v>Auburn</v>
          </cell>
          <cell r="E6" t="str">
            <v>47 Washington Street</v>
          </cell>
          <cell r="F6" t="str">
            <v>Real Estate</v>
          </cell>
          <cell r="G6" t="str">
            <v>Manufactured Housing </v>
          </cell>
          <cell r="H6" t="str">
            <v>Standing Investment</v>
          </cell>
          <cell r="I6">
            <v>54</v>
          </cell>
        </row>
        <row r="7">
          <cell r="A7" t="str">
            <v>APPLE</v>
          </cell>
          <cell r="B7" t="str">
            <v>Parakeet</v>
          </cell>
          <cell r="C7" t="str">
            <v>United States</v>
          </cell>
          <cell r="D7" t="str">
            <v>Deland</v>
          </cell>
          <cell r="E7" t="str">
            <v>399 Circle Dr.</v>
          </cell>
          <cell r="F7" t="str">
            <v>Real Estate</v>
          </cell>
          <cell r="G7" t="str">
            <v>Manufactured Housing </v>
          </cell>
          <cell r="H7" t="str">
            <v>Standing Investment</v>
          </cell>
          <cell r="I7">
            <v>87</v>
          </cell>
        </row>
        <row r="8">
          <cell r="A8" t="str">
            <v>BELL</v>
          </cell>
          <cell r="B8" t="str">
            <v>Parakeet</v>
          </cell>
          <cell r="C8" t="str">
            <v>United States</v>
          </cell>
          <cell r="D8" t="str">
            <v>Clearwater</v>
          </cell>
          <cell r="E8" t="str">
            <v>27554 US Hwy 19 N</v>
          </cell>
          <cell r="F8" t="str">
            <v>Real Estate</v>
          </cell>
          <cell r="G8" t="str">
            <v>Manufactured Housing </v>
          </cell>
          <cell r="H8" t="str">
            <v>Standing Investment</v>
          </cell>
          <cell r="I8">
            <v>93</v>
          </cell>
        </row>
        <row r="9">
          <cell r="A9" t="str">
            <v>CARL</v>
          </cell>
          <cell r="B9" t="str">
            <v>Parakeet</v>
          </cell>
          <cell r="C9" t="str">
            <v>United States</v>
          </cell>
          <cell r="D9" t="str">
            <v>Miami</v>
          </cell>
          <cell r="E9" t="str">
            <v>4111 NW 37 Ave</v>
          </cell>
          <cell r="F9" t="str">
            <v>Real Estate</v>
          </cell>
          <cell r="G9" t="str">
            <v>Manufactured Housing </v>
          </cell>
          <cell r="H9" t="str">
            <v>Standing Investment</v>
          </cell>
          <cell r="I9">
            <v>77</v>
          </cell>
        </row>
        <row r="10">
          <cell r="A10" t="str">
            <v>CENT</v>
          </cell>
          <cell r="B10" t="str">
            <v>Parakeet</v>
          </cell>
          <cell r="C10" t="str">
            <v>United States</v>
          </cell>
          <cell r="D10" t="str">
            <v>Cocoa</v>
          </cell>
          <cell r="E10" t="str">
            <v>810 Peachtree Street</v>
          </cell>
          <cell r="F10" t="str">
            <v>Real Estate</v>
          </cell>
          <cell r="G10" t="str">
            <v>Manufactured Housing </v>
          </cell>
          <cell r="H10" t="str">
            <v>Standing Investment</v>
          </cell>
          <cell r="I10">
            <v>62</v>
          </cell>
        </row>
        <row r="11">
          <cell r="A11" t="str">
            <v>CONG</v>
          </cell>
          <cell r="B11" t="str">
            <v>Parakeet</v>
          </cell>
          <cell r="C11" t="str">
            <v>United States</v>
          </cell>
          <cell r="D11" t="str">
            <v>West Palm Beach</v>
          </cell>
          <cell r="E11" t="str">
            <v>1960 N Congress Avenue</v>
          </cell>
          <cell r="F11" t="str">
            <v>Real Estate</v>
          </cell>
          <cell r="G11" t="str">
            <v>Manufactured Housing </v>
          </cell>
          <cell r="H11" t="str">
            <v>Standing Investment</v>
          </cell>
          <cell r="I11">
            <v>31</v>
          </cell>
        </row>
        <row r="12">
          <cell r="A12" t="str">
            <v>GKFC</v>
          </cell>
          <cell r="B12" t="str">
            <v>Parakeet</v>
          </cell>
          <cell r="C12" t="str">
            <v>United States</v>
          </cell>
          <cell r="D12" t="str">
            <v>Key West</v>
          </cell>
          <cell r="E12" t="str">
            <v>5 Geiger Rd</v>
          </cell>
          <cell r="F12" t="str">
            <v>Real Estate</v>
          </cell>
          <cell r="G12" t="str">
            <v>Manufactured Housing </v>
          </cell>
          <cell r="H12" t="str">
            <v>Standing Investment</v>
          </cell>
          <cell r="I12">
            <v>36</v>
          </cell>
        </row>
        <row r="13">
          <cell r="A13" t="str">
            <v>HARB</v>
          </cell>
          <cell r="B13" t="str">
            <v>Parakeet</v>
          </cell>
          <cell r="C13" t="str">
            <v>United States</v>
          </cell>
          <cell r="D13" t="str">
            <v>Cocoa</v>
          </cell>
          <cell r="E13" t="str">
            <v>821 Peachtree Street</v>
          </cell>
          <cell r="F13" t="str">
            <v>Real Estate</v>
          </cell>
          <cell r="G13" t="str">
            <v>Manufactured Housing </v>
          </cell>
          <cell r="H13" t="str">
            <v>Standing Investment</v>
          </cell>
          <cell r="I13">
            <v>42</v>
          </cell>
        </row>
        <row r="14">
          <cell r="A14" t="str">
            <v>HSRC</v>
          </cell>
          <cell r="B14" t="str">
            <v>Parakeet</v>
          </cell>
          <cell r="C14" t="str">
            <v>United States</v>
          </cell>
          <cell r="D14" t="str">
            <v>Crystal River</v>
          </cell>
          <cell r="E14" t="str">
            <v>316 NE 2nd Street</v>
          </cell>
          <cell r="F14" t="str">
            <v>Real Estate</v>
          </cell>
          <cell r="G14" t="str">
            <v>Manufactured Housing </v>
          </cell>
          <cell r="H14" t="str">
            <v>Standing Investment</v>
          </cell>
          <cell r="I14">
            <v>25</v>
          </cell>
        </row>
        <row r="15">
          <cell r="A15" t="str">
            <v>JBJ</v>
          </cell>
          <cell r="B15" t="str">
            <v>Parakeet</v>
          </cell>
          <cell r="C15" t="str">
            <v>United States</v>
          </cell>
          <cell r="D15" t="str">
            <v>Miami</v>
          </cell>
          <cell r="E15" t="str">
            <v>2980 NW 79th St</v>
          </cell>
          <cell r="F15" t="str">
            <v>Real Estate</v>
          </cell>
          <cell r="G15" t="str">
            <v>Manufactured Housing </v>
          </cell>
          <cell r="H15" t="str">
            <v>Standing Investment</v>
          </cell>
          <cell r="I15">
            <v>99</v>
          </cell>
        </row>
        <row r="16">
          <cell r="A16" t="str">
            <v>LS</v>
          </cell>
          <cell r="B16" t="str">
            <v>Parakeet</v>
          </cell>
          <cell r="C16" t="str">
            <v>United States</v>
          </cell>
          <cell r="D16" t="str">
            <v>Mt Dora</v>
          </cell>
          <cell r="E16" t="str">
            <v>4301 County Road 19A</v>
          </cell>
          <cell r="F16" t="str">
            <v>Real Estate</v>
          </cell>
          <cell r="G16" t="str">
            <v>Manufactured Housing </v>
          </cell>
          <cell r="H16" t="str">
            <v>Standing Investment</v>
          </cell>
          <cell r="I16">
            <v>45</v>
          </cell>
        </row>
        <row r="17">
          <cell r="A17" t="str">
            <v>LUCK</v>
          </cell>
          <cell r="B17" t="str">
            <v>Parakeet</v>
          </cell>
          <cell r="C17" t="str">
            <v>United States</v>
          </cell>
          <cell r="D17" t="str">
            <v>Melbourne</v>
          </cell>
          <cell r="E17" t="str">
            <v>635 E Eau Gallie Blvd.</v>
          </cell>
          <cell r="F17" t="str">
            <v>Real Estate</v>
          </cell>
          <cell r="G17" t="str">
            <v>Manufactured Housing </v>
          </cell>
          <cell r="H17" t="str">
            <v>Standing Investment</v>
          </cell>
          <cell r="I17">
            <v>121</v>
          </cell>
        </row>
        <row r="18">
          <cell r="A18" t="str">
            <v>MON</v>
          </cell>
          <cell r="B18" t="str">
            <v>Parakeet</v>
          </cell>
          <cell r="C18" t="str">
            <v>United States</v>
          </cell>
          <cell r="D18" t="str">
            <v>Monson</v>
          </cell>
          <cell r="E18" t="str">
            <v>268 Palmer Road</v>
          </cell>
          <cell r="F18" t="str">
            <v>Real Estate</v>
          </cell>
          <cell r="G18" t="str">
            <v>Manufactured Housing </v>
          </cell>
          <cell r="H18" t="str">
            <v>Standing Investment</v>
          </cell>
          <cell r="I18">
            <v>61</v>
          </cell>
        </row>
        <row r="19">
          <cell r="A19" t="str">
            <v>PL</v>
          </cell>
          <cell r="B19" t="str">
            <v>Parakeet</v>
          </cell>
          <cell r="C19" t="str">
            <v>United States</v>
          </cell>
          <cell r="D19" t="str">
            <v>Deltona</v>
          </cell>
          <cell r="E19" t="str">
            <v>1571 Doyle Road</v>
          </cell>
          <cell r="F19" t="str">
            <v>Real Estate</v>
          </cell>
          <cell r="G19" t="str">
            <v>Manufactured Housing </v>
          </cell>
          <cell r="H19" t="str">
            <v>Standing Investment</v>
          </cell>
          <cell r="I19">
            <v>177</v>
          </cell>
        </row>
        <row r="20">
          <cell r="A20" t="str">
            <v>PPH</v>
          </cell>
          <cell r="B20" t="str">
            <v>Parakeet</v>
          </cell>
          <cell r="C20" t="str">
            <v>United States</v>
          </cell>
          <cell r="D20" t="str">
            <v>Panama City Beach</v>
          </cell>
          <cell r="E20" t="str">
            <v>250 Nell Street</v>
          </cell>
          <cell r="F20" t="str">
            <v>Real Estate</v>
          </cell>
          <cell r="G20" t="str">
            <v>Manufactured Housing </v>
          </cell>
          <cell r="H20" t="str">
            <v>Standing Investment</v>
          </cell>
          <cell r="I20">
            <v>55</v>
          </cell>
        </row>
        <row r="21">
          <cell r="A21" t="str">
            <v>RIV</v>
          </cell>
          <cell r="B21" t="str">
            <v>Parakeet</v>
          </cell>
          <cell r="C21" t="str">
            <v>United States</v>
          </cell>
          <cell r="D21" t="str">
            <v>Miami Gardens</v>
          </cell>
          <cell r="E21" t="str">
            <v>19900 NW 37th Ave</v>
          </cell>
          <cell r="F21" t="str">
            <v>Real Estate</v>
          </cell>
          <cell r="G21" t="str">
            <v>Manufactured Housing </v>
          </cell>
          <cell r="H21" t="str">
            <v>Standing Investment</v>
          </cell>
          <cell r="I21">
            <v>162</v>
          </cell>
        </row>
        <row r="22">
          <cell r="A22" t="str">
            <v>RO</v>
          </cell>
          <cell r="B22" t="str">
            <v>Parakeet</v>
          </cell>
          <cell r="C22" t="str">
            <v>United States</v>
          </cell>
          <cell r="D22" t="str">
            <v>Ruskin</v>
          </cell>
          <cell r="E22" t="str">
            <v>201 Stephens Road</v>
          </cell>
          <cell r="F22" t="str">
            <v>Real Estate</v>
          </cell>
          <cell r="G22" t="str">
            <v>Manufactured Housing </v>
          </cell>
          <cell r="H22" t="str">
            <v>Standing Investment</v>
          </cell>
          <cell r="I22">
            <v>113</v>
          </cell>
        </row>
        <row r="23">
          <cell r="A23" t="str">
            <v>SILVER</v>
          </cell>
          <cell r="B23" t="str">
            <v>Parakeet</v>
          </cell>
          <cell r="C23" t="str">
            <v>United States</v>
          </cell>
          <cell r="D23" t="str">
            <v>Titusville</v>
          </cell>
          <cell r="E23" t="str">
            <v>925 Cheney Hwy</v>
          </cell>
          <cell r="F23" t="str">
            <v>Real Estate</v>
          </cell>
          <cell r="G23" t="str">
            <v>Manufactured Housing </v>
          </cell>
          <cell r="H23" t="str">
            <v>Standing Investment</v>
          </cell>
          <cell r="I23">
            <v>58</v>
          </cell>
        </row>
        <row r="24">
          <cell r="A24" t="str">
            <v>SO</v>
          </cell>
          <cell r="B24" t="str">
            <v>Parakeet</v>
          </cell>
          <cell r="C24" t="str">
            <v>United States</v>
          </cell>
          <cell r="D24" t="str">
            <v>Miami</v>
          </cell>
          <cell r="E24" t="str">
            <v>14721 NE 6 Avenue</v>
          </cell>
          <cell r="F24" t="str">
            <v>Real Estate</v>
          </cell>
          <cell r="G24" t="str">
            <v>Manufactured Housing </v>
          </cell>
          <cell r="H24" t="str">
            <v>Standing Investment</v>
          </cell>
          <cell r="I24">
            <v>37</v>
          </cell>
        </row>
        <row r="25">
          <cell r="A25" t="str">
            <v>SOUTH</v>
          </cell>
          <cell r="B25" t="str">
            <v>Parakeet</v>
          </cell>
          <cell r="C25" t="str">
            <v>United States</v>
          </cell>
          <cell r="D25" t="str">
            <v>Cape Canavaral</v>
          </cell>
          <cell r="E25" t="str">
            <v>8817 North Atlantic Ave</v>
          </cell>
          <cell r="F25" t="str">
            <v>Real Estate</v>
          </cell>
          <cell r="G25" t="str">
            <v>Manufactured Housing </v>
          </cell>
          <cell r="H25" t="str">
            <v>Standing Investment</v>
          </cell>
          <cell r="I25">
            <v>100</v>
          </cell>
        </row>
        <row r="26">
          <cell r="A26" t="str">
            <v>SS</v>
          </cell>
          <cell r="B26" t="str">
            <v>Parakeet</v>
          </cell>
          <cell r="C26" t="str">
            <v>United States</v>
          </cell>
          <cell r="D26" t="str">
            <v>Cape Canaveral</v>
          </cell>
          <cell r="E26" t="str">
            <v>51 Hitching Post Rd</v>
          </cell>
          <cell r="F26" t="str">
            <v>Real Estate</v>
          </cell>
          <cell r="G26" t="str">
            <v>Manufactured Housing </v>
          </cell>
          <cell r="H26" t="str">
            <v>Standing Investment</v>
          </cell>
          <cell r="I26">
            <v>100</v>
          </cell>
        </row>
        <row r="27">
          <cell r="A27" t="str">
            <v>SSS</v>
          </cell>
          <cell r="B27" t="str">
            <v>Parakeet</v>
          </cell>
          <cell r="C27" t="str">
            <v>United States</v>
          </cell>
          <cell r="D27" t="str">
            <v>Atlantic Beach</v>
          </cell>
          <cell r="E27" t="str">
            <v>1511 East Fort Macon Road</v>
          </cell>
          <cell r="F27" t="str">
            <v>Real Estate</v>
          </cell>
          <cell r="G27" t="str">
            <v>Manufactured Housing </v>
          </cell>
          <cell r="H27" t="str">
            <v>Standing Investment</v>
          </cell>
          <cell r="I27">
            <v>232</v>
          </cell>
        </row>
        <row r="28">
          <cell r="A28" t="str">
            <v>TRADE</v>
          </cell>
          <cell r="B28" t="str">
            <v>Parakeet</v>
          </cell>
          <cell r="C28" t="str">
            <v>United States</v>
          </cell>
          <cell r="D28" t="str">
            <v>Cocoa</v>
          </cell>
          <cell r="E28" t="str">
            <v>4100 N Cocoa Blvd</v>
          </cell>
          <cell r="F28" t="str">
            <v>Real Estate</v>
          </cell>
          <cell r="G28" t="str">
            <v>Manufactured Housing </v>
          </cell>
          <cell r="H28" t="str">
            <v>Standing Investment</v>
          </cell>
          <cell r="I28">
            <v>69</v>
          </cell>
        </row>
        <row r="29">
          <cell r="A29" t="str">
            <v>VO</v>
          </cell>
          <cell r="B29" t="str">
            <v>Parakeet</v>
          </cell>
          <cell r="C29" t="str">
            <v>United States</v>
          </cell>
          <cell r="D29" t="str">
            <v>Okeechobee</v>
          </cell>
          <cell r="E29" t="str">
            <v>4247 SE 25th Dr</v>
          </cell>
          <cell r="F29" t="str">
            <v>Real Estate</v>
          </cell>
          <cell r="G29" t="str">
            <v>Manufactured Housing </v>
          </cell>
          <cell r="H29" t="str">
            <v>Standing Investment</v>
          </cell>
          <cell r="I29">
            <v>225</v>
          </cell>
        </row>
        <row r="30">
          <cell r="A30" t="str">
            <v>WPMA</v>
          </cell>
          <cell r="B30" t="str">
            <v>Parakeet</v>
          </cell>
          <cell r="C30" t="str">
            <v>United States</v>
          </cell>
          <cell r="D30" t="str">
            <v>Auburn</v>
          </cell>
          <cell r="E30" t="str">
            <v>751 Washington Street</v>
          </cell>
          <cell r="F30" t="str">
            <v>Real Estate</v>
          </cell>
          <cell r="G30" t="str">
            <v>Manufactured Housing </v>
          </cell>
          <cell r="H30" t="str">
            <v>Standing Investment</v>
          </cell>
          <cell r="I30">
            <v>39</v>
          </cell>
        </row>
        <row r="31">
          <cell r="A31" t="str">
            <v>WPMH</v>
          </cell>
          <cell r="B31" t="str">
            <v>Parakeet</v>
          </cell>
          <cell r="C31" t="str">
            <v>United States</v>
          </cell>
          <cell r="D31" t="str">
            <v>Titusville</v>
          </cell>
          <cell r="E31" t="str">
            <v>359 Cheney Hwy</v>
          </cell>
          <cell r="F31" t="str">
            <v>Real Estate</v>
          </cell>
          <cell r="G31" t="str">
            <v>Manufactured Housing </v>
          </cell>
          <cell r="H31" t="str">
            <v>Standing Investment</v>
          </cell>
          <cell r="I31">
            <v>206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38EFA-F977-46EC-8F31-B8DAF85AA81B}">
  <dimension ref="A1:AC27"/>
  <sheetViews>
    <sheetView tabSelected="1" workbookViewId="0">
      <selection activeCell="V24" sqref="V24"/>
    </sheetView>
  </sheetViews>
  <sheetFormatPr defaultRowHeight="12" x14ac:dyDescent="0.2"/>
  <cols>
    <col min="1" max="2" width="9" style="1" bestFit="1" customWidth="1"/>
    <col min="3" max="3" width="12.85546875" style="1" bestFit="1" customWidth="1"/>
    <col min="4" max="4" width="17.85546875" style="1" bestFit="1" customWidth="1"/>
    <col min="5" max="5" width="24.5703125" style="1" bestFit="1" customWidth="1"/>
    <col min="6" max="6" width="10.7109375" style="1" bestFit="1" customWidth="1"/>
    <col min="7" max="7" width="21.85546875" style="1" bestFit="1" customWidth="1"/>
    <col min="8" max="8" width="19.5703125" style="1" bestFit="1" customWidth="1"/>
    <col min="9" max="9" width="9.140625" style="1" bestFit="1" customWidth="1"/>
    <col min="10" max="10" width="19.28515625" style="1" bestFit="1" customWidth="1"/>
    <col min="11" max="11" width="9" style="1" bestFit="1" customWidth="1"/>
    <col min="12" max="12" width="6.7109375" style="1" bestFit="1" customWidth="1"/>
    <col min="13" max="13" width="8.5703125" style="1" bestFit="1" customWidth="1"/>
    <col min="14" max="14" width="8.85546875" style="1" bestFit="1" customWidth="1"/>
    <col min="15" max="15" width="6.7109375" style="1" bestFit="1" customWidth="1"/>
    <col min="16" max="16" width="13" style="1" customWidth="1"/>
    <col min="17" max="17" width="11.28515625" style="1" customWidth="1"/>
    <col min="18" max="19" width="8.85546875" style="1" bestFit="1" customWidth="1"/>
    <col min="20" max="21" width="8.140625" style="1" bestFit="1" customWidth="1"/>
    <col min="22" max="22" width="8.85546875" style="1" bestFit="1" customWidth="1"/>
    <col min="23" max="24" width="9" style="1" bestFit="1" customWidth="1"/>
    <col min="25" max="25" width="72.140625" style="1" bestFit="1" customWidth="1"/>
    <col min="26" max="27" width="9.140625" style="1"/>
    <col min="28" max="28" width="7.42578125" style="1" bestFit="1" customWidth="1"/>
    <col min="29" max="29" width="9" style="1" bestFit="1" customWidth="1"/>
    <col min="30" max="16384" width="9.140625" style="1"/>
  </cols>
  <sheetData>
    <row r="1" spans="1:29" x14ac:dyDescent="0.2">
      <c r="E1" s="2"/>
    </row>
    <row r="2" spans="1:29" x14ac:dyDescent="0.2">
      <c r="A2" s="3" t="s">
        <v>0</v>
      </c>
      <c r="B2" s="3"/>
      <c r="C2" s="3"/>
      <c r="D2" s="3"/>
      <c r="E2" s="3"/>
      <c r="F2" s="3"/>
      <c r="G2" s="3"/>
      <c r="H2" s="3"/>
      <c r="I2" s="3"/>
      <c r="J2" s="4" t="s">
        <v>1</v>
      </c>
      <c r="K2" s="5" t="s">
        <v>2</v>
      </c>
      <c r="L2" s="6"/>
      <c r="M2" s="6"/>
      <c r="N2" s="6"/>
      <c r="O2" s="7"/>
      <c r="P2" s="8" t="s">
        <v>3</v>
      </c>
      <c r="Q2" s="8"/>
      <c r="R2" s="9" t="s">
        <v>4</v>
      </c>
      <c r="S2" s="10"/>
      <c r="T2" s="10"/>
      <c r="U2" s="10"/>
      <c r="V2" s="10"/>
      <c r="W2" s="10"/>
      <c r="X2" s="10"/>
      <c r="Y2" s="11"/>
      <c r="Z2" s="12" t="s">
        <v>5</v>
      </c>
      <c r="AA2" s="13"/>
      <c r="AB2" s="13"/>
      <c r="AC2" s="13"/>
    </row>
    <row r="3" spans="1:29" ht="63" thickBot="1" x14ac:dyDescent="0.25">
      <c r="A3" s="14" t="s">
        <v>6</v>
      </c>
      <c r="B3" s="15" t="s">
        <v>7</v>
      </c>
      <c r="C3" s="16" t="s">
        <v>8</v>
      </c>
      <c r="D3" s="16" t="s">
        <v>9</v>
      </c>
      <c r="E3" s="16" t="s">
        <v>10</v>
      </c>
      <c r="F3" s="16" t="s">
        <v>11</v>
      </c>
      <c r="G3" s="16" t="s">
        <v>12</v>
      </c>
      <c r="H3" s="16" t="s">
        <v>13</v>
      </c>
      <c r="I3" s="16" t="s">
        <v>34</v>
      </c>
      <c r="J3" s="16" t="s">
        <v>14</v>
      </c>
      <c r="K3" s="16" t="s">
        <v>15</v>
      </c>
      <c r="L3" s="16" t="s">
        <v>16</v>
      </c>
      <c r="M3" s="16" t="s">
        <v>17</v>
      </c>
      <c r="N3" s="16" t="s">
        <v>18</v>
      </c>
      <c r="O3" s="16" t="s">
        <v>19</v>
      </c>
      <c r="P3" s="16" t="s">
        <v>20</v>
      </c>
      <c r="Q3" s="16" t="s">
        <v>21</v>
      </c>
      <c r="R3" s="16" t="s">
        <v>22</v>
      </c>
      <c r="S3" s="16" t="s">
        <v>23</v>
      </c>
      <c r="T3" s="16" t="s">
        <v>24</v>
      </c>
      <c r="U3" s="16" t="s">
        <v>25</v>
      </c>
      <c r="V3" s="16" t="s">
        <v>26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16" t="s">
        <v>32</v>
      </c>
      <c r="AC3" s="16" t="s">
        <v>33</v>
      </c>
    </row>
    <row r="4" spans="1:29" s="24" customFormat="1" ht="30" customHeight="1" collapsed="1" x14ac:dyDescent="0.2">
      <c r="A4" s="17" t="s">
        <v>35</v>
      </c>
      <c r="B4" s="18" t="s">
        <v>36</v>
      </c>
      <c r="C4" s="17" t="s">
        <v>37</v>
      </c>
      <c r="D4" s="17" t="s">
        <v>38</v>
      </c>
      <c r="E4" s="17" t="s">
        <v>38</v>
      </c>
      <c r="F4" s="17" t="s">
        <v>39</v>
      </c>
      <c r="G4" s="17" t="s">
        <v>40</v>
      </c>
      <c r="H4" s="17" t="s">
        <v>41</v>
      </c>
      <c r="I4" s="19">
        <f>SUM(I5:I26)</f>
        <v>2227</v>
      </c>
      <c r="J4" s="20"/>
      <c r="K4" s="17"/>
      <c r="L4" s="17"/>
      <c r="M4" s="17"/>
      <c r="N4" s="17"/>
      <c r="O4" s="17"/>
      <c r="P4" s="17"/>
      <c r="Q4" s="17"/>
      <c r="R4" s="21">
        <v>0.28499999999999998</v>
      </c>
      <c r="S4" s="21">
        <v>0.28499999999999998</v>
      </c>
      <c r="T4" s="22" t="s">
        <v>42</v>
      </c>
      <c r="U4" s="22" t="s">
        <v>42</v>
      </c>
      <c r="V4" s="23">
        <v>0.21249999999999999</v>
      </c>
      <c r="W4" s="22">
        <v>0</v>
      </c>
      <c r="X4" s="23">
        <v>0.375</v>
      </c>
      <c r="Y4" s="17" t="s">
        <v>43</v>
      </c>
      <c r="Z4" s="17"/>
      <c r="AA4" s="17"/>
      <c r="AB4" s="17"/>
      <c r="AC4" s="17"/>
    </row>
    <row r="5" spans="1:29" s="36" customFormat="1" x14ac:dyDescent="0.2">
      <c r="A5" s="25" t="s">
        <v>44</v>
      </c>
      <c r="B5" s="26" t="s">
        <v>36</v>
      </c>
      <c r="C5" s="27" t="s">
        <v>37</v>
      </c>
      <c r="D5" s="27" t="s">
        <v>45</v>
      </c>
      <c r="E5" s="27" t="s">
        <v>46</v>
      </c>
      <c r="F5" s="27" t="s">
        <v>39</v>
      </c>
      <c r="G5" s="28" t="s">
        <v>40</v>
      </c>
      <c r="H5" s="27" t="s">
        <v>41</v>
      </c>
      <c r="I5" s="29">
        <f>VLOOKUP(A5,'[1]ESG DDQ Appendix A'!A$6:I$31,9,FALSE)</f>
        <v>87</v>
      </c>
      <c r="J5" s="30" t="s">
        <v>47</v>
      </c>
      <c r="K5" s="31">
        <v>24661</v>
      </c>
      <c r="L5" s="32"/>
      <c r="M5" s="32"/>
      <c r="N5" s="33"/>
      <c r="O5" s="34"/>
      <c r="P5" s="31">
        <v>0</v>
      </c>
      <c r="Q5" s="34">
        <v>0</v>
      </c>
      <c r="R5" s="32"/>
      <c r="S5" s="32"/>
      <c r="T5" s="32"/>
      <c r="U5" s="32"/>
      <c r="V5" s="32"/>
      <c r="W5" s="32"/>
      <c r="X5" s="32"/>
      <c r="Y5" s="35"/>
      <c r="Z5" s="32" t="s">
        <v>48</v>
      </c>
      <c r="AA5" s="34"/>
      <c r="AB5" s="32" t="s">
        <v>49</v>
      </c>
      <c r="AC5" s="32" t="s">
        <v>49</v>
      </c>
    </row>
    <row r="6" spans="1:29" s="36" customFormat="1" x14ac:dyDescent="0.2">
      <c r="A6" s="25" t="s">
        <v>50</v>
      </c>
      <c r="B6" s="26" t="s">
        <v>36</v>
      </c>
      <c r="C6" s="27" t="s">
        <v>37</v>
      </c>
      <c r="D6" s="27" t="s">
        <v>51</v>
      </c>
      <c r="E6" s="27" t="s">
        <v>52</v>
      </c>
      <c r="F6" s="27" t="s">
        <v>39</v>
      </c>
      <c r="G6" s="28" t="s">
        <v>40</v>
      </c>
      <c r="H6" s="27" t="s">
        <v>41</v>
      </c>
      <c r="I6" s="29">
        <f>VLOOKUP(A6,'[1]ESG DDQ Appendix A'!A$6:I$31,9,FALSE)</f>
        <v>93</v>
      </c>
      <c r="J6" s="30" t="s">
        <v>47</v>
      </c>
      <c r="K6" s="31">
        <v>37798</v>
      </c>
      <c r="L6" s="32"/>
      <c r="M6" s="32"/>
      <c r="N6" s="33"/>
      <c r="O6" s="34"/>
      <c r="P6" s="31">
        <v>494</v>
      </c>
      <c r="Q6" s="34">
        <v>0</v>
      </c>
      <c r="R6" s="32"/>
      <c r="S6" s="32"/>
      <c r="T6" s="32"/>
      <c r="U6" s="32"/>
      <c r="V6" s="32"/>
      <c r="W6" s="32"/>
      <c r="X6" s="32"/>
      <c r="Y6" s="32"/>
      <c r="Z6" s="32" t="s">
        <v>48</v>
      </c>
      <c r="AA6" s="34"/>
      <c r="AB6" s="32" t="s">
        <v>49</v>
      </c>
      <c r="AC6" s="32" t="s">
        <v>49</v>
      </c>
    </row>
    <row r="7" spans="1:29" s="36" customFormat="1" x14ac:dyDescent="0.2">
      <c r="A7" s="25" t="s">
        <v>53</v>
      </c>
      <c r="B7" s="26" t="s">
        <v>36</v>
      </c>
      <c r="C7" s="27" t="s">
        <v>37</v>
      </c>
      <c r="D7" s="27" t="s">
        <v>54</v>
      </c>
      <c r="E7" s="27" t="s">
        <v>55</v>
      </c>
      <c r="F7" s="27" t="s">
        <v>39</v>
      </c>
      <c r="G7" s="28" t="s">
        <v>40</v>
      </c>
      <c r="H7" s="27" t="s">
        <v>41</v>
      </c>
      <c r="I7" s="29">
        <f>VLOOKUP(A7,'[1]ESG DDQ Appendix A'!A$6:I$31,9,FALSE)</f>
        <v>77</v>
      </c>
      <c r="J7" s="30" t="s">
        <v>47</v>
      </c>
      <c r="K7" s="31">
        <v>3768</v>
      </c>
      <c r="L7" s="32"/>
      <c r="M7" s="32"/>
      <c r="N7" s="33"/>
      <c r="O7" s="34"/>
      <c r="P7" s="31">
        <v>1432</v>
      </c>
      <c r="Q7" s="34">
        <v>0</v>
      </c>
      <c r="R7" s="32"/>
      <c r="S7" s="32"/>
      <c r="T7" s="32"/>
      <c r="U7" s="32"/>
      <c r="V7" s="32"/>
      <c r="W7" s="32"/>
      <c r="X7" s="32"/>
      <c r="Y7" s="32"/>
      <c r="Z7" s="32" t="s">
        <v>48</v>
      </c>
      <c r="AA7" s="34"/>
      <c r="AB7" s="32" t="s">
        <v>49</v>
      </c>
      <c r="AC7" s="32" t="s">
        <v>49</v>
      </c>
    </row>
    <row r="8" spans="1:29" s="36" customFormat="1" x14ac:dyDescent="0.2">
      <c r="A8" s="25" t="s">
        <v>56</v>
      </c>
      <c r="B8" s="26" t="s">
        <v>36</v>
      </c>
      <c r="C8" s="27" t="s">
        <v>37</v>
      </c>
      <c r="D8" s="27" t="s">
        <v>57</v>
      </c>
      <c r="E8" s="27" t="s">
        <v>58</v>
      </c>
      <c r="F8" s="27" t="s">
        <v>39</v>
      </c>
      <c r="G8" s="28" t="s">
        <v>40</v>
      </c>
      <c r="H8" s="27" t="s">
        <v>41</v>
      </c>
      <c r="I8" s="29">
        <f>VLOOKUP(A8,'[1]ESG DDQ Appendix A'!A$6:I$31,9,FALSE)</f>
        <v>62</v>
      </c>
      <c r="J8" s="30" t="s">
        <v>47</v>
      </c>
      <c r="K8" s="31">
        <v>0</v>
      </c>
      <c r="L8" s="32"/>
      <c r="M8" s="32"/>
      <c r="N8" s="33"/>
      <c r="O8" s="34"/>
      <c r="P8" s="31">
        <v>796</v>
      </c>
      <c r="Q8" s="34">
        <v>0</v>
      </c>
      <c r="R8" s="32"/>
      <c r="S8" s="32"/>
      <c r="T8" s="32"/>
      <c r="U8" s="32"/>
      <c r="V8" s="32"/>
      <c r="W8" s="32"/>
      <c r="X8" s="32"/>
      <c r="Y8" s="32"/>
      <c r="Z8" s="32" t="s">
        <v>48</v>
      </c>
      <c r="AA8" s="34"/>
      <c r="AB8" s="32" t="s">
        <v>49</v>
      </c>
      <c r="AC8" s="32" t="s">
        <v>49</v>
      </c>
    </row>
    <row r="9" spans="1:29" s="36" customFormat="1" x14ac:dyDescent="0.2">
      <c r="A9" s="25" t="s">
        <v>59</v>
      </c>
      <c r="B9" s="26" t="s">
        <v>36</v>
      </c>
      <c r="C9" s="27" t="s">
        <v>37</v>
      </c>
      <c r="D9" s="27" t="s">
        <v>60</v>
      </c>
      <c r="E9" s="27" t="s">
        <v>61</v>
      </c>
      <c r="F9" s="27" t="s">
        <v>39</v>
      </c>
      <c r="G9" s="28" t="s">
        <v>40</v>
      </c>
      <c r="H9" s="27" t="s">
        <v>41</v>
      </c>
      <c r="I9" s="29">
        <f>VLOOKUP(A9,'[1]ESG DDQ Appendix A'!A$6:I$31,9,FALSE)</f>
        <v>31</v>
      </c>
      <c r="J9" s="30" t="s">
        <v>47</v>
      </c>
      <c r="K9" s="31">
        <v>0</v>
      </c>
      <c r="L9" s="32"/>
      <c r="M9" s="32"/>
      <c r="N9" s="33"/>
      <c r="O9" s="34"/>
      <c r="P9" s="31">
        <v>1225</v>
      </c>
      <c r="Q9" s="34">
        <v>0</v>
      </c>
      <c r="R9" s="32"/>
      <c r="S9" s="32"/>
      <c r="T9" s="32"/>
      <c r="U9" s="32"/>
      <c r="V9" s="32"/>
      <c r="W9" s="32"/>
      <c r="X9" s="32"/>
      <c r="Y9" s="32"/>
      <c r="Z9" s="32" t="s">
        <v>48</v>
      </c>
      <c r="AA9" s="34"/>
      <c r="AB9" s="32" t="s">
        <v>49</v>
      </c>
      <c r="AC9" s="32" t="s">
        <v>49</v>
      </c>
    </row>
    <row r="10" spans="1:29" s="36" customFormat="1" x14ac:dyDescent="0.2">
      <c r="A10" s="25" t="s">
        <v>62</v>
      </c>
      <c r="B10" s="26" t="s">
        <v>36</v>
      </c>
      <c r="C10" s="27" t="s">
        <v>37</v>
      </c>
      <c r="D10" s="27" t="s">
        <v>63</v>
      </c>
      <c r="E10" s="27" t="s">
        <v>64</v>
      </c>
      <c r="F10" s="27" t="s">
        <v>39</v>
      </c>
      <c r="G10" s="28" t="s">
        <v>40</v>
      </c>
      <c r="H10" s="27" t="s">
        <v>41</v>
      </c>
      <c r="I10" s="29">
        <f>VLOOKUP(A10,'[1]ESG DDQ Appendix A'!A$6:I$31,9,FALSE)</f>
        <v>36</v>
      </c>
      <c r="J10" s="30" t="s">
        <v>47</v>
      </c>
      <c r="K10" s="31">
        <v>156885</v>
      </c>
      <c r="L10" s="32"/>
      <c r="M10" s="32"/>
      <c r="N10" s="33"/>
      <c r="O10" s="34"/>
      <c r="P10" s="31">
        <v>298</v>
      </c>
      <c r="Q10" s="34">
        <v>0</v>
      </c>
      <c r="R10" s="32"/>
      <c r="S10" s="32"/>
      <c r="T10" s="32"/>
      <c r="U10" s="32"/>
      <c r="V10" s="32"/>
      <c r="W10" s="32"/>
      <c r="X10" s="32"/>
      <c r="Y10" s="32"/>
      <c r="Z10" s="32" t="s">
        <v>48</v>
      </c>
      <c r="AA10" s="34"/>
      <c r="AB10" s="32" t="s">
        <v>49</v>
      </c>
      <c r="AC10" s="32" t="s">
        <v>49</v>
      </c>
    </row>
    <row r="11" spans="1:29" s="36" customFormat="1" x14ac:dyDescent="0.2">
      <c r="A11" s="25" t="s">
        <v>65</v>
      </c>
      <c r="B11" s="26" t="s">
        <v>36</v>
      </c>
      <c r="C11" s="27" t="s">
        <v>37</v>
      </c>
      <c r="D11" s="27" t="s">
        <v>57</v>
      </c>
      <c r="E11" s="27" t="s">
        <v>66</v>
      </c>
      <c r="F11" s="27" t="s">
        <v>39</v>
      </c>
      <c r="G11" s="28" t="s">
        <v>40</v>
      </c>
      <c r="H11" s="27" t="s">
        <v>41</v>
      </c>
      <c r="I11" s="29">
        <f>VLOOKUP(A11,'[1]ESG DDQ Appendix A'!A$6:I$31,9,FALSE)</f>
        <v>42</v>
      </c>
      <c r="J11" s="30" t="s">
        <v>47</v>
      </c>
      <c r="K11" s="31">
        <v>80</v>
      </c>
      <c r="L11" s="32"/>
      <c r="M11" s="32"/>
      <c r="N11" s="33"/>
      <c r="O11" s="34"/>
      <c r="P11" s="31">
        <v>660</v>
      </c>
      <c r="Q11" s="34">
        <v>0</v>
      </c>
      <c r="R11" s="32"/>
      <c r="S11" s="32"/>
      <c r="T11" s="32"/>
      <c r="U11" s="32"/>
      <c r="V11" s="32"/>
      <c r="W11" s="32"/>
      <c r="X11" s="32"/>
      <c r="Y11" s="32"/>
      <c r="Z11" s="32" t="s">
        <v>48</v>
      </c>
      <c r="AA11" s="34"/>
      <c r="AB11" s="32" t="s">
        <v>49</v>
      </c>
      <c r="AC11" s="32" t="s">
        <v>49</v>
      </c>
    </row>
    <row r="12" spans="1:29" s="36" customFormat="1" x14ac:dyDescent="0.2">
      <c r="A12" s="25" t="s">
        <v>67</v>
      </c>
      <c r="B12" s="26" t="s">
        <v>36</v>
      </c>
      <c r="C12" s="27" t="s">
        <v>37</v>
      </c>
      <c r="D12" s="27" t="s">
        <v>54</v>
      </c>
      <c r="E12" s="27" t="s">
        <v>68</v>
      </c>
      <c r="F12" s="27" t="s">
        <v>39</v>
      </c>
      <c r="G12" s="28" t="s">
        <v>40</v>
      </c>
      <c r="H12" s="27" t="s">
        <v>41</v>
      </c>
      <c r="I12" s="29">
        <f>VLOOKUP(A12,'[1]ESG DDQ Appendix A'!A$6:I$31,9,FALSE)</f>
        <v>99</v>
      </c>
      <c r="J12" s="30" t="s">
        <v>47</v>
      </c>
      <c r="K12" s="31">
        <v>24233</v>
      </c>
      <c r="L12" s="32"/>
      <c r="M12" s="32"/>
      <c r="N12" s="33"/>
      <c r="O12" s="34"/>
      <c r="P12" s="31">
        <v>2213.3319999999999</v>
      </c>
      <c r="Q12" s="34">
        <v>0</v>
      </c>
      <c r="R12" s="32"/>
      <c r="S12" s="32"/>
      <c r="T12" s="32"/>
      <c r="U12" s="32"/>
      <c r="V12" s="32"/>
      <c r="W12" s="32"/>
      <c r="X12" s="32"/>
      <c r="Y12" s="32"/>
      <c r="Z12" s="32" t="s">
        <v>48</v>
      </c>
      <c r="AA12" s="34"/>
      <c r="AB12" s="32" t="s">
        <v>49</v>
      </c>
      <c r="AC12" s="32" t="s">
        <v>49</v>
      </c>
    </row>
    <row r="13" spans="1:29" s="36" customFormat="1" x14ac:dyDescent="0.2">
      <c r="A13" s="25" t="s">
        <v>69</v>
      </c>
      <c r="B13" s="26" t="s">
        <v>36</v>
      </c>
      <c r="C13" s="27" t="s">
        <v>37</v>
      </c>
      <c r="D13" s="27" t="s">
        <v>70</v>
      </c>
      <c r="E13" s="27" t="s">
        <v>71</v>
      </c>
      <c r="F13" s="27" t="s">
        <v>39</v>
      </c>
      <c r="G13" s="28" t="s">
        <v>40</v>
      </c>
      <c r="H13" s="27" t="s">
        <v>41</v>
      </c>
      <c r="I13" s="29">
        <f>VLOOKUP(A13,'[1]ESG DDQ Appendix A'!A$6:I$31,9,FALSE)</f>
        <v>45</v>
      </c>
      <c r="J13" s="30" t="s">
        <v>47</v>
      </c>
      <c r="K13" s="31">
        <v>8817</v>
      </c>
      <c r="L13" s="32"/>
      <c r="M13" s="32"/>
      <c r="N13" s="33"/>
      <c r="O13" s="34"/>
      <c r="P13" s="31">
        <v>414.1</v>
      </c>
      <c r="Q13" s="34">
        <v>0</v>
      </c>
      <c r="R13" s="32"/>
      <c r="S13" s="32"/>
      <c r="T13" s="32"/>
      <c r="U13" s="32"/>
      <c r="V13" s="32"/>
      <c r="W13" s="32"/>
      <c r="X13" s="32"/>
      <c r="Y13" s="32"/>
      <c r="Z13" s="32" t="s">
        <v>48</v>
      </c>
      <c r="AA13" s="34"/>
      <c r="AB13" s="32" t="s">
        <v>49</v>
      </c>
      <c r="AC13" s="32" t="s">
        <v>49</v>
      </c>
    </row>
    <row r="14" spans="1:29" s="36" customFormat="1" x14ac:dyDescent="0.2">
      <c r="A14" s="25" t="s">
        <v>72</v>
      </c>
      <c r="B14" s="26" t="s">
        <v>36</v>
      </c>
      <c r="C14" s="27" t="s">
        <v>37</v>
      </c>
      <c r="D14" s="27" t="s">
        <v>73</v>
      </c>
      <c r="E14" s="27" t="s">
        <v>74</v>
      </c>
      <c r="F14" s="27" t="s">
        <v>39</v>
      </c>
      <c r="G14" s="28" t="s">
        <v>40</v>
      </c>
      <c r="H14" s="27" t="s">
        <v>41</v>
      </c>
      <c r="I14" s="29">
        <f>VLOOKUP(A14,'[1]ESG DDQ Appendix A'!A$6:I$31,9,FALSE)</f>
        <v>121</v>
      </c>
      <c r="J14" s="30" t="s">
        <v>47</v>
      </c>
      <c r="K14" s="31">
        <v>258518</v>
      </c>
      <c r="L14" s="32"/>
      <c r="M14" s="32"/>
      <c r="N14" s="33"/>
      <c r="O14" s="34"/>
      <c r="P14" s="31">
        <v>675.9</v>
      </c>
      <c r="Q14" s="34">
        <v>0</v>
      </c>
      <c r="R14" s="32"/>
      <c r="S14" s="32"/>
      <c r="T14" s="32"/>
      <c r="U14" s="32"/>
      <c r="V14" s="32"/>
      <c r="W14" s="32"/>
      <c r="X14" s="32"/>
      <c r="Y14" s="32"/>
      <c r="Z14" s="32" t="s">
        <v>48</v>
      </c>
      <c r="AA14" s="34"/>
      <c r="AB14" s="32" t="s">
        <v>49</v>
      </c>
      <c r="AC14" s="32" t="s">
        <v>49</v>
      </c>
    </row>
    <row r="15" spans="1:29" s="36" customFormat="1" x14ac:dyDescent="0.2">
      <c r="A15" s="25" t="s">
        <v>75</v>
      </c>
      <c r="B15" s="26" t="s">
        <v>36</v>
      </c>
      <c r="C15" s="27" t="s">
        <v>37</v>
      </c>
      <c r="D15" s="27" t="s">
        <v>76</v>
      </c>
      <c r="E15" s="27" t="s">
        <v>77</v>
      </c>
      <c r="F15" s="27" t="s">
        <v>39</v>
      </c>
      <c r="G15" s="28" t="s">
        <v>40</v>
      </c>
      <c r="H15" s="27" t="s">
        <v>41</v>
      </c>
      <c r="I15" s="29">
        <f>VLOOKUP(A15,'[1]ESG DDQ Appendix A'!A$6:I$31,9,FALSE)</f>
        <v>177</v>
      </c>
      <c r="J15" s="30" t="s">
        <v>47</v>
      </c>
      <c r="K15" s="31">
        <v>293140</v>
      </c>
      <c r="L15" s="32"/>
      <c r="M15" s="32"/>
      <c r="N15" s="33"/>
      <c r="O15" s="34"/>
      <c r="P15" s="31">
        <v>0</v>
      </c>
      <c r="Q15" s="34">
        <v>0</v>
      </c>
      <c r="R15" s="32"/>
      <c r="S15" s="32"/>
      <c r="T15" s="32"/>
      <c r="U15" s="32"/>
      <c r="V15" s="32"/>
      <c r="W15" s="32"/>
      <c r="X15" s="32"/>
      <c r="Y15" s="32"/>
      <c r="Z15" s="32" t="s">
        <v>48</v>
      </c>
      <c r="AA15" s="34"/>
      <c r="AB15" s="32" t="s">
        <v>49</v>
      </c>
      <c r="AC15" s="32" t="s">
        <v>49</v>
      </c>
    </row>
    <row r="16" spans="1:29" s="36" customFormat="1" x14ac:dyDescent="0.2">
      <c r="A16" s="25" t="s">
        <v>78</v>
      </c>
      <c r="B16" s="26" t="s">
        <v>36</v>
      </c>
      <c r="C16" s="27" t="s">
        <v>37</v>
      </c>
      <c r="D16" s="27" t="s">
        <v>79</v>
      </c>
      <c r="E16" s="27" t="s">
        <v>80</v>
      </c>
      <c r="F16" s="27" t="s">
        <v>39</v>
      </c>
      <c r="G16" s="28" t="s">
        <v>40</v>
      </c>
      <c r="H16" s="27" t="s">
        <v>41</v>
      </c>
      <c r="I16" s="29">
        <f>VLOOKUP(A16,'[1]ESG DDQ Appendix A'!A$6:I$31,9,FALSE)</f>
        <v>55</v>
      </c>
      <c r="J16" s="30" t="s">
        <v>47</v>
      </c>
      <c r="K16" s="31">
        <v>13655</v>
      </c>
      <c r="L16" s="32"/>
      <c r="M16" s="32"/>
      <c r="N16" s="33"/>
      <c r="O16" s="34"/>
      <c r="P16" s="31">
        <v>5.42</v>
      </c>
      <c r="Q16" s="34">
        <v>0</v>
      </c>
      <c r="R16" s="32"/>
      <c r="S16" s="32"/>
      <c r="T16" s="32"/>
      <c r="U16" s="32"/>
      <c r="V16" s="32"/>
      <c r="W16" s="32"/>
      <c r="X16" s="32"/>
      <c r="Y16" s="32"/>
      <c r="Z16" s="32" t="s">
        <v>48</v>
      </c>
      <c r="AA16" s="34"/>
      <c r="AB16" s="32" t="s">
        <v>49</v>
      </c>
      <c r="AC16" s="32" t="s">
        <v>49</v>
      </c>
    </row>
    <row r="17" spans="1:29" s="36" customFormat="1" x14ac:dyDescent="0.2">
      <c r="A17" s="25" t="s">
        <v>81</v>
      </c>
      <c r="B17" s="26" t="s">
        <v>36</v>
      </c>
      <c r="C17" s="27" t="s">
        <v>37</v>
      </c>
      <c r="D17" s="27" t="s">
        <v>82</v>
      </c>
      <c r="E17" s="27" t="s">
        <v>83</v>
      </c>
      <c r="F17" s="27" t="s">
        <v>39</v>
      </c>
      <c r="G17" s="28" t="s">
        <v>40</v>
      </c>
      <c r="H17" s="27" t="s">
        <v>41</v>
      </c>
      <c r="I17" s="29">
        <f>VLOOKUP(A17,'[1]ESG DDQ Appendix A'!A$6:I$31,9,FALSE)</f>
        <v>162</v>
      </c>
      <c r="J17" s="30" t="s">
        <v>47</v>
      </c>
      <c r="K17" s="31">
        <v>0</v>
      </c>
      <c r="L17" s="32"/>
      <c r="M17" s="32"/>
      <c r="N17" s="33"/>
      <c r="O17" s="34"/>
      <c r="P17" s="31">
        <v>0</v>
      </c>
      <c r="Q17" s="34">
        <v>0</v>
      </c>
      <c r="R17" s="32"/>
      <c r="S17" s="32"/>
      <c r="T17" s="32"/>
      <c r="U17" s="32"/>
      <c r="V17" s="32"/>
      <c r="W17" s="32"/>
      <c r="X17" s="32"/>
      <c r="Y17" s="32"/>
      <c r="Z17" s="32" t="s">
        <v>48</v>
      </c>
      <c r="AA17" s="34"/>
      <c r="AB17" s="32" t="s">
        <v>49</v>
      </c>
      <c r="AC17" s="32" t="s">
        <v>49</v>
      </c>
    </row>
    <row r="18" spans="1:29" s="36" customFormat="1" x14ac:dyDescent="0.2">
      <c r="A18" s="25" t="s">
        <v>84</v>
      </c>
      <c r="B18" s="26" t="s">
        <v>36</v>
      </c>
      <c r="C18" s="27" t="s">
        <v>37</v>
      </c>
      <c r="D18" s="27" t="s">
        <v>85</v>
      </c>
      <c r="E18" s="27" t="s">
        <v>86</v>
      </c>
      <c r="F18" s="27" t="s">
        <v>39</v>
      </c>
      <c r="G18" s="28" t="s">
        <v>40</v>
      </c>
      <c r="H18" s="27" t="s">
        <v>41</v>
      </c>
      <c r="I18" s="29">
        <f>VLOOKUP(A18,'[1]ESG DDQ Appendix A'!A$6:I$31,9,FALSE)</f>
        <v>113</v>
      </c>
      <c r="J18" s="30" t="s">
        <v>47</v>
      </c>
      <c r="K18" s="31">
        <v>107564</v>
      </c>
      <c r="L18" s="32"/>
      <c r="M18" s="32"/>
      <c r="N18" s="33"/>
      <c r="O18" s="34"/>
      <c r="P18" s="31">
        <v>0</v>
      </c>
      <c r="Q18" s="34">
        <v>0</v>
      </c>
      <c r="R18" s="32"/>
      <c r="S18" s="32"/>
      <c r="T18" s="32"/>
      <c r="U18" s="32"/>
      <c r="V18" s="32"/>
      <c r="W18" s="32"/>
      <c r="X18" s="32"/>
      <c r="Y18" s="32"/>
      <c r="Z18" s="32" t="s">
        <v>48</v>
      </c>
      <c r="AA18" s="34"/>
      <c r="AB18" s="32" t="s">
        <v>49</v>
      </c>
      <c r="AC18" s="32" t="s">
        <v>49</v>
      </c>
    </row>
    <row r="19" spans="1:29" s="36" customFormat="1" x14ac:dyDescent="0.2">
      <c r="A19" s="25" t="s">
        <v>87</v>
      </c>
      <c r="B19" s="26" t="s">
        <v>36</v>
      </c>
      <c r="C19" s="27" t="s">
        <v>37</v>
      </c>
      <c r="D19" s="37" t="s">
        <v>88</v>
      </c>
      <c r="E19" s="27" t="s">
        <v>89</v>
      </c>
      <c r="F19" s="27" t="s">
        <v>39</v>
      </c>
      <c r="G19" s="28" t="s">
        <v>40</v>
      </c>
      <c r="H19" s="27" t="s">
        <v>41</v>
      </c>
      <c r="I19" s="29">
        <f>VLOOKUP(A19,'[1]ESG DDQ Appendix A'!A$6:I$31,9,FALSE)</f>
        <v>58</v>
      </c>
      <c r="J19" s="30" t="s">
        <v>47</v>
      </c>
      <c r="K19" s="31">
        <v>51677</v>
      </c>
      <c r="L19" s="32"/>
      <c r="M19" s="32"/>
      <c r="N19" s="33"/>
      <c r="O19" s="34"/>
      <c r="P19" s="31">
        <v>215</v>
      </c>
      <c r="Q19" s="34">
        <v>0</v>
      </c>
      <c r="R19" s="32"/>
      <c r="S19" s="32"/>
      <c r="T19" s="32"/>
      <c r="U19" s="32"/>
      <c r="V19" s="32"/>
      <c r="W19" s="32"/>
      <c r="X19" s="32"/>
      <c r="Y19" s="32"/>
      <c r="Z19" s="32" t="s">
        <v>48</v>
      </c>
      <c r="AA19" s="34"/>
      <c r="AB19" s="32" t="s">
        <v>49</v>
      </c>
      <c r="AC19" s="32" t="s">
        <v>49</v>
      </c>
    </row>
    <row r="20" spans="1:29" s="36" customFormat="1" x14ac:dyDescent="0.2">
      <c r="A20" s="25" t="s">
        <v>90</v>
      </c>
      <c r="B20" s="26" t="s">
        <v>36</v>
      </c>
      <c r="C20" s="27" t="s">
        <v>37</v>
      </c>
      <c r="D20" s="27" t="s">
        <v>54</v>
      </c>
      <c r="E20" s="27" t="s">
        <v>91</v>
      </c>
      <c r="F20" s="27" t="s">
        <v>39</v>
      </c>
      <c r="G20" s="28" t="s">
        <v>40</v>
      </c>
      <c r="H20" s="27" t="s">
        <v>41</v>
      </c>
      <c r="I20" s="29">
        <f>VLOOKUP(A20,'[1]ESG DDQ Appendix A'!A$6:I$31,9,FALSE)</f>
        <v>37</v>
      </c>
      <c r="J20" s="30" t="s">
        <v>47</v>
      </c>
      <c r="K20" s="31">
        <v>210</v>
      </c>
      <c r="L20" s="32"/>
      <c r="M20" s="32"/>
      <c r="N20" s="33"/>
      <c r="O20" s="34"/>
      <c r="P20" s="31">
        <v>254</v>
      </c>
      <c r="Q20" s="34">
        <v>0</v>
      </c>
      <c r="R20" s="32"/>
      <c r="S20" s="32"/>
      <c r="T20" s="32"/>
      <c r="U20" s="32"/>
      <c r="V20" s="32"/>
      <c r="W20" s="32"/>
      <c r="X20" s="32"/>
      <c r="Y20" s="32"/>
      <c r="Z20" s="32" t="s">
        <v>48</v>
      </c>
      <c r="AA20" s="34"/>
      <c r="AB20" s="32" t="s">
        <v>49</v>
      </c>
      <c r="AC20" s="32" t="s">
        <v>49</v>
      </c>
    </row>
    <row r="21" spans="1:29" s="36" customFormat="1" x14ac:dyDescent="0.2">
      <c r="A21" s="25" t="s">
        <v>92</v>
      </c>
      <c r="B21" s="26" t="s">
        <v>36</v>
      </c>
      <c r="C21" s="27" t="s">
        <v>37</v>
      </c>
      <c r="D21" s="27" t="s">
        <v>93</v>
      </c>
      <c r="E21" s="27" t="s">
        <v>94</v>
      </c>
      <c r="F21" s="27" t="s">
        <v>39</v>
      </c>
      <c r="G21" s="28" t="s">
        <v>40</v>
      </c>
      <c r="H21" s="27" t="s">
        <v>41</v>
      </c>
      <c r="I21" s="29">
        <f>VLOOKUP(A21,'[1]ESG DDQ Appendix A'!A$6:I$31,9,FALSE)</f>
        <v>100</v>
      </c>
      <c r="J21" s="30" t="s">
        <v>47</v>
      </c>
      <c r="K21" s="31">
        <v>6888</v>
      </c>
      <c r="L21" s="32"/>
      <c r="M21" s="32"/>
      <c r="N21" s="33"/>
      <c r="O21" s="34"/>
      <c r="P21" s="31">
        <v>499</v>
      </c>
      <c r="Q21" s="34">
        <v>0</v>
      </c>
      <c r="R21" s="32"/>
      <c r="S21" s="32"/>
      <c r="T21" s="32"/>
      <c r="U21" s="32"/>
      <c r="V21" s="32"/>
      <c r="W21" s="32"/>
      <c r="X21" s="32"/>
      <c r="Y21" s="32"/>
      <c r="Z21" s="32" t="s">
        <v>48</v>
      </c>
      <c r="AA21" s="34"/>
      <c r="AB21" s="32" t="s">
        <v>49</v>
      </c>
      <c r="AC21" s="32" t="s">
        <v>49</v>
      </c>
    </row>
    <row r="22" spans="1:29" s="36" customFormat="1" x14ac:dyDescent="0.2">
      <c r="A22" s="25" t="s">
        <v>95</v>
      </c>
      <c r="B22" s="26" t="s">
        <v>36</v>
      </c>
      <c r="C22" s="27" t="s">
        <v>37</v>
      </c>
      <c r="D22" s="27" t="s">
        <v>96</v>
      </c>
      <c r="E22" s="27" t="s">
        <v>97</v>
      </c>
      <c r="F22" s="27" t="s">
        <v>39</v>
      </c>
      <c r="G22" s="28" t="s">
        <v>40</v>
      </c>
      <c r="H22" s="27" t="s">
        <v>41</v>
      </c>
      <c r="I22" s="29">
        <f>VLOOKUP(A22,'[1]ESG DDQ Appendix A'!A$6:I$31,9,FALSE)</f>
        <v>100</v>
      </c>
      <c r="J22" s="30" t="s">
        <v>47</v>
      </c>
      <c r="K22" s="31">
        <v>69602</v>
      </c>
      <c r="L22" s="32"/>
      <c r="M22" s="32"/>
      <c r="N22" s="33"/>
      <c r="O22" s="34"/>
      <c r="P22" s="31">
        <v>708</v>
      </c>
      <c r="Q22" s="34">
        <v>0</v>
      </c>
      <c r="R22" s="32"/>
      <c r="S22" s="32"/>
      <c r="T22" s="32"/>
      <c r="U22" s="32"/>
      <c r="V22" s="32"/>
      <c r="W22" s="32"/>
      <c r="X22" s="32"/>
      <c r="Y22" s="32"/>
      <c r="Z22" s="32" t="s">
        <v>48</v>
      </c>
      <c r="AA22" s="34"/>
      <c r="AB22" s="32" t="s">
        <v>49</v>
      </c>
      <c r="AC22" s="32" t="s">
        <v>49</v>
      </c>
    </row>
    <row r="23" spans="1:29" s="36" customFormat="1" x14ac:dyDescent="0.2">
      <c r="A23" s="25" t="s">
        <v>98</v>
      </c>
      <c r="B23" s="26" t="s">
        <v>36</v>
      </c>
      <c r="C23" s="27" t="s">
        <v>37</v>
      </c>
      <c r="D23" s="27" t="s">
        <v>99</v>
      </c>
      <c r="E23" s="27" t="s">
        <v>100</v>
      </c>
      <c r="F23" s="27" t="s">
        <v>39</v>
      </c>
      <c r="G23" s="28" t="s">
        <v>40</v>
      </c>
      <c r="H23" s="27" t="s">
        <v>41</v>
      </c>
      <c r="I23" s="29">
        <f>VLOOKUP(A23,'[1]ESG DDQ Appendix A'!A$6:I$31,9,FALSE)</f>
        <v>232</v>
      </c>
      <c r="J23" s="30" t="s">
        <v>47</v>
      </c>
      <c r="K23" s="31">
        <v>9107</v>
      </c>
      <c r="L23" s="32"/>
      <c r="M23" s="32"/>
      <c r="N23" s="33"/>
      <c r="O23" s="34"/>
      <c r="P23" s="31">
        <v>545.27</v>
      </c>
      <c r="Q23" s="34">
        <v>0</v>
      </c>
      <c r="R23" s="32"/>
      <c r="S23" s="32"/>
      <c r="T23" s="32"/>
      <c r="U23" s="32"/>
      <c r="V23" s="32"/>
      <c r="W23" s="32"/>
      <c r="X23" s="32"/>
      <c r="Y23" s="32"/>
      <c r="Z23" s="32" t="s">
        <v>48</v>
      </c>
      <c r="AA23" s="34"/>
      <c r="AB23" s="32" t="s">
        <v>49</v>
      </c>
      <c r="AC23" s="32" t="s">
        <v>49</v>
      </c>
    </row>
    <row r="24" spans="1:29" s="36" customFormat="1" x14ac:dyDescent="0.2">
      <c r="A24" s="25" t="s">
        <v>101</v>
      </c>
      <c r="B24" s="26" t="s">
        <v>36</v>
      </c>
      <c r="C24" s="27" t="s">
        <v>37</v>
      </c>
      <c r="D24" s="27" t="s">
        <v>57</v>
      </c>
      <c r="E24" s="27" t="s">
        <v>102</v>
      </c>
      <c r="F24" s="27" t="s">
        <v>39</v>
      </c>
      <c r="G24" s="28" t="s">
        <v>40</v>
      </c>
      <c r="H24" s="27" t="s">
        <v>41</v>
      </c>
      <c r="I24" s="29">
        <f>VLOOKUP(A24,'[1]ESG DDQ Appendix A'!A$6:I$31,9,FALSE)</f>
        <v>69</v>
      </c>
      <c r="J24" s="30" t="s">
        <v>47</v>
      </c>
      <c r="K24" s="31">
        <v>6563</v>
      </c>
      <c r="L24" s="32"/>
      <c r="M24" s="32"/>
      <c r="N24" s="33"/>
      <c r="O24" s="34"/>
      <c r="P24" s="31">
        <v>627</v>
      </c>
      <c r="Q24" s="34">
        <v>0</v>
      </c>
      <c r="R24" s="32"/>
      <c r="S24" s="32"/>
      <c r="T24" s="32"/>
      <c r="U24" s="32"/>
      <c r="V24" s="32"/>
      <c r="W24" s="32"/>
      <c r="X24" s="32"/>
      <c r="Y24" s="32"/>
      <c r="Z24" s="32" t="s">
        <v>48</v>
      </c>
      <c r="AA24" s="34"/>
      <c r="AB24" s="32" t="s">
        <v>49</v>
      </c>
      <c r="AC24" s="32" t="s">
        <v>49</v>
      </c>
    </row>
    <row r="25" spans="1:29" s="36" customFormat="1" x14ac:dyDescent="0.2">
      <c r="A25" s="25" t="s">
        <v>103</v>
      </c>
      <c r="B25" s="26" t="s">
        <v>36</v>
      </c>
      <c r="C25" s="27" t="s">
        <v>37</v>
      </c>
      <c r="D25" s="27" t="s">
        <v>104</v>
      </c>
      <c r="E25" s="27" t="s">
        <v>105</v>
      </c>
      <c r="F25" s="27" t="s">
        <v>39</v>
      </c>
      <c r="G25" s="28" t="s">
        <v>40</v>
      </c>
      <c r="H25" s="27" t="s">
        <v>41</v>
      </c>
      <c r="I25" s="29">
        <f>VLOOKUP(A25,'[1]ESG DDQ Appendix A'!A$6:I$31,9,FALSE)</f>
        <v>225</v>
      </c>
      <c r="J25" s="30" t="s">
        <v>47</v>
      </c>
      <c r="K25" s="31">
        <v>82626</v>
      </c>
      <c r="L25" s="32"/>
      <c r="M25" s="33"/>
      <c r="N25" s="33"/>
      <c r="O25" s="34"/>
      <c r="P25" s="31">
        <v>1510.1489999999999</v>
      </c>
      <c r="Q25" s="34">
        <v>0</v>
      </c>
      <c r="R25" s="32"/>
      <c r="S25" s="32"/>
      <c r="T25" s="32"/>
      <c r="U25" s="32"/>
      <c r="V25" s="32"/>
      <c r="W25" s="32"/>
      <c r="X25" s="32"/>
      <c r="Y25" s="32"/>
      <c r="Z25" s="32" t="s">
        <v>48</v>
      </c>
      <c r="AA25" s="34"/>
      <c r="AB25" s="32" t="s">
        <v>49</v>
      </c>
      <c r="AC25" s="32" t="s">
        <v>49</v>
      </c>
    </row>
    <row r="26" spans="1:29" s="36" customFormat="1" x14ac:dyDescent="0.2">
      <c r="A26" s="25" t="s">
        <v>106</v>
      </c>
      <c r="B26" s="26" t="s">
        <v>36</v>
      </c>
      <c r="C26" s="27" t="s">
        <v>37</v>
      </c>
      <c r="D26" s="27" t="s">
        <v>88</v>
      </c>
      <c r="E26" s="27" t="s">
        <v>107</v>
      </c>
      <c r="F26" s="27" t="s">
        <v>39</v>
      </c>
      <c r="G26" s="28" t="s">
        <v>40</v>
      </c>
      <c r="H26" s="27" t="s">
        <v>41</v>
      </c>
      <c r="I26" s="29">
        <f>VLOOKUP(A26,'[1]ESG DDQ Appendix A'!A$6:I$31,9,FALSE)</f>
        <v>206</v>
      </c>
      <c r="J26" s="30" t="s">
        <v>47</v>
      </c>
      <c r="K26" s="31">
        <v>121440</v>
      </c>
      <c r="L26" s="32"/>
      <c r="M26" s="33"/>
      <c r="N26" s="33"/>
      <c r="O26" s="34"/>
      <c r="P26" s="31">
        <v>124</v>
      </c>
      <c r="Q26" s="34">
        <v>0</v>
      </c>
      <c r="R26" s="32"/>
      <c r="S26" s="32"/>
      <c r="T26" s="32"/>
      <c r="U26" s="32"/>
      <c r="V26" s="32"/>
      <c r="W26" s="32"/>
      <c r="X26" s="32"/>
      <c r="Y26" s="32"/>
      <c r="Z26" s="32" t="s">
        <v>48</v>
      </c>
      <c r="AA26" s="34"/>
      <c r="AB26" s="32" t="s">
        <v>49</v>
      </c>
      <c r="AC26" s="32" t="s">
        <v>49</v>
      </c>
    </row>
    <row r="27" spans="1:29" s="36" customFormat="1" x14ac:dyDescent="0.2">
      <c r="A27" s="38"/>
      <c r="B27" s="26"/>
      <c r="C27" s="27"/>
      <c r="D27" s="27"/>
      <c r="E27" s="39"/>
      <c r="F27" s="27"/>
      <c r="G27" s="28"/>
      <c r="H27" s="27"/>
      <c r="I27" s="29"/>
      <c r="J27" s="30"/>
      <c r="K27" s="31"/>
      <c r="L27" s="34"/>
      <c r="O27" s="40"/>
      <c r="P27" s="31"/>
      <c r="Q27" s="33"/>
      <c r="Z27" s="32"/>
      <c r="AB27" s="32"/>
      <c r="AC27" s="32"/>
    </row>
  </sheetData>
  <mergeCells count="5">
    <mergeCell ref="A2:I2"/>
    <mergeCell ref="K2:O2"/>
    <mergeCell ref="P2:Q2"/>
    <mergeCell ref="R2:Y2"/>
    <mergeCell ref="Z2:AC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33F35BBD7BE847B1FE9D41E83E62E1" ma:contentTypeVersion="13" ma:contentTypeDescription="Create a new document." ma:contentTypeScope="" ma:versionID="099d58a8c37cdba098fa2852e989e5b8">
  <xsd:schema xmlns:xsd="http://www.w3.org/2001/XMLSchema" xmlns:xs="http://www.w3.org/2001/XMLSchema" xmlns:p="http://schemas.microsoft.com/office/2006/metadata/properties" xmlns:ns2="8b946ec2-561f-4a03-a63a-0eab221a5776" xmlns:ns3="764674dd-e175-44e8-a710-52b02657ed00" targetNamespace="http://schemas.microsoft.com/office/2006/metadata/properties" ma:root="true" ma:fieldsID="ef3808dd6a5f5a95543715c162420a87" ns2:_="" ns3:_="">
    <xsd:import namespace="8b946ec2-561f-4a03-a63a-0eab221a5776"/>
    <xsd:import namespace="764674dd-e175-44e8-a710-52b02657ed00"/>
    <xsd:element name="properties">
      <xsd:complexType>
        <xsd:sequence>
          <xsd:element name="documentManagement">
            <xsd:complexType>
              <xsd:all>
                <xsd:element ref="ns2:PropertyShortName" minOccurs="0"/>
                <xsd:element ref="ns2:DocumentType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46ec2-561f-4a03-a63a-0eab221a5776" elementFormDefault="qualified">
    <xsd:import namespace="http://schemas.microsoft.com/office/2006/documentManagement/types"/>
    <xsd:import namespace="http://schemas.microsoft.com/office/infopath/2007/PartnerControls"/>
    <xsd:element name="PropertyShortName" ma:index="8" nillable="true" ma:displayName="Property Short Name" ma:format="Dropdown" ma:internalName="PropertyShortName">
      <xsd:simpleType>
        <xsd:restriction base="dms:Choice">
          <xsd:enumeration value="JBJ"/>
          <xsd:enumeration value="GO"/>
          <xsd:enumeration value="A2Z"/>
          <xsd:enumeration value="PC"/>
          <xsd:enumeration value="KEET"/>
          <xsd:enumeration value="BOVI"/>
          <xsd:enumeration value="BOVII"/>
          <xsd:enumeration value="POBOVI"/>
          <xsd:enumeration value="POBOVII"/>
          <xsd:enumeration value="ARD"/>
          <xsd:enumeration value="AMER"/>
          <xsd:enumeration value="APPLE"/>
          <xsd:enumeration value="AW"/>
          <xsd:enumeration value="Choice 14"/>
        </xsd:restriction>
      </xsd:simpleType>
    </xsd:element>
    <xsd:element name="DocumentType" ma:index="9" nillable="true" ma:displayName="Document Type" ma:format="Dropdown" ma:internalName="DocumentType">
      <xsd:simpleType>
        <xsd:restriction base="dms:Choice">
          <xsd:enumeration value="Cert of Formation"/>
          <xsd:enumeration value="EIN Letter"/>
          <xsd:enumeration value="LLC Agreeement"/>
          <xsd:enumeration value="Cert of Registration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122a211-7e95-43c4-85fe-cfb3afdd58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4674dd-e175-44e8-a710-52b02657ed0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b658d5b-c62a-4dd6-8c80-51c9b9a50843}" ma:internalName="TaxCatchAll" ma:showField="CatchAllData" ma:web="764674dd-e175-44e8-a710-52b02657ed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Type xmlns="8b946ec2-561f-4a03-a63a-0eab221a5776" xsi:nil="true"/>
    <PropertyShortName xmlns="8b946ec2-561f-4a03-a63a-0eab221a5776" xsi:nil="true"/>
    <lcf76f155ced4ddcb4097134ff3c332f xmlns="8b946ec2-561f-4a03-a63a-0eab221a5776">
      <Terms xmlns="http://schemas.microsoft.com/office/infopath/2007/PartnerControls"/>
    </lcf76f155ced4ddcb4097134ff3c332f>
    <TaxCatchAll xmlns="764674dd-e175-44e8-a710-52b02657ed00" xsi:nil="true"/>
  </documentManagement>
</p:properties>
</file>

<file path=customXml/itemProps1.xml><?xml version="1.0" encoding="utf-8"?>
<ds:datastoreItem xmlns:ds="http://schemas.openxmlformats.org/officeDocument/2006/customXml" ds:itemID="{0CA2147C-F46E-4621-8872-4388EE371B0A}"/>
</file>

<file path=customXml/itemProps2.xml><?xml version="1.0" encoding="utf-8"?>
<ds:datastoreItem xmlns:ds="http://schemas.openxmlformats.org/officeDocument/2006/customXml" ds:itemID="{BE612A23-C11E-4A6A-BDEE-0653EE5CF421}"/>
</file>

<file path=customXml/itemProps3.xml><?xml version="1.0" encoding="utf-8"?>
<ds:datastoreItem xmlns:ds="http://schemas.openxmlformats.org/officeDocument/2006/customXml" ds:itemID="{83073544-C23C-4524-8BAD-E80C5B0F0D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Berk</dc:creator>
  <cp:lastModifiedBy>Austin Berk</cp:lastModifiedBy>
  <dcterms:created xsi:type="dcterms:W3CDTF">2025-09-12T18:34:36Z</dcterms:created>
  <dcterms:modified xsi:type="dcterms:W3CDTF">2025-09-12T18:37:39Z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0x010100E233F35BBD7BE847B1FE9D41E83E62E1</vt:lpwstr>
  </property>
</Properties>
</file>