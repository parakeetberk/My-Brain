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Wyss\Parakeet\Parakeet Communities - Documents\Corporate\Minutes &amp; Notes\Executive Strategy Meeting 2026-03\"/>
    </mc:Choice>
  </mc:AlternateContent>
  <xr:revisionPtr revIDLastSave="0" documentId="8_{85F3F39F-A141-4107-819F-077730BC9B7E}" xr6:coauthVersionLast="47" xr6:coauthVersionMax="47" xr10:uidLastSave="{00000000-0000-0000-0000-000000000000}"/>
  <bookViews>
    <workbookView xWindow="-120" yWindow="-120" windowWidth="29040" windowHeight="15720" activeTab="1" xr2:uid="{6AC75D6B-9597-4BF9-A60E-11D2B1AF56B8}"/>
  </bookViews>
  <sheets>
    <sheet name="Sheet1" sheetId="4" r:id="rId1"/>
    <sheet name="Data" sheetId="1" r:id="rId2"/>
    <sheet name="Summary (PROP x PROJ)" sheetId="2" r:id="rId3"/>
    <sheet name="Summary (PROP x DATE)" sheetId="3" r:id="rId4"/>
  </sheets>
  <definedNames>
    <definedName name="_xlnm._FilterDatabase" localSheetId="1" hidden="1">Data!$B$2:$P$247</definedName>
    <definedName name="_xlnm._FilterDatabase" localSheetId="0" hidden="1">Sheet1!$B$2:$G$67</definedName>
    <definedName name="_xlnm._FilterDatabase" localSheetId="3" hidden="1">'Summary (PROP x DATE)'!$B$2:$C$2</definedName>
    <definedName name="_xlnm._FilterDatabase" localSheetId="2" hidden="1">'Summary (PROP x PROJ)'!$B$2:$C$2</definedName>
    <definedName name="_xlnm.Print_Area" localSheetId="1">Data!$B$2:$P$247</definedName>
    <definedName name="_xlnm.Print_Area" localSheetId="3">'Summary (PROP x DATE)'!$B$2:$CA$64</definedName>
    <definedName name="_xlnm.Print_Area" localSheetId="2">'Summary (PROP x PROJ)'!$B$2:$S$64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3" l="1"/>
  <c r="E61" i="3"/>
  <c r="D61" i="3"/>
  <c r="F60" i="3"/>
  <c r="E60" i="3"/>
  <c r="D60" i="3"/>
  <c r="F59" i="3"/>
  <c r="E59" i="3"/>
  <c r="D59" i="3"/>
  <c r="F58" i="3"/>
  <c r="E58" i="3"/>
  <c r="D58" i="3"/>
  <c r="F57" i="3"/>
  <c r="E57" i="3"/>
  <c r="D57" i="3"/>
  <c r="F56" i="3"/>
  <c r="E56" i="3"/>
  <c r="D56" i="3"/>
  <c r="F55" i="3"/>
  <c r="E55" i="3"/>
  <c r="D55" i="3"/>
  <c r="F54" i="3"/>
  <c r="E54" i="3"/>
  <c r="D54" i="3"/>
  <c r="F53" i="3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5" i="3"/>
  <c r="E45" i="3"/>
  <c r="D45" i="3"/>
  <c r="F44" i="3"/>
  <c r="E44" i="3"/>
  <c r="D44" i="3"/>
  <c r="F43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E48" i="3"/>
  <c r="F48" i="3" s="1"/>
  <c r="G48" i="3" s="1"/>
  <c r="H48" i="3" s="1"/>
  <c r="I48" i="3" s="1"/>
  <c r="J48" i="3" s="1"/>
  <c r="K48" i="3" s="1"/>
  <c r="L48" i="3" s="1"/>
  <c r="M48" i="3" s="1"/>
  <c r="N48" i="3" s="1"/>
  <c r="O48" i="3" s="1"/>
  <c r="P48" i="3" s="1"/>
  <c r="Q48" i="3" s="1"/>
  <c r="R48" i="3" s="1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D48" i="3" s="1"/>
  <c r="AE48" i="3" s="1"/>
  <c r="AF48" i="3" s="1"/>
  <c r="AG48" i="3" s="1"/>
  <c r="AH48" i="3" s="1"/>
  <c r="AI48" i="3" s="1"/>
  <c r="AJ48" i="3" s="1"/>
  <c r="AK48" i="3" s="1"/>
  <c r="AL48" i="3" s="1"/>
  <c r="AM48" i="3" s="1"/>
  <c r="AN48" i="3" s="1"/>
  <c r="AO48" i="3" s="1"/>
  <c r="AP48" i="3" s="1"/>
  <c r="AQ48" i="3" s="1"/>
  <c r="AR48" i="3" s="1"/>
  <c r="AS48" i="3" s="1"/>
  <c r="AT48" i="3" s="1"/>
  <c r="AU48" i="3" s="1"/>
  <c r="AV48" i="3" s="1"/>
  <c r="AW48" i="3" s="1"/>
  <c r="AX48" i="3" s="1"/>
  <c r="AY48" i="3" s="1"/>
  <c r="AZ48" i="3" s="1"/>
  <c r="BA48" i="3" s="1"/>
  <c r="BB48" i="3" s="1"/>
  <c r="BC48" i="3" s="1"/>
  <c r="BD48" i="3" s="1"/>
  <c r="BE48" i="3" s="1"/>
  <c r="BF48" i="3" s="1"/>
  <c r="BG48" i="3" s="1"/>
  <c r="BH48" i="3" s="1"/>
  <c r="BI48" i="3" s="1"/>
  <c r="BJ48" i="3" s="1"/>
  <c r="BK48" i="3" s="1"/>
  <c r="BL48" i="3" s="1"/>
  <c r="BM48" i="3" s="1"/>
  <c r="BN48" i="3" s="1"/>
  <c r="BO48" i="3" s="1"/>
  <c r="BP48" i="3" s="1"/>
  <c r="BQ48" i="3" s="1"/>
  <c r="BR48" i="3" s="1"/>
  <c r="BS48" i="3" s="1"/>
  <c r="BT48" i="3" s="1"/>
  <c r="BU48" i="3" s="1"/>
  <c r="BV48" i="3" s="1"/>
  <c r="BW48" i="3" s="1"/>
  <c r="BX48" i="3" s="1"/>
  <c r="BY48" i="3" s="1"/>
  <c r="BZ48" i="3" s="1"/>
  <c r="E26" i="3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  <c r="AZ26" i="3" s="1"/>
  <c r="BA26" i="3" s="1"/>
  <c r="BB26" i="3" s="1"/>
  <c r="BC26" i="3" s="1"/>
  <c r="BD26" i="3" s="1"/>
  <c r="BE26" i="3" s="1"/>
  <c r="BF26" i="3" s="1"/>
  <c r="BG26" i="3" s="1"/>
  <c r="BH26" i="3" s="1"/>
  <c r="BI26" i="3" s="1"/>
  <c r="BJ26" i="3" s="1"/>
  <c r="BK26" i="3" s="1"/>
  <c r="BL26" i="3" s="1"/>
  <c r="BM26" i="3" s="1"/>
  <c r="BN26" i="3" s="1"/>
  <c r="BO26" i="3" s="1"/>
  <c r="BP26" i="3" s="1"/>
  <c r="BQ26" i="3" s="1"/>
  <c r="BR26" i="3" s="1"/>
  <c r="BS26" i="3" s="1"/>
  <c r="BT26" i="3" s="1"/>
  <c r="BU26" i="3" s="1"/>
  <c r="BV26" i="3" s="1"/>
  <c r="BW26" i="3" s="1"/>
  <c r="BX26" i="3" s="1"/>
  <c r="BY26" i="3" s="1"/>
  <c r="BZ26" i="3" s="1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E2" i="3"/>
  <c r="F2" i="3" s="1"/>
  <c r="G2" i="3" s="1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57" i="2"/>
  <c r="C60" i="2"/>
  <c r="C49" i="2"/>
  <c r="C8" i="2"/>
  <c r="C58" i="2"/>
  <c r="C53" i="2"/>
  <c r="C45" i="2"/>
  <c r="C59" i="2"/>
  <c r="C43" i="2"/>
  <c r="C42" i="2"/>
  <c r="C37" i="2"/>
  <c r="C61" i="2"/>
  <c r="C56" i="2"/>
  <c r="C54" i="2"/>
  <c r="C52" i="2"/>
  <c r="C51" i="2"/>
  <c r="C50" i="2"/>
  <c r="C55" i="2"/>
  <c r="C40" i="2"/>
  <c r="C39" i="2"/>
  <c r="C38" i="2"/>
  <c r="C35" i="2"/>
  <c r="C33" i="2"/>
  <c r="C32" i="2"/>
  <c r="C31" i="2"/>
  <c r="C29" i="2"/>
  <c r="C28" i="2"/>
  <c r="C27" i="2"/>
  <c r="C30" i="2"/>
  <c r="C36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7" i="2"/>
  <c r="C6" i="2"/>
  <c r="C5" i="2"/>
  <c r="C4" i="2"/>
  <c r="C3" i="2"/>
  <c r="C44" i="2"/>
  <c r="C41" i="2"/>
  <c r="C34" i="2"/>
  <c r="F24" i="3" l="1"/>
  <c r="E24" i="3"/>
  <c r="K62" i="2"/>
  <c r="D24" i="3"/>
  <c r="E46" i="3"/>
  <c r="F46" i="3"/>
  <c r="D46" i="3"/>
  <c r="D62" i="3"/>
  <c r="E62" i="3"/>
  <c r="F62" i="3"/>
  <c r="G39" i="3"/>
  <c r="G16" i="3"/>
  <c r="G59" i="3"/>
  <c r="G58" i="3"/>
  <c r="G33" i="3"/>
  <c r="G10" i="3"/>
  <c r="G57" i="3"/>
  <c r="G56" i="3"/>
  <c r="G8" i="3"/>
  <c r="G55" i="3"/>
  <c r="G7" i="3"/>
  <c r="G53" i="3"/>
  <c r="G28" i="3"/>
  <c r="G5" i="3"/>
  <c r="G51" i="3"/>
  <c r="G23" i="3"/>
  <c r="G45" i="3"/>
  <c r="G43" i="3"/>
  <c r="G38" i="3"/>
  <c r="G15" i="3"/>
  <c r="G31" i="3"/>
  <c r="G52" i="3"/>
  <c r="G20" i="3"/>
  <c r="G41" i="3"/>
  <c r="G37" i="3"/>
  <c r="G14" i="3"/>
  <c r="G35" i="3"/>
  <c r="G12" i="3"/>
  <c r="G11" i="3"/>
  <c r="G9" i="3"/>
  <c r="G61" i="3"/>
  <c r="G36" i="3"/>
  <c r="G13" i="3"/>
  <c r="G60" i="3"/>
  <c r="G34" i="3"/>
  <c r="G32" i="3"/>
  <c r="G30" i="3"/>
  <c r="G4" i="3"/>
  <c r="G3" i="3"/>
  <c r="G49" i="3"/>
  <c r="G17" i="3"/>
  <c r="H2" i="3"/>
  <c r="H27" i="3" s="1"/>
  <c r="G19" i="3"/>
  <c r="G54" i="3"/>
  <c r="G29" i="3"/>
  <c r="G6" i="3"/>
  <c r="G27" i="3"/>
  <c r="G50" i="3"/>
  <c r="G22" i="3"/>
  <c r="G42" i="3"/>
  <c r="G40" i="3"/>
  <c r="G44" i="3"/>
  <c r="G21" i="3"/>
  <c r="G18" i="3"/>
  <c r="H44" i="3"/>
  <c r="H54" i="3"/>
  <c r="H40" i="3"/>
  <c r="H56" i="3"/>
  <c r="H59" i="3"/>
  <c r="H43" i="3"/>
  <c r="H41" i="3"/>
  <c r="H50" i="3"/>
  <c r="H49" i="3"/>
  <c r="H31" i="3"/>
  <c r="H57" i="3"/>
  <c r="H29" i="3"/>
  <c r="H52" i="3"/>
  <c r="H60" i="3"/>
  <c r="H30" i="3"/>
  <c r="H34" i="3"/>
  <c r="H37" i="3"/>
  <c r="H28" i="3"/>
  <c r="H33" i="3"/>
  <c r="H38" i="3"/>
  <c r="J62" i="2"/>
  <c r="G24" i="2"/>
  <c r="S12" i="2"/>
  <c r="S37" i="2"/>
  <c r="S15" i="2"/>
  <c r="S40" i="2"/>
  <c r="S18" i="2"/>
  <c r="S5" i="2"/>
  <c r="S11" i="2"/>
  <c r="H22" i="3"/>
  <c r="H6" i="3"/>
  <c r="H20" i="3"/>
  <c r="H9" i="3"/>
  <c r="H5" i="3"/>
  <c r="H23" i="3"/>
  <c r="H12" i="3"/>
  <c r="H18" i="3"/>
  <c r="H7" i="3"/>
  <c r="H10" i="3"/>
  <c r="H15" i="3"/>
  <c r="H4" i="3"/>
  <c r="H14" i="3"/>
  <c r="I2" i="3"/>
  <c r="S43" i="2"/>
  <c r="S21" i="2"/>
  <c r="S49" i="2"/>
  <c r="K24" i="2"/>
  <c r="R24" i="2"/>
  <c r="S27" i="2"/>
  <c r="E62" i="2"/>
  <c r="S52" i="2"/>
  <c r="L24" i="2"/>
  <c r="S55" i="2"/>
  <c r="E46" i="2"/>
  <c r="S30" i="2"/>
  <c r="F62" i="2"/>
  <c r="F64" i="2" s="1"/>
  <c r="M24" i="2"/>
  <c r="S8" i="2"/>
  <c r="S33" i="2"/>
  <c r="G62" i="2"/>
  <c r="S58" i="2"/>
  <c r="G46" i="2"/>
  <c r="S31" i="2"/>
  <c r="S36" i="2"/>
  <c r="H62" i="2"/>
  <c r="S61" i="2"/>
  <c r="N24" i="2"/>
  <c r="H46" i="2"/>
  <c r="S39" i="2"/>
  <c r="I62" i="2"/>
  <c r="J46" i="2"/>
  <c r="S45" i="2"/>
  <c r="K46" i="2"/>
  <c r="L62" i="2"/>
  <c r="S51" i="2"/>
  <c r="S14" i="2"/>
  <c r="S4" i="2"/>
  <c r="L46" i="2"/>
  <c r="S29" i="2"/>
  <c r="M62" i="2"/>
  <c r="S54" i="2"/>
  <c r="O24" i="2"/>
  <c r="S32" i="2"/>
  <c r="N62" i="2"/>
  <c r="S57" i="2"/>
  <c r="S35" i="2"/>
  <c r="O62" i="2"/>
  <c r="S60" i="2"/>
  <c r="S16" i="2"/>
  <c r="Q46" i="2"/>
  <c r="J24" i="2"/>
  <c r="Q62" i="2"/>
  <c r="S22" i="2"/>
  <c r="S50" i="2"/>
  <c r="S7" i="2"/>
  <c r="M46" i="2"/>
  <c r="N46" i="2"/>
  <c r="P62" i="2"/>
  <c r="S19" i="2"/>
  <c r="S44" i="2"/>
  <c r="R62" i="2"/>
  <c r="R46" i="2"/>
  <c r="D24" i="2"/>
  <c r="S28" i="2"/>
  <c r="S53" i="2"/>
  <c r="H24" i="2"/>
  <c r="I24" i="2"/>
  <c r="I46" i="2"/>
  <c r="S13" i="2"/>
  <c r="O46" i="2"/>
  <c r="S38" i="2"/>
  <c r="P46" i="2"/>
  <c r="S41" i="2"/>
  <c r="E24" i="2"/>
  <c r="S6" i="2"/>
  <c r="P24" i="2"/>
  <c r="S17" i="2"/>
  <c r="S42" i="2"/>
  <c r="S20" i="2"/>
  <c r="Q24" i="2"/>
  <c r="S23" i="2"/>
  <c r="S10" i="2"/>
  <c r="F46" i="2"/>
  <c r="F24" i="2"/>
  <c r="S9" i="2"/>
  <c r="S34" i="2"/>
  <c r="S56" i="2"/>
  <c r="S59" i="2"/>
  <c r="S3" i="2"/>
  <c r="D46" i="2"/>
  <c r="D62" i="2"/>
  <c r="Q64" i="2" l="1"/>
  <c r="D64" i="2"/>
  <c r="D64" i="3"/>
  <c r="I64" i="2"/>
  <c r="L64" i="2"/>
  <c r="O64" i="2"/>
  <c r="F64" i="3"/>
  <c r="H64" i="2"/>
  <c r="E64" i="3"/>
  <c r="N64" i="2"/>
  <c r="R64" i="2"/>
  <c r="J64" i="2"/>
  <c r="M64" i="2"/>
  <c r="G64" i="2"/>
  <c r="K64" i="2"/>
  <c r="E64" i="2"/>
  <c r="P64" i="2"/>
  <c r="G46" i="3"/>
  <c r="S24" i="2"/>
  <c r="S62" i="2"/>
  <c r="G62" i="3"/>
  <c r="G24" i="3"/>
  <c r="H16" i="3"/>
  <c r="H35" i="3"/>
  <c r="H42" i="3"/>
  <c r="H21" i="3"/>
  <c r="H61" i="3"/>
  <c r="H53" i="3"/>
  <c r="H13" i="3"/>
  <c r="H51" i="3"/>
  <c r="H58" i="3"/>
  <c r="H17" i="3"/>
  <c r="H39" i="3"/>
  <c r="H11" i="3"/>
  <c r="H55" i="3"/>
  <c r="H8" i="3"/>
  <c r="H36" i="3"/>
  <c r="H19" i="3"/>
  <c r="H32" i="3"/>
  <c r="H3" i="3"/>
  <c r="H45" i="3"/>
  <c r="I54" i="3"/>
  <c r="I61" i="3"/>
  <c r="I53" i="3"/>
  <c r="I59" i="3"/>
  <c r="I43" i="3"/>
  <c r="I42" i="3"/>
  <c r="I41" i="3"/>
  <c r="I50" i="3"/>
  <c r="I49" i="3"/>
  <c r="I45" i="3"/>
  <c r="I44" i="3"/>
  <c r="I55" i="3"/>
  <c r="I39" i="3"/>
  <c r="I31" i="3"/>
  <c r="I56" i="3"/>
  <c r="I32" i="3"/>
  <c r="I37" i="3"/>
  <c r="I52" i="3"/>
  <c r="I40" i="3"/>
  <c r="I58" i="3"/>
  <c r="I36" i="3"/>
  <c r="I30" i="3"/>
  <c r="I57" i="3"/>
  <c r="I29" i="3"/>
  <c r="I51" i="3"/>
  <c r="I28" i="3"/>
  <c r="I60" i="3"/>
  <c r="I33" i="3"/>
  <c r="I27" i="3"/>
  <c r="I34" i="3"/>
  <c r="I38" i="3"/>
  <c r="I35" i="3"/>
  <c r="S46" i="2"/>
  <c r="I12" i="3"/>
  <c r="I5" i="3"/>
  <c r="I19" i="3"/>
  <c r="I23" i="3"/>
  <c r="I16" i="3"/>
  <c r="I21" i="3"/>
  <c r="I10" i="3"/>
  <c r="I13" i="3"/>
  <c r="I15" i="3"/>
  <c r="I4" i="3"/>
  <c r="I7" i="3"/>
  <c r="I18" i="3"/>
  <c r="I9" i="3"/>
  <c r="I17" i="3"/>
  <c r="I8" i="3"/>
  <c r="I3" i="3"/>
  <c r="I6" i="3"/>
  <c r="I22" i="3"/>
  <c r="I20" i="3"/>
  <c r="I11" i="3"/>
  <c r="I14" i="3"/>
  <c r="J2" i="3"/>
  <c r="S64" i="2" l="1"/>
  <c r="G64" i="3"/>
  <c r="H46" i="3"/>
  <c r="H62" i="3"/>
  <c r="H24" i="3"/>
  <c r="J54" i="3"/>
  <c r="J40" i="3"/>
  <c r="J61" i="3"/>
  <c r="J50" i="3"/>
  <c r="J36" i="3"/>
  <c r="J60" i="3"/>
  <c r="J49" i="3"/>
  <c r="J45" i="3"/>
  <c r="J44" i="3"/>
  <c r="J32" i="3"/>
  <c r="J55" i="3"/>
  <c r="J39" i="3"/>
  <c r="J31" i="3"/>
  <c r="J56" i="3"/>
  <c r="J33" i="3"/>
  <c r="J30" i="3"/>
  <c r="J53" i="3"/>
  <c r="J43" i="3"/>
  <c r="J28" i="3"/>
  <c r="J52" i="3"/>
  <c r="J51" i="3"/>
  <c r="J42" i="3"/>
  <c r="J35" i="3"/>
  <c r="J57" i="3"/>
  <c r="J38" i="3"/>
  <c r="J58" i="3"/>
  <c r="J27" i="3"/>
  <c r="J29" i="3"/>
  <c r="J41" i="3"/>
  <c r="J34" i="3"/>
  <c r="J59" i="3"/>
  <c r="J37" i="3"/>
  <c r="J23" i="3"/>
  <c r="J12" i="3"/>
  <c r="J5" i="3"/>
  <c r="J15" i="3"/>
  <c r="J4" i="3"/>
  <c r="J10" i="3"/>
  <c r="J16" i="3"/>
  <c r="J19" i="3"/>
  <c r="J8" i="3"/>
  <c r="J13" i="3"/>
  <c r="J18" i="3"/>
  <c r="J7" i="3"/>
  <c r="J21" i="3"/>
  <c r="J17" i="3"/>
  <c r="J6" i="3"/>
  <c r="J22" i="3"/>
  <c r="J9" i="3"/>
  <c r="J20" i="3"/>
  <c r="J11" i="3"/>
  <c r="J3" i="3"/>
  <c r="J14" i="3"/>
  <c r="K2" i="3"/>
  <c r="I24" i="3"/>
  <c r="I62" i="3"/>
  <c r="I46" i="3"/>
  <c r="I64" i="3" l="1"/>
  <c r="H64" i="3"/>
  <c r="K61" i="3"/>
  <c r="K57" i="3"/>
  <c r="K60" i="3"/>
  <c r="K49" i="3"/>
  <c r="K45" i="3"/>
  <c r="K44" i="3"/>
  <c r="K55" i="3"/>
  <c r="K50" i="3"/>
  <c r="K51" i="3"/>
  <c r="K56" i="3"/>
  <c r="K33" i="3"/>
  <c r="K32" i="3"/>
  <c r="K30" i="3"/>
  <c r="K59" i="3"/>
  <c r="K42" i="3"/>
  <c r="K34" i="3"/>
  <c r="K28" i="3"/>
  <c r="K53" i="3"/>
  <c r="K54" i="3"/>
  <c r="K43" i="3"/>
  <c r="K52" i="3"/>
  <c r="K58" i="3"/>
  <c r="K40" i="3"/>
  <c r="K38" i="3"/>
  <c r="K27" i="3"/>
  <c r="K29" i="3"/>
  <c r="K41" i="3"/>
  <c r="K36" i="3"/>
  <c r="K39" i="3"/>
  <c r="K31" i="3"/>
  <c r="K37" i="3"/>
  <c r="K35" i="3"/>
  <c r="L2" i="3"/>
  <c r="K15" i="3"/>
  <c r="K4" i="3"/>
  <c r="K13" i="3"/>
  <c r="K5" i="3"/>
  <c r="K8" i="3"/>
  <c r="K19" i="3"/>
  <c r="K16" i="3"/>
  <c r="K11" i="3"/>
  <c r="K18" i="3"/>
  <c r="K7" i="3"/>
  <c r="K10" i="3"/>
  <c r="K22" i="3"/>
  <c r="K21" i="3"/>
  <c r="K17" i="3"/>
  <c r="K12" i="3"/>
  <c r="K20" i="3"/>
  <c r="K14" i="3"/>
  <c r="K23" i="3"/>
  <c r="K9" i="3"/>
  <c r="K3" i="3"/>
  <c r="K6" i="3"/>
  <c r="J62" i="3"/>
  <c r="J24" i="3"/>
  <c r="J46" i="3"/>
  <c r="J64" i="3" l="1"/>
  <c r="L61" i="3"/>
  <c r="L50" i="3"/>
  <c r="L36" i="3"/>
  <c r="L57" i="3"/>
  <c r="L43" i="3"/>
  <c r="L56" i="3"/>
  <c r="L59" i="3"/>
  <c r="L55" i="3"/>
  <c r="L51" i="3"/>
  <c r="L33" i="3"/>
  <c r="L32" i="3"/>
  <c r="L30" i="3"/>
  <c r="L52" i="3"/>
  <c r="L49" i="3"/>
  <c r="L54" i="3"/>
  <c r="L58" i="3"/>
  <c r="L28" i="3"/>
  <c r="L35" i="3"/>
  <c r="L53" i="3"/>
  <c r="L42" i="3"/>
  <c r="L44" i="3"/>
  <c r="L40" i="3"/>
  <c r="L60" i="3"/>
  <c r="L27" i="3"/>
  <c r="L41" i="3"/>
  <c r="L34" i="3"/>
  <c r="L39" i="3"/>
  <c r="L38" i="3"/>
  <c r="L29" i="3"/>
  <c r="L31" i="3"/>
  <c r="L45" i="3"/>
  <c r="L37" i="3"/>
  <c r="L3" i="3"/>
  <c r="L23" i="3"/>
  <c r="M2" i="3"/>
  <c r="L11" i="3"/>
  <c r="L19" i="3"/>
  <c r="L10" i="3"/>
  <c r="L21" i="3"/>
  <c r="L8" i="3"/>
  <c r="L9" i="3"/>
  <c r="L5" i="3"/>
  <c r="L18" i="3"/>
  <c r="L22" i="3"/>
  <c r="L16" i="3"/>
  <c r="L15" i="3"/>
  <c r="L12" i="3"/>
  <c r="L17" i="3"/>
  <c r="L20" i="3"/>
  <c r="L13" i="3"/>
  <c r="L7" i="3"/>
  <c r="L4" i="3"/>
  <c r="L14" i="3"/>
  <c r="L6" i="3"/>
  <c r="K46" i="3"/>
  <c r="K24" i="3"/>
  <c r="K62" i="3"/>
  <c r="K64" i="3" l="1"/>
  <c r="M19" i="3"/>
  <c r="M57" i="3"/>
  <c r="M53" i="3"/>
  <c r="M56" i="3"/>
  <c r="M50" i="3"/>
  <c r="M51" i="3"/>
  <c r="M59" i="3"/>
  <c r="M29" i="3"/>
  <c r="M44" i="3"/>
  <c r="M40" i="3"/>
  <c r="M54" i="3"/>
  <c r="M58" i="3"/>
  <c r="M60" i="3"/>
  <c r="M28" i="3"/>
  <c r="M35" i="3"/>
  <c r="M32" i="3"/>
  <c r="M52" i="3"/>
  <c r="M42" i="3"/>
  <c r="M55" i="3"/>
  <c r="M61" i="3"/>
  <c r="M45" i="3"/>
  <c r="M33" i="3"/>
  <c r="M41" i="3"/>
  <c r="M34" i="3"/>
  <c r="M43" i="3"/>
  <c r="M39" i="3"/>
  <c r="M36" i="3"/>
  <c r="M30" i="3"/>
  <c r="M38" i="3"/>
  <c r="M49" i="3"/>
  <c r="M31" i="3"/>
  <c r="M27" i="3"/>
  <c r="M37" i="3"/>
  <c r="M13" i="3"/>
  <c r="M10" i="3"/>
  <c r="M14" i="3"/>
  <c r="M22" i="3"/>
  <c r="M11" i="3"/>
  <c r="M3" i="3"/>
  <c r="M7" i="3"/>
  <c r="M18" i="3"/>
  <c r="M8" i="3"/>
  <c r="M23" i="3"/>
  <c r="M20" i="3"/>
  <c r="M5" i="3"/>
  <c r="M16" i="3"/>
  <c r="M6" i="3"/>
  <c r="M21" i="3"/>
  <c r="M4" i="3"/>
  <c r="M12" i="3"/>
  <c r="M9" i="3"/>
  <c r="M17" i="3"/>
  <c r="M15" i="3"/>
  <c r="N2" i="3"/>
  <c r="L62" i="3"/>
  <c r="L24" i="3"/>
  <c r="L46" i="3"/>
  <c r="L64" i="3" l="1"/>
  <c r="N18" i="3"/>
  <c r="N57" i="3"/>
  <c r="N43" i="3"/>
  <c r="N53" i="3"/>
  <c r="N39" i="3"/>
  <c r="N52" i="3"/>
  <c r="N55" i="3"/>
  <c r="N58" i="3"/>
  <c r="N51" i="3"/>
  <c r="N31" i="3"/>
  <c r="N59" i="3"/>
  <c r="N50" i="3"/>
  <c r="N29" i="3"/>
  <c r="N61" i="3"/>
  <c r="N37" i="3"/>
  <c r="N60" i="3"/>
  <c r="N35" i="3"/>
  <c r="N32" i="3"/>
  <c r="N44" i="3"/>
  <c r="N54" i="3"/>
  <c r="N40" i="3"/>
  <c r="N45" i="3"/>
  <c r="N28" i="3"/>
  <c r="N42" i="3"/>
  <c r="N34" i="3"/>
  <c r="N36" i="3"/>
  <c r="N30" i="3"/>
  <c r="N56" i="3"/>
  <c r="N41" i="3"/>
  <c r="N33" i="3"/>
  <c r="N38" i="3"/>
  <c r="N49" i="3"/>
  <c r="N27" i="3"/>
  <c r="N15" i="3"/>
  <c r="N13" i="3"/>
  <c r="N19" i="3"/>
  <c r="M46" i="3"/>
  <c r="N14" i="3"/>
  <c r="M62" i="3"/>
  <c r="O2" i="3"/>
  <c r="N3" i="3"/>
  <c r="N5" i="3"/>
  <c r="N22" i="3"/>
  <c r="M24" i="3"/>
  <c r="N11" i="3"/>
  <c r="N8" i="3"/>
  <c r="N10" i="3"/>
  <c r="N21" i="3"/>
  <c r="N7" i="3"/>
  <c r="N6" i="3"/>
  <c r="N23" i="3"/>
  <c r="N20" i="3"/>
  <c r="N9" i="3"/>
  <c r="N4" i="3"/>
  <c r="N12" i="3"/>
  <c r="N16" i="3"/>
  <c r="N17" i="3"/>
  <c r="M64" i="3" l="1"/>
  <c r="O23" i="3"/>
  <c r="O60" i="3"/>
  <c r="O58" i="3"/>
  <c r="O29" i="3"/>
  <c r="O61" i="3"/>
  <c r="O37" i="3"/>
  <c r="O49" i="3"/>
  <c r="O51" i="3"/>
  <c r="O55" i="3"/>
  <c r="O52" i="3"/>
  <c r="O44" i="3"/>
  <c r="O50" i="3"/>
  <c r="O57" i="3"/>
  <c r="O54" i="3"/>
  <c r="O53" i="3"/>
  <c r="O40" i="3"/>
  <c r="O28" i="3"/>
  <c r="O34" i="3"/>
  <c r="O56" i="3"/>
  <c r="O41" i="3"/>
  <c r="O36" i="3"/>
  <c r="O31" i="3"/>
  <c r="O27" i="3"/>
  <c r="O45" i="3"/>
  <c r="O39" i="3"/>
  <c r="O42" i="3"/>
  <c r="O30" i="3"/>
  <c r="O43" i="3"/>
  <c r="O38" i="3"/>
  <c r="O35" i="3"/>
  <c r="O32" i="3"/>
  <c r="O59" i="3"/>
  <c r="O33" i="3"/>
  <c r="O22" i="3"/>
  <c r="O11" i="3"/>
  <c r="O16" i="3"/>
  <c r="O13" i="3"/>
  <c r="O17" i="3"/>
  <c r="O5" i="3"/>
  <c r="O14" i="3"/>
  <c r="O4" i="3"/>
  <c r="P2" i="3"/>
  <c r="O6" i="3"/>
  <c r="O21" i="3"/>
  <c r="O8" i="3"/>
  <c r="O19" i="3"/>
  <c r="O12" i="3"/>
  <c r="O3" i="3"/>
  <c r="N62" i="3"/>
  <c r="O10" i="3"/>
  <c r="O9" i="3"/>
  <c r="O7" i="3"/>
  <c r="O20" i="3"/>
  <c r="N24" i="3"/>
  <c r="O15" i="3"/>
  <c r="O18" i="3"/>
  <c r="N46" i="3"/>
  <c r="N64" i="3" l="1"/>
  <c r="P8" i="3"/>
  <c r="P53" i="3"/>
  <c r="P39" i="3"/>
  <c r="P60" i="3"/>
  <c r="P49" i="3"/>
  <c r="P35" i="3"/>
  <c r="P59" i="3"/>
  <c r="P31" i="3"/>
  <c r="P61" i="3"/>
  <c r="P37" i="3"/>
  <c r="P42" i="3"/>
  <c r="P34" i="3"/>
  <c r="P28" i="3"/>
  <c r="P54" i="3"/>
  <c r="P58" i="3"/>
  <c r="P51" i="3"/>
  <c r="P52" i="3"/>
  <c r="P44" i="3"/>
  <c r="P50" i="3"/>
  <c r="P57" i="3"/>
  <c r="P56" i="3"/>
  <c r="P40" i="3"/>
  <c r="P55" i="3"/>
  <c r="P33" i="3"/>
  <c r="P41" i="3"/>
  <c r="P29" i="3"/>
  <c r="P43" i="3"/>
  <c r="P36" i="3"/>
  <c r="P30" i="3"/>
  <c r="P38" i="3"/>
  <c r="P45" i="3"/>
  <c r="P27" i="3"/>
  <c r="P32" i="3"/>
  <c r="P5" i="3"/>
  <c r="P16" i="3"/>
  <c r="P3" i="3"/>
  <c r="P22" i="3"/>
  <c r="P6" i="3"/>
  <c r="P10" i="3"/>
  <c r="P19" i="3"/>
  <c r="P11" i="3"/>
  <c r="P13" i="3"/>
  <c r="P21" i="3"/>
  <c r="O62" i="3"/>
  <c r="Q2" i="3"/>
  <c r="P9" i="3"/>
  <c r="P20" i="3"/>
  <c r="P14" i="3"/>
  <c r="P18" i="3"/>
  <c r="P23" i="3"/>
  <c r="P7" i="3"/>
  <c r="O46" i="3"/>
  <c r="P17" i="3"/>
  <c r="P12" i="3"/>
  <c r="P4" i="3"/>
  <c r="P15" i="3"/>
  <c r="O24" i="3"/>
  <c r="Q6" i="3"/>
  <c r="Q20" i="3"/>
  <c r="Q16" i="3"/>
  <c r="Q3" i="3"/>
  <c r="Q18" i="3"/>
  <c r="Q23" i="3"/>
  <c r="R2" i="3"/>
  <c r="O64" i="3" l="1"/>
  <c r="R60" i="3"/>
  <c r="R49" i="3"/>
  <c r="R35" i="3"/>
  <c r="R56" i="3"/>
  <c r="R42" i="3"/>
  <c r="R55" i="3"/>
  <c r="R58" i="3"/>
  <c r="R61" i="3"/>
  <c r="R54" i="3"/>
  <c r="R52" i="3"/>
  <c r="R34" i="3"/>
  <c r="R28" i="3"/>
  <c r="R57" i="3"/>
  <c r="R44" i="3"/>
  <c r="R40" i="3"/>
  <c r="R50" i="3"/>
  <c r="R45" i="3"/>
  <c r="R59" i="3"/>
  <c r="R33" i="3"/>
  <c r="R38" i="3"/>
  <c r="R29" i="3"/>
  <c r="R41" i="3"/>
  <c r="R53" i="3"/>
  <c r="R39" i="3"/>
  <c r="R31" i="3"/>
  <c r="R51" i="3"/>
  <c r="R32" i="3"/>
  <c r="R37" i="3"/>
  <c r="R30" i="3"/>
  <c r="R43" i="3"/>
  <c r="R36" i="3"/>
  <c r="R27" i="3"/>
  <c r="Q60" i="3"/>
  <c r="Q56" i="3"/>
  <c r="Q59" i="3"/>
  <c r="Q54" i="3"/>
  <c r="Q52" i="3"/>
  <c r="Q42" i="3"/>
  <c r="Q34" i="3"/>
  <c r="Q28" i="3"/>
  <c r="Q57" i="3"/>
  <c r="Q53" i="3"/>
  <c r="Q38" i="3"/>
  <c r="Q27" i="3"/>
  <c r="Q51" i="3"/>
  <c r="Q41" i="3"/>
  <c r="Q45" i="3"/>
  <c r="Q44" i="3"/>
  <c r="Q50" i="3"/>
  <c r="Q58" i="3"/>
  <c r="Q55" i="3"/>
  <c r="Q61" i="3"/>
  <c r="Q49" i="3"/>
  <c r="Q37" i="3"/>
  <c r="Q39" i="3"/>
  <c r="Q29" i="3"/>
  <c r="Q43" i="3"/>
  <c r="Q36" i="3"/>
  <c r="Q30" i="3"/>
  <c r="Q40" i="3"/>
  <c r="Q31" i="3"/>
  <c r="Q32" i="3"/>
  <c r="Q35" i="3"/>
  <c r="Q33" i="3"/>
  <c r="Q11" i="3"/>
  <c r="Q4" i="3"/>
  <c r="Q10" i="3"/>
  <c r="Q12" i="3"/>
  <c r="Q19" i="3"/>
  <c r="Q22" i="3"/>
  <c r="Q5" i="3"/>
  <c r="Q9" i="3"/>
  <c r="Q17" i="3"/>
  <c r="Q13" i="3"/>
  <c r="Q8" i="3"/>
  <c r="Q7" i="3"/>
  <c r="Q15" i="3"/>
  <c r="Q21" i="3"/>
  <c r="Q14" i="3"/>
  <c r="P62" i="3"/>
  <c r="P24" i="3"/>
  <c r="P46" i="3"/>
  <c r="R13" i="3"/>
  <c r="R16" i="3"/>
  <c r="R5" i="3"/>
  <c r="R11" i="3"/>
  <c r="R14" i="3"/>
  <c r="R3" i="3"/>
  <c r="R20" i="3"/>
  <c r="R22" i="3"/>
  <c r="R17" i="3"/>
  <c r="R9" i="3"/>
  <c r="R19" i="3"/>
  <c r="R8" i="3"/>
  <c r="R6" i="3"/>
  <c r="R18" i="3"/>
  <c r="R7" i="3"/>
  <c r="R21" i="3"/>
  <c r="R12" i="3"/>
  <c r="R4" i="3"/>
  <c r="R23" i="3"/>
  <c r="R15" i="3"/>
  <c r="R10" i="3"/>
  <c r="S2" i="3"/>
  <c r="P64" i="3" l="1"/>
  <c r="S56" i="3"/>
  <c r="S52" i="3"/>
  <c r="S55" i="3"/>
  <c r="S61" i="3"/>
  <c r="S54" i="3"/>
  <c r="S57" i="3"/>
  <c r="S42" i="3"/>
  <c r="S44" i="3"/>
  <c r="S40" i="3"/>
  <c r="S35" i="3"/>
  <c r="S60" i="3"/>
  <c r="S41" i="3"/>
  <c r="S43" i="3"/>
  <c r="S58" i="3"/>
  <c r="S33" i="3"/>
  <c r="S28" i="3"/>
  <c r="S50" i="3"/>
  <c r="S29" i="3"/>
  <c r="S36" i="3"/>
  <c r="S30" i="3"/>
  <c r="S34" i="3"/>
  <c r="S53" i="3"/>
  <c r="S39" i="3"/>
  <c r="S38" i="3"/>
  <c r="S31" i="3"/>
  <c r="S51" i="3"/>
  <c r="S45" i="3"/>
  <c r="S32" i="3"/>
  <c r="S49" i="3"/>
  <c r="S27" i="3"/>
  <c r="S59" i="3"/>
  <c r="S37" i="3"/>
  <c r="Q62" i="3"/>
  <c r="Q46" i="3"/>
  <c r="Q24" i="3"/>
  <c r="S16" i="3"/>
  <c r="S5" i="3"/>
  <c r="S20" i="3"/>
  <c r="S9" i="3"/>
  <c r="S11" i="3"/>
  <c r="S14" i="3"/>
  <c r="S3" i="3"/>
  <c r="S6" i="3"/>
  <c r="S23" i="3"/>
  <c r="S19" i="3"/>
  <c r="S8" i="3"/>
  <c r="S17" i="3"/>
  <c r="S22" i="3"/>
  <c r="S15" i="3"/>
  <c r="S7" i="3"/>
  <c r="S18" i="3"/>
  <c r="S10" i="3"/>
  <c r="S13" i="3"/>
  <c r="S4" i="3"/>
  <c r="S21" i="3"/>
  <c r="S12" i="3"/>
  <c r="T2" i="3"/>
  <c r="R24" i="3"/>
  <c r="R62" i="3"/>
  <c r="R46" i="3"/>
  <c r="R64" i="3" l="1"/>
  <c r="Q64" i="3"/>
  <c r="T56" i="3"/>
  <c r="T42" i="3"/>
  <c r="T52" i="3"/>
  <c r="T38" i="3"/>
  <c r="T51" i="3"/>
  <c r="T54" i="3"/>
  <c r="T58" i="3"/>
  <c r="T44" i="3"/>
  <c r="T40" i="3"/>
  <c r="T55" i="3"/>
  <c r="T45" i="3"/>
  <c r="T34" i="3"/>
  <c r="T57" i="3"/>
  <c r="T59" i="3"/>
  <c r="T61" i="3"/>
  <c r="T50" i="3"/>
  <c r="T32" i="3"/>
  <c r="T36" i="3"/>
  <c r="T43" i="3"/>
  <c r="T30" i="3"/>
  <c r="T60" i="3"/>
  <c r="T41" i="3"/>
  <c r="T53" i="3"/>
  <c r="T39" i="3"/>
  <c r="T31" i="3"/>
  <c r="T37" i="3"/>
  <c r="T35" i="3"/>
  <c r="T29" i="3"/>
  <c r="T33" i="3"/>
  <c r="T49" i="3"/>
  <c r="T27" i="3"/>
  <c r="T28" i="3"/>
  <c r="T16" i="3"/>
  <c r="T5" i="3"/>
  <c r="T3" i="3"/>
  <c r="T12" i="3"/>
  <c r="T19" i="3"/>
  <c r="T8" i="3"/>
  <c r="T14" i="3"/>
  <c r="T17" i="3"/>
  <c r="T20" i="3"/>
  <c r="T23" i="3"/>
  <c r="T22" i="3"/>
  <c r="T11" i="3"/>
  <c r="T6" i="3"/>
  <c r="T9" i="3"/>
  <c r="T21" i="3"/>
  <c r="T10" i="3"/>
  <c r="T4" i="3"/>
  <c r="T13" i="3"/>
  <c r="T15" i="3"/>
  <c r="T7" i="3"/>
  <c r="T18" i="3"/>
  <c r="U2" i="3"/>
  <c r="S24" i="3"/>
  <c r="S62" i="3"/>
  <c r="S46" i="3"/>
  <c r="S64" i="3" l="1"/>
  <c r="U59" i="3"/>
  <c r="U57" i="3"/>
  <c r="U54" i="3"/>
  <c r="U52" i="3"/>
  <c r="U58" i="3"/>
  <c r="U51" i="3"/>
  <c r="U43" i="3"/>
  <c r="U55" i="3"/>
  <c r="U50" i="3"/>
  <c r="U34" i="3"/>
  <c r="U39" i="3"/>
  <c r="U45" i="3"/>
  <c r="U44" i="3"/>
  <c r="U61" i="3"/>
  <c r="U36" i="3"/>
  <c r="U35" i="3"/>
  <c r="U60" i="3"/>
  <c r="U41" i="3"/>
  <c r="U30" i="3"/>
  <c r="U40" i="3"/>
  <c r="U31" i="3"/>
  <c r="U38" i="3"/>
  <c r="U37" i="3"/>
  <c r="U49" i="3"/>
  <c r="U27" i="3"/>
  <c r="U33" i="3"/>
  <c r="U53" i="3"/>
  <c r="U56" i="3"/>
  <c r="U42" i="3"/>
  <c r="U28" i="3"/>
  <c r="U32" i="3"/>
  <c r="U29" i="3"/>
  <c r="T62" i="3"/>
  <c r="T46" i="3"/>
  <c r="V2" i="3"/>
  <c r="U5" i="3"/>
  <c r="U15" i="3"/>
  <c r="U4" i="3"/>
  <c r="U14" i="3"/>
  <c r="U8" i="3"/>
  <c r="U16" i="3"/>
  <c r="U17" i="3"/>
  <c r="U6" i="3"/>
  <c r="U10" i="3"/>
  <c r="U3" i="3"/>
  <c r="U19" i="3"/>
  <c r="U21" i="3"/>
  <c r="U23" i="3"/>
  <c r="U12" i="3"/>
  <c r="U20" i="3"/>
  <c r="U9" i="3"/>
  <c r="U22" i="3"/>
  <c r="U11" i="3"/>
  <c r="U13" i="3"/>
  <c r="U18" i="3"/>
  <c r="U7" i="3"/>
  <c r="T24" i="3"/>
  <c r="T64" i="3" l="1"/>
  <c r="V52" i="3"/>
  <c r="V38" i="3"/>
  <c r="V59" i="3"/>
  <c r="V45" i="3"/>
  <c r="V34" i="3"/>
  <c r="V58" i="3"/>
  <c r="V61" i="3"/>
  <c r="V30" i="3"/>
  <c r="V53" i="3"/>
  <c r="V49" i="3"/>
  <c r="V27" i="3"/>
  <c r="V60" i="3"/>
  <c r="V41" i="3"/>
  <c r="V55" i="3"/>
  <c r="V39" i="3"/>
  <c r="V57" i="3"/>
  <c r="V31" i="3"/>
  <c r="V56" i="3"/>
  <c r="V44" i="3"/>
  <c r="V32" i="3"/>
  <c r="V50" i="3"/>
  <c r="V35" i="3"/>
  <c r="V37" i="3"/>
  <c r="V42" i="3"/>
  <c r="V43" i="3"/>
  <c r="V36" i="3"/>
  <c r="V51" i="3"/>
  <c r="V54" i="3"/>
  <c r="V33" i="3"/>
  <c r="V40" i="3"/>
  <c r="V28" i="3"/>
  <c r="V29" i="3"/>
  <c r="U62" i="3"/>
  <c r="U46" i="3"/>
  <c r="U24" i="3"/>
  <c r="W2" i="3"/>
  <c r="V15" i="3"/>
  <c r="V4" i="3"/>
  <c r="V16" i="3"/>
  <c r="V17" i="3"/>
  <c r="V6" i="3"/>
  <c r="V21" i="3"/>
  <c r="V10" i="3"/>
  <c r="V23" i="3"/>
  <c r="V5" i="3"/>
  <c r="V12" i="3"/>
  <c r="V3" i="3"/>
  <c r="V19" i="3"/>
  <c r="V8" i="3"/>
  <c r="V14" i="3"/>
  <c r="V22" i="3"/>
  <c r="V11" i="3"/>
  <c r="V20" i="3"/>
  <c r="V18" i="3"/>
  <c r="V13" i="3"/>
  <c r="V9" i="3"/>
  <c r="V7" i="3"/>
  <c r="U64" i="3" l="1"/>
  <c r="W59" i="3"/>
  <c r="W55" i="3"/>
  <c r="W58" i="3"/>
  <c r="W52" i="3"/>
  <c r="W57" i="3"/>
  <c r="W53" i="3"/>
  <c r="W49" i="3"/>
  <c r="W27" i="3"/>
  <c r="W45" i="3"/>
  <c r="W39" i="3"/>
  <c r="W34" i="3"/>
  <c r="W31" i="3"/>
  <c r="W29" i="3"/>
  <c r="W56" i="3"/>
  <c r="W60" i="3"/>
  <c r="W32" i="3"/>
  <c r="W61" i="3"/>
  <c r="W50" i="3"/>
  <c r="W36" i="3"/>
  <c r="W37" i="3"/>
  <c r="W41" i="3"/>
  <c r="W30" i="3"/>
  <c r="W40" i="3"/>
  <c r="W43" i="3"/>
  <c r="W42" i="3"/>
  <c r="W38" i="3"/>
  <c r="W51" i="3"/>
  <c r="W44" i="3"/>
  <c r="W35" i="3"/>
  <c r="W54" i="3"/>
  <c r="W33" i="3"/>
  <c r="W28" i="3"/>
  <c r="V46" i="3"/>
  <c r="V62" i="3"/>
  <c r="X2" i="3"/>
  <c r="W6" i="3"/>
  <c r="W23" i="3"/>
  <c r="W17" i="3"/>
  <c r="W16" i="3"/>
  <c r="W5" i="3"/>
  <c r="W7" i="3"/>
  <c r="W14" i="3"/>
  <c r="W19" i="3"/>
  <c r="W8" i="3"/>
  <c r="W10" i="3"/>
  <c r="W21" i="3"/>
  <c r="W12" i="3"/>
  <c r="W3" i="3"/>
  <c r="W18" i="3"/>
  <c r="W22" i="3"/>
  <c r="W11" i="3"/>
  <c r="W15" i="3"/>
  <c r="W20" i="3"/>
  <c r="W9" i="3"/>
  <c r="W13" i="3"/>
  <c r="W4" i="3"/>
  <c r="V24" i="3"/>
  <c r="V64" i="3" l="1"/>
  <c r="X59" i="3"/>
  <c r="X45" i="3"/>
  <c r="X34" i="3"/>
  <c r="X55" i="3"/>
  <c r="X41" i="3"/>
  <c r="X54" i="3"/>
  <c r="X57" i="3"/>
  <c r="X60" i="3"/>
  <c r="X52" i="3"/>
  <c r="X58" i="3"/>
  <c r="X33" i="3"/>
  <c r="X53" i="3"/>
  <c r="X49" i="3"/>
  <c r="X27" i="3"/>
  <c r="X38" i="3"/>
  <c r="X35" i="3"/>
  <c r="X43" i="3"/>
  <c r="X39" i="3"/>
  <c r="X50" i="3"/>
  <c r="X56" i="3"/>
  <c r="X31" i="3"/>
  <c r="X29" i="3"/>
  <c r="X40" i="3"/>
  <c r="X61" i="3"/>
  <c r="X36" i="3"/>
  <c r="X42" i="3"/>
  <c r="X30" i="3"/>
  <c r="X51" i="3"/>
  <c r="X44" i="3"/>
  <c r="X37" i="3"/>
  <c r="X28" i="3"/>
  <c r="X32" i="3"/>
  <c r="W62" i="3"/>
  <c r="W46" i="3"/>
  <c r="W24" i="3"/>
  <c r="Y2" i="3"/>
  <c r="X17" i="3"/>
  <c r="X6" i="3"/>
  <c r="X19" i="3"/>
  <c r="X8" i="3"/>
  <c r="X14" i="3"/>
  <c r="X7" i="3"/>
  <c r="X23" i="3"/>
  <c r="X12" i="3"/>
  <c r="X3" i="3"/>
  <c r="X16" i="3"/>
  <c r="X18" i="3"/>
  <c r="X21" i="3"/>
  <c r="X10" i="3"/>
  <c r="X5" i="3"/>
  <c r="X13" i="3"/>
  <c r="X15" i="3"/>
  <c r="X22" i="3"/>
  <c r="X20" i="3"/>
  <c r="X4" i="3"/>
  <c r="X11" i="3"/>
  <c r="X9" i="3"/>
  <c r="W64" i="3" l="1"/>
  <c r="Y55" i="3"/>
  <c r="Y51" i="3"/>
  <c r="Y54" i="3"/>
  <c r="Y60" i="3"/>
  <c r="Y58" i="3"/>
  <c r="Y57" i="3"/>
  <c r="Y59" i="3"/>
  <c r="Y38" i="3"/>
  <c r="Y35" i="3"/>
  <c r="Y36" i="3"/>
  <c r="Y50" i="3"/>
  <c r="Y29" i="3"/>
  <c r="Y40" i="3"/>
  <c r="Y45" i="3"/>
  <c r="Y33" i="3"/>
  <c r="Y56" i="3"/>
  <c r="Y61" i="3"/>
  <c r="Y37" i="3"/>
  <c r="Y34" i="3"/>
  <c r="Y41" i="3"/>
  <c r="Y31" i="3"/>
  <c r="Y27" i="3"/>
  <c r="Y49" i="3"/>
  <c r="Y42" i="3"/>
  <c r="Y53" i="3"/>
  <c r="Y43" i="3"/>
  <c r="Y44" i="3"/>
  <c r="Y32" i="3"/>
  <c r="Y39" i="3"/>
  <c r="Y30" i="3"/>
  <c r="Y52" i="3"/>
  <c r="Y28" i="3"/>
  <c r="X62" i="3"/>
  <c r="X46" i="3"/>
  <c r="Z2" i="3"/>
  <c r="Y14" i="3"/>
  <c r="Y7" i="3"/>
  <c r="Y19" i="3"/>
  <c r="Y8" i="3"/>
  <c r="Y18" i="3"/>
  <c r="Y20" i="3"/>
  <c r="Y9" i="3"/>
  <c r="Y21" i="3"/>
  <c r="Y10" i="3"/>
  <c r="Y16" i="3"/>
  <c r="Y23" i="3"/>
  <c r="Y12" i="3"/>
  <c r="Y3" i="3"/>
  <c r="Y5" i="3"/>
  <c r="Y13" i="3"/>
  <c r="Y22" i="3"/>
  <c r="Y6" i="3"/>
  <c r="Y11" i="3"/>
  <c r="Y17" i="3"/>
  <c r="Y15" i="3"/>
  <c r="Y4" i="3"/>
  <c r="X24" i="3"/>
  <c r="X64" i="3" l="1"/>
  <c r="Z55" i="3"/>
  <c r="Z41" i="3"/>
  <c r="Z51" i="3"/>
  <c r="Z37" i="3"/>
  <c r="Z61" i="3"/>
  <c r="Z58" i="3"/>
  <c r="Z33" i="3"/>
  <c r="Z57" i="3"/>
  <c r="Z59" i="3"/>
  <c r="Z36" i="3"/>
  <c r="Z35" i="3"/>
  <c r="Z34" i="3"/>
  <c r="Z60" i="3"/>
  <c r="Z38" i="3"/>
  <c r="Z52" i="3"/>
  <c r="Z50" i="3"/>
  <c r="Z40" i="3"/>
  <c r="Z45" i="3"/>
  <c r="Z56" i="3"/>
  <c r="Z49" i="3"/>
  <c r="Z53" i="3"/>
  <c r="Z43" i="3"/>
  <c r="Z39" i="3"/>
  <c r="Z42" i="3"/>
  <c r="Z31" i="3"/>
  <c r="Z32" i="3"/>
  <c r="Z54" i="3"/>
  <c r="Z28" i="3"/>
  <c r="Z27" i="3"/>
  <c r="Z30" i="3"/>
  <c r="Z29" i="3"/>
  <c r="Z44" i="3"/>
  <c r="Y62" i="3"/>
  <c r="Y46" i="3"/>
  <c r="AA2" i="3"/>
  <c r="Z19" i="3"/>
  <c r="Z8" i="3"/>
  <c r="Z18" i="3"/>
  <c r="Z21" i="3"/>
  <c r="Z10" i="3"/>
  <c r="Z14" i="3"/>
  <c r="Z3" i="3"/>
  <c r="Z5" i="3"/>
  <c r="Z7" i="3"/>
  <c r="Z23" i="3"/>
  <c r="Z12" i="3"/>
  <c r="Z16" i="3"/>
  <c r="Z20" i="3"/>
  <c r="Z9" i="3"/>
  <c r="Z15" i="3"/>
  <c r="Z4" i="3"/>
  <c r="Z22" i="3"/>
  <c r="Z6" i="3"/>
  <c r="Z17" i="3"/>
  <c r="Z13" i="3"/>
  <c r="Z11" i="3"/>
  <c r="Y24" i="3"/>
  <c r="Y64" i="3" l="1"/>
  <c r="AA58" i="3"/>
  <c r="AA61" i="3"/>
  <c r="AA57" i="3"/>
  <c r="AA59" i="3"/>
  <c r="AA60" i="3"/>
  <c r="AA37" i="3"/>
  <c r="AA35" i="3"/>
  <c r="AA52" i="3"/>
  <c r="AA45" i="3"/>
  <c r="AA39" i="3"/>
  <c r="AA32" i="3"/>
  <c r="AA31" i="3"/>
  <c r="AA56" i="3"/>
  <c r="AA33" i="3"/>
  <c r="AA38" i="3"/>
  <c r="AA55" i="3"/>
  <c r="AA50" i="3"/>
  <c r="AA34" i="3"/>
  <c r="AA27" i="3"/>
  <c r="AA41" i="3"/>
  <c r="AA49" i="3"/>
  <c r="AA30" i="3"/>
  <c r="AA43" i="3"/>
  <c r="AA53" i="3"/>
  <c r="AA51" i="3"/>
  <c r="AA42" i="3"/>
  <c r="AA36" i="3"/>
  <c r="AA40" i="3"/>
  <c r="AA44" i="3"/>
  <c r="AA54" i="3"/>
  <c r="AA29" i="3"/>
  <c r="AA28" i="3"/>
  <c r="Z46" i="3"/>
  <c r="Z62" i="3"/>
  <c r="AB2" i="3"/>
  <c r="AA5" i="3"/>
  <c r="AA20" i="3"/>
  <c r="AA22" i="3"/>
  <c r="AA21" i="3"/>
  <c r="AA10" i="3"/>
  <c r="AA16" i="3"/>
  <c r="AA9" i="3"/>
  <c r="AA11" i="3"/>
  <c r="AA23" i="3"/>
  <c r="AA12" i="3"/>
  <c r="AA14" i="3"/>
  <c r="AA3" i="3"/>
  <c r="AA18" i="3"/>
  <c r="AA7" i="3"/>
  <c r="AA15" i="3"/>
  <c r="AA4" i="3"/>
  <c r="AA6" i="3"/>
  <c r="AA13" i="3"/>
  <c r="AA8" i="3"/>
  <c r="AA19" i="3"/>
  <c r="AA17" i="3"/>
  <c r="Z24" i="3"/>
  <c r="Z64" i="3" l="1"/>
  <c r="AB51" i="3"/>
  <c r="AB37" i="3"/>
  <c r="AB58" i="3"/>
  <c r="AB44" i="3"/>
  <c r="AB33" i="3"/>
  <c r="AB57" i="3"/>
  <c r="AB60" i="3"/>
  <c r="AB59" i="3"/>
  <c r="AB36" i="3"/>
  <c r="AB35" i="3"/>
  <c r="AB34" i="3"/>
  <c r="AB29" i="3"/>
  <c r="AB40" i="3"/>
  <c r="AB39" i="3"/>
  <c r="AB38" i="3"/>
  <c r="AB61" i="3"/>
  <c r="AB53" i="3"/>
  <c r="AB52" i="3"/>
  <c r="AB54" i="3"/>
  <c r="AB30" i="3"/>
  <c r="AB56" i="3"/>
  <c r="AB45" i="3"/>
  <c r="AB41" i="3"/>
  <c r="AB27" i="3"/>
  <c r="AB55" i="3"/>
  <c r="AB31" i="3"/>
  <c r="AB49" i="3"/>
  <c r="AB43" i="3"/>
  <c r="AB50" i="3"/>
  <c r="AB32" i="3"/>
  <c r="AB28" i="3"/>
  <c r="AB42" i="3"/>
  <c r="AA62" i="3"/>
  <c r="AA46" i="3"/>
  <c r="AA24" i="3"/>
  <c r="AC2" i="3"/>
  <c r="AB21" i="3"/>
  <c r="AB10" i="3"/>
  <c r="AB18" i="3"/>
  <c r="AB23" i="3"/>
  <c r="AB12" i="3"/>
  <c r="AB20" i="3"/>
  <c r="AB22" i="3"/>
  <c r="AB11" i="3"/>
  <c r="AB16" i="3"/>
  <c r="AB7" i="3"/>
  <c r="AB9" i="3"/>
  <c r="AB14" i="3"/>
  <c r="AB3" i="3"/>
  <c r="AB5" i="3"/>
  <c r="AB17" i="3"/>
  <c r="AB6" i="3"/>
  <c r="AB13" i="3"/>
  <c r="AB4" i="3"/>
  <c r="AB8" i="3"/>
  <c r="AB15" i="3"/>
  <c r="AB19" i="3"/>
  <c r="AA64" i="3" l="1"/>
  <c r="AC58" i="3"/>
  <c r="AC54" i="3"/>
  <c r="AC57" i="3"/>
  <c r="AC59" i="3"/>
  <c r="AC60" i="3"/>
  <c r="AC61" i="3"/>
  <c r="AC53" i="3"/>
  <c r="AC51" i="3"/>
  <c r="AC43" i="3"/>
  <c r="AC41" i="3"/>
  <c r="AC55" i="3"/>
  <c r="AC50" i="3"/>
  <c r="AC56" i="3"/>
  <c r="AC33" i="3"/>
  <c r="AC38" i="3"/>
  <c r="AC42" i="3"/>
  <c r="AC37" i="3"/>
  <c r="AC31" i="3"/>
  <c r="AC49" i="3"/>
  <c r="AC35" i="3"/>
  <c r="AC39" i="3"/>
  <c r="AC29" i="3"/>
  <c r="AC44" i="3"/>
  <c r="AC40" i="3"/>
  <c r="AC36" i="3"/>
  <c r="AC32" i="3"/>
  <c r="AC45" i="3"/>
  <c r="AC27" i="3"/>
  <c r="AC52" i="3"/>
  <c r="AC30" i="3"/>
  <c r="AC28" i="3"/>
  <c r="AC34" i="3"/>
  <c r="AB46" i="3"/>
  <c r="AB62" i="3"/>
  <c r="AD2" i="3"/>
  <c r="AC23" i="3"/>
  <c r="AC12" i="3"/>
  <c r="AC22" i="3"/>
  <c r="AC7" i="3"/>
  <c r="AC13" i="3"/>
  <c r="AC14" i="3"/>
  <c r="AC3" i="3"/>
  <c r="AC18" i="3"/>
  <c r="AC16" i="3"/>
  <c r="AC5" i="3"/>
  <c r="AC20" i="3"/>
  <c r="AC9" i="3"/>
  <c r="AC11" i="3"/>
  <c r="AC17" i="3"/>
  <c r="AC6" i="3"/>
  <c r="AC10" i="3"/>
  <c r="AC21" i="3"/>
  <c r="AC4" i="3"/>
  <c r="AC19" i="3"/>
  <c r="AC8" i="3"/>
  <c r="AC15" i="3"/>
  <c r="AB24" i="3"/>
  <c r="AB64" i="3" l="1"/>
  <c r="AE2" i="3"/>
  <c r="AD58" i="3"/>
  <c r="AD44" i="3"/>
  <c r="AD33" i="3"/>
  <c r="AD54" i="3"/>
  <c r="AD40" i="3"/>
  <c r="AD53" i="3"/>
  <c r="AD56" i="3"/>
  <c r="AD59" i="3"/>
  <c r="AD57" i="3"/>
  <c r="AD60" i="3"/>
  <c r="AD39" i="3"/>
  <c r="AD38" i="3"/>
  <c r="AD37" i="3"/>
  <c r="AD61" i="3"/>
  <c r="AD43" i="3"/>
  <c r="AD42" i="3"/>
  <c r="AD41" i="3"/>
  <c r="AD32" i="3"/>
  <c r="AD51" i="3"/>
  <c r="AD27" i="3"/>
  <c r="AD55" i="3"/>
  <c r="AD49" i="3"/>
  <c r="AD35" i="3"/>
  <c r="AD30" i="3"/>
  <c r="AD50" i="3"/>
  <c r="AD34" i="3"/>
  <c r="AD45" i="3"/>
  <c r="AD28" i="3"/>
  <c r="AD36" i="3"/>
  <c r="AD31" i="3"/>
  <c r="AD52" i="3"/>
  <c r="AD29" i="3"/>
  <c r="AC46" i="3"/>
  <c r="AC62" i="3"/>
  <c r="AC24" i="3"/>
  <c r="AD23" i="3"/>
  <c r="AD12" i="3"/>
  <c r="AD11" i="3"/>
  <c r="AD13" i="3"/>
  <c r="AD14" i="3"/>
  <c r="AD3" i="3"/>
  <c r="AD9" i="3"/>
  <c r="AD7" i="3"/>
  <c r="AD20" i="3"/>
  <c r="AD16" i="3"/>
  <c r="AD5" i="3"/>
  <c r="AD18" i="3"/>
  <c r="AD22" i="3"/>
  <c r="AD19" i="3"/>
  <c r="AD8" i="3"/>
  <c r="AD6" i="3"/>
  <c r="AD17" i="3"/>
  <c r="AD10" i="3"/>
  <c r="AD15" i="3"/>
  <c r="AD21" i="3"/>
  <c r="AD4" i="3"/>
  <c r="AC64" i="3" l="1"/>
  <c r="AF2" i="3"/>
  <c r="AE54" i="3"/>
  <c r="AE61" i="3"/>
  <c r="AE53" i="3"/>
  <c r="AE59" i="3"/>
  <c r="AE60" i="3"/>
  <c r="AE39" i="3"/>
  <c r="AE38" i="3"/>
  <c r="AE37" i="3"/>
  <c r="AE40" i="3"/>
  <c r="AE43" i="3"/>
  <c r="AE42" i="3"/>
  <c r="AE41" i="3"/>
  <c r="AE56" i="3"/>
  <c r="AE51" i="3"/>
  <c r="AE17" i="3"/>
  <c r="AE6" i="3"/>
  <c r="AE58" i="3"/>
  <c r="AE33" i="3"/>
  <c r="AE29" i="3"/>
  <c r="AE21" i="3"/>
  <c r="AE49" i="3"/>
  <c r="AE57" i="3"/>
  <c r="AE55" i="3"/>
  <c r="AE30" i="3"/>
  <c r="AE9" i="3"/>
  <c r="AE19" i="3"/>
  <c r="AE45" i="3"/>
  <c r="AE23" i="3"/>
  <c r="AE44" i="3"/>
  <c r="AE52" i="3"/>
  <c r="AE5" i="3"/>
  <c r="AE14" i="3"/>
  <c r="AE31" i="3"/>
  <c r="AE34" i="3"/>
  <c r="AE32" i="3"/>
  <c r="AE12" i="3"/>
  <c r="AE28" i="3"/>
  <c r="AE20" i="3"/>
  <c r="AE15" i="3"/>
  <c r="AE3" i="3"/>
  <c r="AE35" i="3"/>
  <c r="AE18" i="3"/>
  <c r="AE10" i="3"/>
  <c r="AE50" i="3"/>
  <c r="AE36" i="3"/>
  <c r="AE27" i="3"/>
  <c r="AE11" i="3"/>
  <c r="AE4" i="3"/>
  <c r="AE7" i="3"/>
  <c r="AE8" i="3"/>
  <c r="AE16" i="3"/>
  <c r="AE22" i="3"/>
  <c r="AE13" i="3"/>
  <c r="AD24" i="3"/>
  <c r="AD46" i="3"/>
  <c r="AD62" i="3"/>
  <c r="AD64" i="3" l="1"/>
  <c r="AE62" i="3"/>
  <c r="AG2" i="3"/>
  <c r="AF54" i="3"/>
  <c r="AF40" i="3"/>
  <c r="AF61" i="3"/>
  <c r="AF50" i="3"/>
  <c r="AF36" i="3"/>
  <c r="AF60" i="3"/>
  <c r="AF43" i="3"/>
  <c r="AF42" i="3"/>
  <c r="AF41" i="3"/>
  <c r="AF32" i="3"/>
  <c r="AF53" i="3"/>
  <c r="AF56" i="3"/>
  <c r="AF49" i="3"/>
  <c r="AF45" i="3"/>
  <c r="AF44" i="3"/>
  <c r="AF17" i="3"/>
  <c r="AF6" i="3"/>
  <c r="AF31" i="3"/>
  <c r="AF22" i="3"/>
  <c r="AF57" i="3"/>
  <c r="AF38" i="3"/>
  <c r="AF27" i="3"/>
  <c r="AF58" i="3"/>
  <c r="AF37" i="3"/>
  <c r="AF20" i="3"/>
  <c r="AF19" i="3"/>
  <c r="AF18" i="3"/>
  <c r="AF55" i="3"/>
  <c r="AF59" i="3"/>
  <c r="AF51" i="3"/>
  <c r="AF10" i="3"/>
  <c r="AF11" i="3"/>
  <c r="AF28" i="3"/>
  <c r="AF52" i="3"/>
  <c r="AF34" i="3"/>
  <c r="AF21" i="3"/>
  <c r="AF14" i="3"/>
  <c r="AF39" i="3"/>
  <c r="AF9" i="3"/>
  <c r="AF15" i="3"/>
  <c r="AF3" i="3"/>
  <c r="AF33" i="3"/>
  <c r="AF29" i="3"/>
  <c r="AF13" i="3"/>
  <c r="AF4" i="3"/>
  <c r="AF16" i="3"/>
  <c r="AF35" i="3"/>
  <c r="AF30" i="3"/>
  <c r="AF23" i="3"/>
  <c r="AF7" i="3"/>
  <c r="AF5" i="3"/>
  <c r="AF12" i="3"/>
  <c r="AF8" i="3"/>
  <c r="AE24" i="3"/>
  <c r="AE46" i="3"/>
  <c r="AE64" i="3" l="1"/>
  <c r="AF46" i="3"/>
  <c r="AF24" i="3"/>
  <c r="AF62" i="3"/>
  <c r="AH2" i="3"/>
  <c r="AG61" i="3"/>
  <c r="AG57" i="3"/>
  <c r="AG60" i="3"/>
  <c r="AG43" i="3"/>
  <c r="AG42" i="3"/>
  <c r="AG41" i="3"/>
  <c r="AG40" i="3"/>
  <c r="AG53" i="3"/>
  <c r="AG56" i="3"/>
  <c r="AG49" i="3"/>
  <c r="AG45" i="3"/>
  <c r="AG44" i="3"/>
  <c r="AG50" i="3"/>
  <c r="AG54" i="3"/>
  <c r="AG31" i="3"/>
  <c r="AG22" i="3"/>
  <c r="AG11" i="3"/>
  <c r="AG36" i="3"/>
  <c r="AG30" i="3"/>
  <c r="AG58" i="3"/>
  <c r="AG28" i="3"/>
  <c r="AG37" i="3"/>
  <c r="AG55" i="3"/>
  <c r="AG59" i="3"/>
  <c r="AG19" i="3"/>
  <c r="AG10" i="3"/>
  <c r="AG52" i="3"/>
  <c r="AG51" i="3"/>
  <c r="AG34" i="3"/>
  <c r="AG21" i="3"/>
  <c r="AG14" i="3"/>
  <c r="AG39" i="3"/>
  <c r="AG38" i="3"/>
  <c r="AG32" i="3"/>
  <c r="AG9" i="3"/>
  <c r="AG12" i="3"/>
  <c r="AG6" i="3"/>
  <c r="AG15" i="3"/>
  <c r="AG3" i="3"/>
  <c r="AG20" i="3"/>
  <c r="AG23" i="3"/>
  <c r="AG33" i="3"/>
  <c r="AG29" i="3"/>
  <c r="AG18" i="3"/>
  <c r="AG4" i="3"/>
  <c r="AG5" i="3"/>
  <c r="AG7" i="3"/>
  <c r="AG27" i="3"/>
  <c r="AG16" i="3"/>
  <c r="AG8" i="3"/>
  <c r="AG17" i="3"/>
  <c r="AG35" i="3"/>
  <c r="AG13" i="3"/>
  <c r="AF64" i="3" l="1"/>
  <c r="AG24" i="3"/>
  <c r="AG62" i="3"/>
  <c r="AI2" i="3"/>
  <c r="AH61" i="3"/>
  <c r="AH50" i="3"/>
  <c r="AH36" i="3"/>
  <c r="AH57" i="3"/>
  <c r="AH43" i="3"/>
  <c r="AH56" i="3"/>
  <c r="AH59" i="3"/>
  <c r="AH53" i="3"/>
  <c r="AH49" i="3"/>
  <c r="AH45" i="3"/>
  <c r="AH44" i="3"/>
  <c r="AH28" i="3"/>
  <c r="AH54" i="3"/>
  <c r="AH31" i="3"/>
  <c r="AH22" i="3"/>
  <c r="AH11" i="3"/>
  <c r="AH41" i="3"/>
  <c r="AH30" i="3"/>
  <c r="AH55" i="3"/>
  <c r="AH32" i="3"/>
  <c r="AH60" i="3"/>
  <c r="AH42" i="3"/>
  <c r="AH37" i="3"/>
  <c r="AH20" i="3"/>
  <c r="AH19" i="3"/>
  <c r="AH58" i="3"/>
  <c r="AH51" i="3"/>
  <c r="AH38" i="3"/>
  <c r="AH21" i="3"/>
  <c r="AH40" i="3"/>
  <c r="AH39" i="3"/>
  <c r="AH17" i="3"/>
  <c r="AH12" i="3"/>
  <c r="AH6" i="3"/>
  <c r="AH23" i="3"/>
  <c r="AH35" i="3"/>
  <c r="AH27" i="3"/>
  <c r="AH29" i="3"/>
  <c r="AH13" i="3"/>
  <c r="AH52" i="3"/>
  <c r="AH16" i="3"/>
  <c r="AH14" i="3"/>
  <c r="AH33" i="3"/>
  <c r="AH10" i="3"/>
  <c r="AH18" i="3"/>
  <c r="AH4" i="3"/>
  <c r="AH7" i="3"/>
  <c r="AH3" i="3"/>
  <c r="AH15" i="3"/>
  <c r="AH5" i="3"/>
  <c r="AH34" i="3"/>
  <c r="AH8" i="3"/>
  <c r="AH9" i="3"/>
  <c r="AG46" i="3"/>
  <c r="AG64" i="3" l="1"/>
  <c r="AH62" i="3"/>
  <c r="AH24" i="3"/>
  <c r="AJ2" i="3"/>
  <c r="AI57" i="3"/>
  <c r="AI53" i="3"/>
  <c r="AI56" i="3"/>
  <c r="AI49" i="3"/>
  <c r="AI45" i="3"/>
  <c r="AI44" i="3"/>
  <c r="AI61" i="3"/>
  <c r="AI50" i="3"/>
  <c r="AI41" i="3"/>
  <c r="AI30" i="3"/>
  <c r="AI55" i="3"/>
  <c r="AI43" i="3"/>
  <c r="AI36" i="3"/>
  <c r="AI32" i="3"/>
  <c r="AI16" i="3"/>
  <c r="AI5" i="3"/>
  <c r="AI39" i="3"/>
  <c r="AI20" i="3"/>
  <c r="AI40" i="3"/>
  <c r="AI59" i="3"/>
  <c r="AI52" i="3"/>
  <c r="AI58" i="3"/>
  <c r="AI51" i="3"/>
  <c r="AI21" i="3"/>
  <c r="AI60" i="3"/>
  <c r="AI38" i="3"/>
  <c r="AI17" i="3"/>
  <c r="AI9" i="3"/>
  <c r="AI31" i="3"/>
  <c r="AI15" i="3"/>
  <c r="AI3" i="3"/>
  <c r="AI23" i="3"/>
  <c r="AI35" i="3"/>
  <c r="AI28" i="3"/>
  <c r="AI27" i="3"/>
  <c r="AI18" i="3"/>
  <c r="AI7" i="3"/>
  <c r="AI22" i="3"/>
  <c r="AI8" i="3"/>
  <c r="AI54" i="3"/>
  <c r="AI33" i="3"/>
  <c r="AI10" i="3"/>
  <c r="AI14" i="3"/>
  <c r="AI4" i="3"/>
  <c r="AI6" i="3"/>
  <c r="AI11" i="3"/>
  <c r="AI34" i="3"/>
  <c r="AI19" i="3"/>
  <c r="AI12" i="3"/>
  <c r="AI42" i="3"/>
  <c r="AI29" i="3"/>
  <c r="AI37" i="3"/>
  <c r="AI13" i="3"/>
  <c r="AH46" i="3"/>
  <c r="AH64" i="3" l="1"/>
  <c r="AI24" i="3"/>
  <c r="AI62" i="3"/>
  <c r="AK2" i="3"/>
  <c r="AJ57" i="3"/>
  <c r="AJ43" i="3"/>
  <c r="AJ53" i="3"/>
  <c r="AJ39" i="3"/>
  <c r="AJ52" i="3"/>
  <c r="AJ55" i="3"/>
  <c r="AJ58" i="3"/>
  <c r="AJ61" i="3"/>
  <c r="AJ56" i="3"/>
  <c r="AJ50" i="3"/>
  <c r="AJ31" i="3"/>
  <c r="AJ36" i="3"/>
  <c r="AJ32" i="3"/>
  <c r="AJ16" i="3"/>
  <c r="AJ5" i="3"/>
  <c r="AJ21" i="3"/>
  <c r="AJ45" i="3"/>
  <c r="AJ33" i="3"/>
  <c r="AJ29" i="3"/>
  <c r="AJ37" i="3"/>
  <c r="AJ42" i="3"/>
  <c r="AJ44" i="3"/>
  <c r="AJ51" i="3"/>
  <c r="AJ41" i="3"/>
  <c r="AJ59" i="3"/>
  <c r="AJ60" i="3"/>
  <c r="AJ49" i="3"/>
  <c r="AJ11" i="3"/>
  <c r="AJ38" i="3"/>
  <c r="AJ20" i="3"/>
  <c r="AJ12" i="3"/>
  <c r="AJ54" i="3"/>
  <c r="AJ6" i="3"/>
  <c r="AJ40" i="3"/>
  <c r="AJ17" i="3"/>
  <c r="AJ9" i="3"/>
  <c r="AJ15" i="3"/>
  <c r="AJ23" i="3"/>
  <c r="AJ35" i="3"/>
  <c r="AJ28" i="3"/>
  <c r="AJ27" i="3"/>
  <c r="AJ18" i="3"/>
  <c r="AJ7" i="3"/>
  <c r="AJ10" i="3"/>
  <c r="AJ30" i="3"/>
  <c r="AJ14" i="3"/>
  <c r="AJ4" i="3"/>
  <c r="AJ3" i="3"/>
  <c r="AJ34" i="3"/>
  <c r="AJ19" i="3"/>
  <c r="AJ8" i="3"/>
  <c r="AJ22" i="3"/>
  <c r="AJ13" i="3"/>
  <c r="AI46" i="3"/>
  <c r="AI64" i="3" l="1"/>
  <c r="AJ46" i="3"/>
  <c r="AJ62" i="3"/>
  <c r="AL2" i="3"/>
  <c r="AK53" i="3"/>
  <c r="AK60" i="3"/>
  <c r="AK58" i="3"/>
  <c r="AK56" i="3"/>
  <c r="AK50" i="3"/>
  <c r="AK51" i="3"/>
  <c r="AK55" i="3"/>
  <c r="AK43" i="3"/>
  <c r="AK45" i="3"/>
  <c r="AK39" i="3"/>
  <c r="AK33" i="3"/>
  <c r="AK29" i="3"/>
  <c r="AK21" i="3"/>
  <c r="AK10" i="3"/>
  <c r="AK34" i="3"/>
  <c r="AK40" i="3"/>
  <c r="AK61" i="3"/>
  <c r="AK41" i="3"/>
  <c r="AK59" i="3"/>
  <c r="AK30" i="3"/>
  <c r="AK49" i="3"/>
  <c r="AK42" i="3"/>
  <c r="AK54" i="3"/>
  <c r="AK11" i="3"/>
  <c r="AK38" i="3"/>
  <c r="AK23" i="3"/>
  <c r="AK57" i="3"/>
  <c r="AK17" i="3"/>
  <c r="AK12" i="3"/>
  <c r="AK31" i="3"/>
  <c r="AK9" i="3"/>
  <c r="AK6" i="3"/>
  <c r="AK44" i="3"/>
  <c r="AK35" i="3"/>
  <c r="AK28" i="3"/>
  <c r="AK27" i="3"/>
  <c r="AK20" i="3"/>
  <c r="AK18" i="3"/>
  <c r="AK7" i="3"/>
  <c r="AK13" i="3"/>
  <c r="AK4" i="3"/>
  <c r="AK52" i="3"/>
  <c r="AK22" i="3"/>
  <c r="AK8" i="3"/>
  <c r="AK14" i="3"/>
  <c r="AK3" i="3"/>
  <c r="AK15" i="3"/>
  <c r="AK5" i="3"/>
  <c r="AK36" i="3"/>
  <c r="AK19" i="3"/>
  <c r="AK16" i="3"/>
  <c r="AK37" i="3"/>
  <c r="AK32" i="3"/>
  <c r="AJ24" i="3"/>
  <c r="AJ64" i="3" l="1"/>
  <c r="AK46" i="3"/>
  <c r="AK62" i="3"/>
  <c r="AK24" i="3"/>
  <c r="AM2" i="3"/>
  <c r="AL53" i="3"/>
  <c r="AL39" i="3"/>
  <c r="AL60" i="3"/>
  <c r="AL49" i="3"/>
  <c r="AL35" i="3"/>
  <c r="AL59" i="3"/>
  <c r="AL31" i="3"/>
  <c r="AL51" i="3"/>
  <c r="AL55" i="3"/>
  <c r="AL45" i="3"/>
  <c r="AL33" i="3"/>
  <c r="AL29" i="3"/>
  <c r="AL21" i="3"/>
  <c r="AL10" i="3"/>
  <c r="AL58" i="3"/>
  <c r="AL44" i="3"/>
  <c r="AL56" i="3"/>
  <c r="AL30" i="3"/>
  <c r="AL42" i="3"/>
  <c r="AL28" i="3"/>
  <c r="AL54" i="3"/>
  <c r="AL61" i="3"/>
  <c r="AL38" i="3"/>
  <c r="AL41" i="3"/>
  <c r="AL20" i="3"/>
  <c r="AL12" i="3"/>
  <c r="AL43" i="3"/>
  <c r="AL13" i="3"/>
  <c r="AL40" i="3"/>
  <c r="AL9" i="3"/>
  <c r="AL15" i="3"/>
  <c r="AL6" i="3"/>
  <c r="AL32" i="3"/>
  <c r="AL3" i="3"/>
  <c r="AL27" i="3"/>
  <c r="AL23" i="3"/>
  <c r="AL57" i="3"/>
  <c r="AL4" i="3"/>
  <c r="AL37" i="3"/>
  <c r="AL52" i="3"/>
  <c r="AL16" i="3"/>
  <c r="AL14" i="3"/>
  <c r="AL34" i="3"/>
  <c r="AL19" i="3"/>
  <c r="AL8" i="3"/>
  <c r="AL50" i="3"/>
  <c r="AL18" i="3"/>
  <c r="AL5" i="3"/>
  <c r="AL36" i="3"/>
  <c r="AL11" i="3"/>
  <c r="AL7" i="3"/>
  <c r="AL22" i="3"/>
  <c r="AL17" i="3"/>
  <c r="AK64" i="3" l="1"/>
  <c r="AL46" i="3"/>
  <c r="AL24" i="3"/>
  <c r="AN2" i="3"/>
  <c r="AM60" i="3"/>
  <c r="AM56" i="3"/>
  <c r="AM59" i="3"/>
  <c r="AM51" i="3"/>
  <c r="AM55" i="3"/>
  <c r="AM39" i="3"/>
  <c r="AM58" i="3"/>
  <c r="AM15" i="3"/>
  <c r="AM4" i="3"/>
  <c r="AM28" i="3"/>
  <c r="AM42" i="3"/>
  <c r="AM27" i="3"/>
  <c r="AM52" i="3"/>
  <c r="AM49" i="3"/>
  <c r="AM57" i="3"/>
  <c r="AM30" i="3"/>
  <c r="AM36" i="3"/>
  <c r="AM54" i="3"/>
  <c r="AM61" i="3"/>
  <c r="AM41" i="3"/>
  <c r="AM20" i="3"/>
  <c r="AM12" i="3"/>
  <c r="AM43" i="3"/>
  <c r="AM23" i="3"/>
  <c r="AM29" i="3"/>
  <c r="AM53" i="3"/>
  <c r="AM31" i="3"/>
  <c r="AM6" i="3"/>
  <c r="AM44" i="3"/>
  <c r="AM3" i="3"/>
  <c r="AM32" i="3"/>
  <c r="AM35" i="3"/>
  <c r="AM18" i="3"/>
  <c r="AM7" i="3"/>
  <c r="AM45" i="3"/>
  <c r="AM37" i="3"/>
  <c r="AM13" i="3"/>
  <c r="AM10" i="3"/>
  <c r="AM33" i="3"/>
  <c r="AM22" i="3"/>
  <c r="AM8" i="3"/>
  <c r="AM34" i="3"/>
  <c r="AM19" i="3"/>
  <c r="AM11" i="3"/>
  <c r="AM50" i="3"/>
  <c r="AM14" i="3"/>
  <c r="AM5" i="3"/>
  <c r="AM38" i="3"/>
  <c r="AM21" i="3"/>
  <c r="AM40" i="3"/>
  <c r="AM16" i="3"/>
  <c r="AM17" i="3"/>
  <c r="AM9" i="3"/>
  <c r="AL62" i="3"/>
  <c r="AL64" i="3" l="1"/>
  <c r="AM24" i="3"/>
  <c r="AM62" i="3"/>
  <c r="AM46" i="3"/>
  <c r="AO2" i="3"/>
  <c r="AN60" i="3"/>
  <c r="AN49" i="3"/>
  <c r="AN35" i="3"/>
  <c r="AN56" i="3"/>
  <c r="AN42" i="3"/>
  <c r="AN55" i="3"/>
  <c r="AN58" i="3"/>
  <c r="AN61" i="3"/>
  <c r="AN51" i="3"/>
  <c r="AN15" i="3"/>
  <c r="AN4" i="3"/>
  <c r="AN28" i="3"/>
  <c r="AN50" i="3"/>
  <c r="AN40" i="3"/>
  <c r="AN52" i="3"/>
  <c r="AN59" i="3"/>
  <c r="AN21" i="3"/>
  <c r="AN36" i="3"/>
  <c r="AN54" i="3"/>
  <c r="AN32" i="3"/>
  <c r="AN43" i="3"/>
  <c r="AN23" i="3"/>
  <c r="AN13" i="3"/>
  <c r="AN14" i="3"/>
  <c r="AN44" i="3"/>
  <c r="AN3" i="3"/>
  <c r="AN12" i="3"/>
  <c r="AN38" i="3"/>
  <c r="AN53" i="3"/>
  <c r="AN27" i="3"/>
  <c r="AN18" i="3"/>
  <c r="AN7" i="3"/>
  <c r="AN57" i="3"/>
  <c r="AN45" i="3"/>
  <c r="AN20" i="3"/>
  <c r="AN37" i="3"/>
  <c r="AN10" i="3"/>
  <c r="AN33" i="3"/>
  <c r="AN5" i="3"/>
  <c r="AN31" i="3"/>
  <c r="AN8" i="3"/>
  <c r="AN16" i="3"/>
  <c r="AN30" i="3"/>
  <c r="AN41" i="3"/>
  <c r="AN11" i="3"/>
  <c r="AN34" i="3"/>
  <c r="AN19" i="3"/>
  <c r="AN6" i="3"/>
  <c r="AN22" i="3"/>
  <c r="AN29" i="3"/>
  <c r="AN9" i="3"/>
  <c r="AN39" i="3"/>
  <c r="AN17" i="3"/>
  <c r="AM64" i="3" l="1"/>
  <c r="AN24" i="3"/>
  <c r="AN62" i="3"/>
  <c r="AN46" i="3"/>
  <c r="AP2" i="3"/>
  <c r="AO56" i="3"/>
  <c r="AO52" i="3"/>
  <c r="AO55" i="3"/>
  <c r="AO61" i="3"/>
  <c r="AO58" i="3"/>
  <c r="AO28" i="3"/>
  <c r="AO50" i="3"/>
  <c r="AO20" i="3"/>
  <c r="AO9" i="3"/>
  <c r="AO60" i="3"/>
  <c r="AO37" i="3"/>
  <c r="AO44" i="3"/>
  <c r="AO59" i="3"/>
  <c r="AO49" i="3"/>
  <c r="AO54" i="3"/>
  <c r="AO51" i="3"/>
  <c r="AO36" i="3"/>
  <c r="AO42" i="3"/>
  <c r="AO32" i="3"/>
  <c r="AO13" i="3"/>
  <c r="AO29" i="3"/>
  <c r="AO39" i="3"/>
  <c r="AO57" i="3"/>
  <c r="AO3" i="3"/>
  <c r="AO53" i="3"/>
  <c r="AO12" i="3"/>
  <c r="AO15" i="3"/>
  <c r="AO38" i="3"/>
  <c r="AO45" i="3"/>
  <c r="AO35" i="3"/>
  <c r="AO23" i="3"/>
  <c r="AO33" i="3"/>
  <c r="AO4" i="3"/>
  <c r="AO16" i="3"/>
  <c r="AO34" i="3"/>
  <c r="AO30" i="3"/>
  <c r="AO19" i="3"/>
  <c r="AO14" i="3"/>
  <c r="AO11" i="3"/>
  <c r="AO10" i="3"/>
  <c r="AO18" i="3"/>
  <c r="AO40" i="3"/>
  <c r="AO41" i="3"/>
  <c r="AO5" i="3"/>
  <c r="AO27" i="3"/>
  <c r="AO21" i="3"/>
  <c r="AO43" i="3"/>
  <c r="AO7" i="3"/>
  <c r="AO6" i="3"/>
  <c r="AO31" i="3"/>
  <c r="AO8" i="3"/>
  <c r="AO22" i="3"/>
  <c r="AO17" i="3"/>
  <c r="AN64" i="3" l="1"/>
  <c r="AO62" i="3"/>
  <c r="AQ2" i="3"/>
  <c r="AP56" i="3"/>
  <c r="AP42" i="3"/>
  <c r="AP52" i="3"/>
  <c r="AP38" i="3"/>
  <c r="AP51" i="3"/>
  <c r="AP55" i="3"/>
  <c r="AP50" i="3"/>
  <c r="AP20" i="3"/>
  <c r="AP9" i="3"/>
  <c r="AP60" i="3"/>
  <c r="AP37" i="3"/>
  <c r="AP34" i="3"/>
  <c r="AP59" i="3"/>
  <c r="AP49" i="3"/>
  <c r="AP61" i="3"/>
  <c r="AP57" i="3"/>
  <c r="AP53" i="3"/>
  <c r="AP32" i="3"/>
  <c r="AP54" i="3"/>
  <c r="AP28" i="3"/>
  <c r="AP22" i="3"/>
  <c r="AP43" i="3"/>
  <c r="AP29" i="3"/>
  <c r="AP14" i="3"/>
  <c r="AP39" i="3"/>
  <c r="AP45" i="3"/>
  <c r="AP12" i="3"/>
  <c r="AP27" i="3"/>
  <c r="AP18" i="3"/>
  <c r="AP7" i="3"/>
  <c r="AP15" i="3"/>
  <c r="AP10" i="3"/>
  <c r="AP33" i="3"/>
  <c r="AP13" i="3"/>
  <c r="AP16" i="3"/>
  <c r="AP8" i="3"/>
  <c r="AP30" i="3"/>
  <c r="AP36" i="3"/>
  <c r="AP17" i="3"/>
  <c r="AP4" i="3"/>
  <c r="AP23" i="3"/>
  <c r="AP3" i="3"/>
  <c r="AP41" i="3"/>
  <c r="AP5" i="3"/>
  <c r="AP11" i="3"/>
  <c r="AP21" i="3"/>
  <c r="AP6" i="3"/>
  <c r="AP58" i="3"/>
  <c r="AP31" i="3"/>
  <c r="AP19" i="3"/>
  <c r="AP40" i="3"/>
  <c r="AP35" i="3"/>
  <c r="AP44" i="3"/>
  <c r="AO46" i="3"/>
  <c r="AO24" i="3"/>
  <c r="AO64" i="3" l="1"/>
  <c r="AP62" i="3"/>
  <c r="AP24" i="3"/>
  <c r="AP46" i="3"/>
  <c r="AR2" i="3"/>
  <c r="AQ59" i="3"/>
  <c r="AQ57" i="3"/>
  <c r="AQ55" i="3"/>
  <c r="AQ60" i="3"/>
  <c r="AQ37" i="3"/>
  <c r="AQ34" i="3"/>
  <c r="AQ14" i="3"/>
  <c r="AQ3" i="3"/>
  <c r="AQ52" i="3"/>
  <c r="AQ61" i="3"/>
  <c r="AQ51" i="3"/>
  <c r="AQ56" i="3"/>
  <c r="AQ54" i="3"/>
  <c r="AQ42" i="3"/>
  <c r="AQ28" i="3"/>
  <c r="AQ49" i="3"/>
  <c r="AQ39" i="3"/>
  <c r="AQ45" i="3"/>
  <c r="AQ40" i="3"/>
  <c r="AQ33" i="3"/>
  <c r="AQ50" i="3"/>
  <c r="AQ53" i="3"/>
  <c r="AQ15" i="3"/>
  <c r="AQ23" i="3"/>
  <c r="AQ38" i="3"/>
  <c r="AQ32" i="3"/>
  <c r="AQ27" i="3"/>
  <c r="AQ18" i="3"/>
  <c r="AQ7" i="3"/>
  <c r="AQ35" i="3"/>
  <c r="AQ10" i="3"/>
  <c r="AQ20" i="3"/>
  <c r="AQ4" i="3"/>
  <c r="AQ16" i="3"/>
  <c r="AQ8" i="3"/>
  <c r="AQ29" i="3"/>
  <c r="AQ22" i="3"/>
  <c r="AQ30" i="3"/>
  <c r="AQ19" i="3"/>
  <c r="AQ11" i="3"/>
  <c r="AQ41" i="3"/>
  <c r="AQ5" i="3"/>
  <c r="AQ21" i="3"/>
  <c r="AQ6" i="3"/>
  <c r="AQ43" i="3"/>
  <c r="AQ36" i="3"/>
  <c r="AQ31" i="3"/>
  <c r="AQ58" i="3"/>
  <c r="AQ12" i="3"/>
  <c r="AQ17" i="3"/>
  <c r="AQ13" i="3"/>
  <c r="AQ9" i="3"/>
  <c r="AQ44" i="3"/>
  <c r="AP64" i="3" l="1"/>
  <c r="AQ62" i="3"/>
  <c r="AQ46" i="3"/>
  <c r="AS2" i="3"/>
  <c r="AR52" i="3"/>
  <c r="AR38" i="3"/>
  <c r="AR59" i="3"/>
  <c r="AR45" i="3"/>
  <c r="AR34" i="3"/>
  <c r="AR58" i="3"/>
  <c r="AR61" i="3"/>
  <c r="AR55" i="3"/>
  <c r="AR30" i="3"/>
  <c r="AR14" i="3"/>
  <c r="AR3" i="3"/>
  <c r="AR27" i="3"/>
  <c r="AR56" i="3"/>
  <c r="AR57" i="3"/>
  <c r="AR54" i="3"/>
  <c r="AR22" i="3"/>
  <c r="AR49" i="3"/>
  <c r="AR35" i="3"/>
  <c r="AR43" i="3"/>
  <c r="AR60" i="3"/>
  <c r="AR39" i="3"/>
  <c r="AR15" i="3"/>
  <c r="AR44" i="3"/>
  <c r="AR18" i="3"/>
  <c r="AR51" i="3"/>
  <c r="AR50" i="3"/>
  <c r="AR32" i="3"/>
  <c r="AR7" i="3"/>
  <c r="AR23" i="3"/>
  <c r="AR20" i="3"/>
  <c r="AR33" i="3"/>
  <c r="AR28" i="3"/>
  <c r="AR13" i="3"/>
  <c r="AR37" i="3"/>
  <c r="AR8" i="3"/>
  <c r="AR29" i="3"/>
  <c r="AR36" i="3"/>
  <c r="AR17" i="3"/>
  <c r="AR41" i="3"/>
  <c r="AR31" i="3"/>
  <c r="AR21" i="3"/>
  <c r="AR11" i="3"/>
  <c r="AR6" i="3"/>
  <c r="AR16" i="3"/>
  <c r="AR5" i="3"/>
  <c r="AR4" i="3"/>
  <c r="AR12" i="3"/>
  <c r="AR53" i="3"/>
  <c r="AR19" i="3"/>
  <c r="AR40" i="3"/>
  <c r="AR42" i="3"/>
  <c r="AR10" i="3"/>
  <c r="AR9" i="3"/>
  <c r="AQ24" i="3"/>
  <c r="AQ64" i="3" l="1"/>
  <c r="AR24" i="3"/>
  <c r="AR62" i="3"/>
  <c r="AT2" i="3"/>
  <c r="AS59" i="3"/>
  <c r="AS55" i="3"/>
  <c r="AS58" i="3"/>
  <c r="AS54" i="3"/>
  <c r="AS34" i="3"/>
  <c r="AS27" i="3"/>
  <c r="AS19" i="3"/>
  <c r="AS8" i="3"/>
  <c r="AS40" i="3"/>
  <c r="AS49" i="3"/>
  <c r="AS35" i="3"/>
  <c r="AS23" i="3"/>
  <c r="AS61" i="3"/>
  <c r="AS57" i="3"/>
  <c r="AS53" i="3"/>
  <c r="AS41" i="3"/>
  <c r="AS43" i="3"/>
  <c r="AS60" i="3"/>
  <c r="AS39" i="3"/>
  <c r="AS14" i="3"/>
  <c r="AS45" i="3"/>
  <c r="AS21" i="3"/>
  <c r="AS42" i="3"/>
  <c r="AS32" i="3"/>
  <c r="AS50" i="3"/>
  <c r="AS38" i="3"/>
  <c r="AS7" i="3"/>
  <c r="AS18" i="3"/>
  <c r="AS10" i="3"/>
  <c r="AS51" i="3"/>
  <c r="AS33" i="3"/>
  <c r="AS28" i="3"/>
  <c r="AS13" i="3"/>
  <c r="AS37" i="3"/>
  <c r="AS16" i="3"/>
  <c r="AS29" i="3"/>
  <c r="AS22" i="3"/>
  <c r="AS5" i="3"/>
  <c r="AS36" i="3"/>
  <c r="AS56" i="3"/>
  <c r="AS9" i="3"/>
  <c r="AS30" i="3"/>
  <c r="AS6" i="3"/>
  <c r="AS4" i="3"/>
  <c r="AS11" i="3"/>
  <c r="AS3" i="3"/>
  <c r="AS12" i="3"/>
  <c r="AS31" i="3"/>
  <c r="AS15" i="3"/>
  <c r="AS52" i="3"/>
  <c r="AS44" i="3"/>
  <c r="AS17" i="3"/>
  <c r="AS20" i="3"/>
  <c r="AR46" i="3"/>
  <c r="AR64" i="3" l="1"/>
  <c r="AS62" i="3"/>
  <c r="AS46" i="3"/>
  <c r="AS24" i="3"/>
  <c r="AU2" i="3"/>
  <c r="AT59" i="3"/>
  <c r="AT45" i="3"/>
  <c r="AT34" i="3"/>
  <c r="AT55" i="3"/>
  <c r="AT41" i="3"/>
  <c r="AT54" i="3"/>
  <c r="AT57" i="3"/>
  <c r="AT60" i="3"/>
  <c r="AT52" i="3"/>
  <c r="AT27" i="3"/>
  <c r="AT19" i="3"/>
  <c r="AT8" i="3"/>
  <c r="AT40" i="3"/>
  <c r="AT44" i="3"/>
  <c r="AT42" i="3"/>
  <c r="AT38" i="3"/>
  <c r="AT53" i="3"/>
  <c r="AT51" i="3"/>
  <c r="AT49" i="3"/>
  <c r="AT43" i="3"/>
  <c r="AT35" i="3"/>
  <c r="AT61" i="3"/>
  <c r="AT15" i="3"/>
  <c r="AT28" i="3"/>
  <c r="AT16" i="3"/>
  <c r="AT18" i="3"/>
  <c r="AT23" i="3"/>
  <c r="AT10" i="3"/>
  <c r="AT20" i="3"/>
  <c r="AT4" i="3"/>
  <c r="AT37" i="3"/>
  <c r="AT29" i="3"/>
  <c r="AT22" i="3"/>
  <c r="AT5" i="3"/>
  <c r="AT11" i="3"/>
  <c r="AT36" i="3"/>
  <c r="AT17" i="3"/>
  <c r="AT56" i="3"/>
  <c r="AT31" i="3"/>
  <c r="AT6" i="3"/>
  <c r="AT33" i="3"/>
  <c r="AT3" i="3"/>
  <c r="AT21" i="3"/>
  <c r="AT7" i="3"/>
  <c r="AT12" i="3"/>
  <c r="AT58" i="3"/>
  <c r="AT9" i="3"/>
  <c r="AT32" i="3"/>
  <c r="AT50" i="3"/>
  <c r="AT39" i="3"/>
  <c r="AT30" i="3"/>
  <c r="AT14" i="3"/>
  <c r="AT13" i="3"/>
  <c r="AS64" i="3" l="1"/>
  <c r="AT46" i="3"/>
  <c r="AV2" i="3"/>
  <c r="AU55" i="3"/>
  <c r="AU51" i="3"/>
  <c r="AU54" i="3"/>
  <c r="AU60" i="3"/>
  <c r="AU52" i="3"/>
  <c r="AU40" i="3"/>
  <c r="AU44" i="3"/>
  <c r="AU42" i="3"/>
  <c r="AU13" i="3"/>
  <c r="AU53" i="3"/>
  <c r="AU43" i="3"/>
  <c r="AU45" i="3"/>
  <c r="AU59" i="3"/>
  <c r="AU35" i="3"/>
  <c r="AU23" i="3"/>
  <c r="AU61" i="3"/>
  <c r="AU15" i="3"/>
  <c r="AU21" i="3"/>
  <c r="AU7" i="3"/>
  <c r="AU6" i="3"/>
  <c r="AU5" i="3"/>
  <c r="AU4" i="3"/>
  <c r="AU3" i="3"/>
  <c r="AU56" i="3"/>
  <c r="AU34" i="3"/>
  <c r="AU31" i="3"/>
  <c r="AU27" i="3"/>
  <c r="AU22" i="3"/>
  <c r="AU41" i="3"/>
  <c r="AU38" i="3"/>
  <c r="AU33" i="3"/>
  <c r="AU10" i="3"/>
  <c r="AU20" i="3"/>
  <c r="AU57" i="3"/>
  <c r="AU16" i="3"/>
  <c r="AU29" i="3"/>
  <c r="AU11" i="3"/>
  <c r="AU30" i="3"/>
  <c r="AU14" i="3"/>
  <c r="AU49" i="3"/>
  <c r="AU9" i="3"/>
  <c r="AU50" i="3"/>
  <c r="AU12" i="3"/>
  <c r="AU18" i="3"/>
  <c r="AU36" i="3"/>
  <c r="AU19" i="3"/>
  <c r="AU58" i="3"/>
  <c r="AU28" i="3"/>
  <c r="AU8" i="3"/>
  <c r="AU17" i="3"/>
  <c r="AU32" i="3"/>
  <c r="AU37" i="3"/>
  <c r="AU39" i="3"/>
  <c r="AT24" i="3"/>
  <c r="AT62" i="3"/>
  <c r="AT64" i="3" l="1"/>
  <c r="AU62" i="3"/>
  <c r="AU46" i="3"/>
  <c r="AU24" i="3"/>
  <c r="AW2" i="3"/>
  <c r="AV55" i="3"/>
  <c r="AV41" i="3"/>
  <c r="AV51" i="3"/>
  <c r="AV37" i="3"/>
  <c r="AV61" i="3"/>
  <c r="AV52" i="3"/>
  <c r="AV54" i="3"/>
  <c r="AV33" i="3"/>
  <c r="AV44" i="3"/>
  <c r="AV42" i="3"/>
  <c r="AV13" i="3"/>
  <c r="AV43" i="3"/>
  <c r="AV60" i="3"/>
  <c r="AV53" i="3"/>
  <c r="AV21" i="3"/>
  <c r="AV28" i="3"/>
  <c r="AV16" i="3"/>
  <c r="AV45" i="3"/>
  <c r="AV17" i="3"/>
  <c r="AV56" i="3"/>
  <c r="AV59" i="3"/>
  <c r="AV57" i="3"/>
  <c r="AV36" i="3"/>
  <c r="AV38" i="3"/>
  <c r="AV58" i="3"/>
  <c r="AV23" i="3"/>
  <c r="AV10" i="3"/>
  <c r="AV27" i="3"/>
  <c r="AV20" i="3"/>
  <c r="AV4" i="3"/>
  <c r="AV35" i="3"/>
  <c r="AV29" i="3"/>
  <c r="AV8" i="3"/>
  <c r="AV22" i="3"/>
  <c r="AV11" i="3"/>
  <c r="AV5" i="3"/>
  <c r="AV30" i="3"/>
  <c r="AV19" i="3"/>
  <c r="AV49" i="3"/>
  <c r="AV34" i="3"/>
  <c r="AV31" i="3"/>
  <c r="AV40" i="3"/>
  <c r="AV3" i="3"/>
  <c r="AV6" i="3"/>
  <c r="AV15" i="3"/>
  <c r="AV7" i="3"/>
  <c r="AV12" i="3"/>
  <c r="AV32" i="3"/>
  <c r="AV9" i="3"/>
  <c r="AV39" i="3"/>
  <c r="AV14" i="3"/>
  <c r="AV18" i="3"/>
  <c r="AV50" i="3"/>
  <c r="AU64" i="3" l="1"/>
  <c r="AV62" i="3"/>
  <c r="AX2" i="3"/>
  <c r="AW58" i="3"/>
  <c r="AW61" i="3"/>
  <c r="AW52" i="3"/>
  <c r="AW54" i="3"/>
  <c r="AW18" i="3"/>
  <c r="AW7" i="3"/>
  <c r="AW56" i="3"/>
  <c r="AW59" i="3"/>
  <c r="AW57" i="3"/>
  <c r="AW22" i="3"/>
  <c r="AW43" i="3"/>
  <c r="AW41" i="3"/>
  <c r="AW51" i="3"/>
  <c r="AW39" i="3"/>
  <c r="AW50" i="3"/>
  <c r="AW23" i="3"/>
  <c r="AW60" i="3"/>
  <c r="AW55" i="3"/>
  <c r="AW53" i="3"/>
  <c r="AW44" i="3"/>
  <c r="AW28" i="3"/>
  <c r="AW16" i="3"/>
  <c r="AW3" i="3"/>
  <c r="AW45" i="3"/>
  <c r="AW6" i="3"/>
  <c r="AW5" i="3"/>
  <c r="AW4" i="3"/>
  <c r="AW35" i="3"/>
  <c r="AW19" i="3"/>
  <c r="AW27" i="3"/>
  <c r="AW20" i="3"/>
  <c r="AW37" i="3"/>
  <c r="AW13" i="3"/>
  <c r="AW33" i="3"/>
  <c r="AW8" i="3"/>
  <c r="AW30" i="3"/>
  <c r="AW34" i="3"/>
  <c r="AW31" i="3"/>
  <c r="AW9" i="3"/>
  <c r="AW21" i="3"/>
  <c r="AW12" i="3"/>
  <c r="AW36" i="3"/>
  <c r="AW11" i="3"/>
  <c r="AW15" i="3"/>
  <c r="AW49" i="3"/>
  <c r="AW38" i="3"/>
  <c r="AW40" i="3"/>
  <c r="AW42" i="3"/>
  <c r="AW32" i="3"/>
  <c r="AW17" i="3"/>
  <c r="AW29" i="3"/>
  <c r="AW10" i="3"/>
  <c r="AW14" i="3"/>
  <c r="AV24" i="3"/>
  <c r="AV46" i="3"/>
  <c r="AV64" i="3" l="1"/>
  <c r="AW46" i="3"/>
  <c r="AW62" i="3"/>
  <c r="AW24" i="3"/>
  <c r="AY2" i="3"/>
  <c r="AX51" i="3"/>
  <c r="AX37" i="3"/>
  <c r="AX58" i="3"/>
  <c r="AX44" i="3"/>
  <c r="AX33" i="3"/>
  <c r="AX57" i="3"/>
  <c r="AX60" i="3"/>
  <c r="AX52" i="3"/>
  <c r="AX54" i="3"/>
  <c r="AX29" i="3"/>
  <c r="AX36" i="3"/>
  <c r="AX35" i="3"/>
  <c r="AX34" i="3"/>
  <c r="AX18" i="3"/>
  <c r="AX7" i="3"/>
  <c r="AX56" i="3"/>
  <c r="AX23" i="3"/>
  <c r="AX49" i="3"/>
  <c r="AX61" i="3"/>
  <c r="AX53" i="3"/>
  <c r="AX45" i="3"/>
  <c r="AX55" i="3"/>
  <c r="AX31" i="3"/>
  <c r="AX50" i="3"/>
  <c r="AX6" i="3"/>
  <c r="AX5" i="3"/>
  <c r="AX4" i="3"/>
  <c r="AX3" i="3"/>
  <c r="AX17" i="3"/>
  <c r="AX8" i="3"/>
  <c r="AX59" i="3"/>
  <c r="AX41" i="3"/>
  <c r="AX13" i="3"/>
  <c r="AX28" i="3"/>
  <c r="AX22" i="3"/>
  <c r="AX11" i="3"/>
  <c r="AX30" i="3"/>
  <c r="AX19" i="3"/>
  <c r="AX14" i="3"/>
  <c r="AX40" i="3"/>
  <c r="AX42" i="3"/>
  <c r="AX39" i="3"/>
  <c r="AX32" i="3"/>
  <c r="AX21" i="3"/>
  <c r="AX43" i="3"/>
  <c r="AX15" i="3"/>
  <c r="AX38" i="3"/>
  <c r="AX27" i="3"/>
  <c r="AX12" i="3"/>
  <c r="AX16" i="3"/>
  <c r="AX9" i="3"/>
  <c r="AX20" i="3"/>
  <c r="AX10" i="3"/>
  <c r="AW64" i="3" l="1"/>
  <c r="AX46" i="3"/>
  <c r="AZ2" i="3"/>
  <c r="AY58" i="3"/>
  <c r="AY54" i="3"/>
  <c r="AY57" i="3"/>
  <c r="AY33" i="3"/>
  <c r="AY56" i="3"/>
  <c r="AY49" i="3"/>
  <c r="AY23" i="3"/>
  <c r="AY12" i="3"/>
  <c r="AY38" i="3"/>
  <c r="AY35" i="3"/>
  <c r="AY59" i="3"/>
  <c r="AY32" i="3"/>
  <c r="AY31" i="3"/>
  <c r="AY30" i="3"/>
  <c r="AY51" i="3"/>
  <c r="AY39" i="3"/>
  <c r="AY60" i="3"/>
  <c r="AY61" i="3"/>
  <c r="AY29" i="3"/>
  <c r="AY53" i="3"/>
  <c r="AY55" i="3"/>
  <c r="AY45" i="3"/>
  <c r="AY17" i="3"/>
  <c r="AY7" i="3"/>
  <c r="AY40" i="3"/>
  <c r="AY52" i="3"/>
  <c r="AY16" i="3"/>
  <c r="AY13" i="3"/>
  <c r="AY4" i="3"/>
  <c r="AY37" i="3"/>
  <c r="AY28" i="3"/>
  <c r="AY22" i="3"/>
  <c r="AY11" i="3"/>
  <c r="AY19" i="3"/>
  <c r="AY14" i="3"/>
  <c r="AY36" i="3"/>
  <c r="AY21" i="3"/>
  <c r="AY50" i="3"/>
  <c r="AY15" i="3"/>
  <c r="AY5" i="3"/>
  <c r="AY3" i="3"/>
  <c r="AY6" i="3"/>
  <c r="AY43" i="3"/>
  <c r="AY27" i="3"/>
  <c r="AY8" i="3"/>
  <c r="AY34" i="3"/>
  <c r="AY9" i="3"/>
  <c r="AY42" i="3"/>
  <c r="AY20" i="3"/>
  <c r="AY44" i="3"/>
  <c r="AY10" i="3"/>
  <c r="AY41" i="3"/>
  <c r="AY18" i="3"/>
  <c r="AX62" i="3"/>
  <c r="AX24" i="3"/>
  <c r="AX64" i="3" l="1"/>
  <c r="AY24" i="3"/>
  <c r="AY46" i="3"/>
  <c r="BA2" i="3"/>
  <c r="AZ58" i="3"/>
  <c r="AZ44" i="3"/>
  <c r="AZ33" i="3"/>
  <c r="AZ54" i="3"/>
  <c r="AZ40" i="3"/>
  <c r="AZ53" i="3"/>
  <c r="AZ56" i="3"/>
  <c r="AZ59" i="3"/>
  <c r="AZ36" i="3"/>
  <c r="AZ35" i="3"/>
  <c r="AZ34" i="3"/>
  <c r="AZ39" i="3"/>
  <c r="AZ38" i="3"/>
  <c r="AZ37" i="3"/>
  <c r="AZ32" i="3"/>
  <c r="AZ49" i="3"/>
  <c r="AZ23" i="3"/>
  <c r="AZ12" i="3"/>
  <c r="AZ61" i="3"/>
  <c r="AZ52" i="3"/>
  <c r="AZ43" i="3"/>
  <c r="AZ41" i="3"/>
  <c r="AZ45" i="3"/>
  <c r="AZ50" i="3"/>
  <c r="AZ31" i="3"/>
  <c r="AZ29" i="3"/>
  <c r="AZ11" i="3"/>
  <c r="AZ10" i="3"/>
  <c r="AZ9" i="3"/>
  <c r="AZ8" i="3"/>
  <c r="AZ7" i="3"/>
  <c r="AZ18" i="3"/>
  <c r="AZ30" i="3"/>
  <c r="AZ13" i="3"/>
  <c r="AZ4" i="3"/>
  <c r="AZ55" i="3"/>
  <c r="AZ28" i="3"/>
  <c r="AZ16" i="3"/>
  <c r="AZ60" i="3"/>
  <c r="AZ5" i="3"/>
  <c r="AZ19" i="3"/>
  <c r="AZ14" i="3"/>
  <c r="AZ17" i="3"/>
  <c r="AZ42" i="3"/>
  <c r="AZ6" i="3"/>
  <c r="AZ21" i="3"/>
  <c r="AZ15" i="3"/>
  <c r="AZ27" i="3"/>
  <c r="AZ57" i="3"/>
  <c r="AZ22" i="3"/>
  <c r="AZ51" i="3"/>
  <c r="AZ20" i="3"/>
  <c r="AZ3" i="3"/>
  <c r="AY62" i="3"/>
  <c r="AY64" i="3" s="1"/>
  <c r="AZ24" i="3" l="1"/>
  <c r="AZ46" i="3"/>
  <c r="BB2" i="3"/>
  <c r="BA54" i="3"/>
  <c r="BA61" i="3"/>
  <c r="BA53" i="3"/>
  <c r="BA59" i="3"/>
  <c r="BA40" i="3"/>
  <c r="BA38" i="3"/>
  <c r="BA35" i="3"/>
  <c r="BA17" i="3"/>
  <c r="BA6" i="3"/>
  <c r="BA57" i="3"/>
  <c r="BA36" i="3"/>
  <c r="BA21" i="3"/>
  <c r="BA50" i="3"/>
  <c r="BA60" i="3"/>
  <c r="BA31" i="3"/>
  <c r="BA29" i="3"/>
  <c r="BA44" i="3"/>
  <c r="BA8" i="3"/>
  <c r="BA56" i="3"/>
  <c r="BA33" i="3"/>
  <c r="BA32" i="3"/>
  <c r="BA27" i="3"/>
  <c r="BA9" i="3"/>
  <c r="BA42" i="3"/>
  <c r="BA58" i="3"/>
  <c r="BA28" i="3"/>
  <c r="BA22" i="3"/>
  <c r="BA37" i="3"/>
  <c r="BA16" i="3"/>
  <c r="BA51" i="3"/>
  <c r="BA55" i="3"/>
  <c r="BA5" i="3"/>
  <c r="BA30" i="3"/>
  <c r="BA19" i="3"/>
  <c r="BA12" i="3"/>
  <c r="BA41" i="3"/>
  <c r="BA15" i="3"/>
  <c r="BA3" i="3"/>
  <c r="BA43" i="3"/>
  <c r="BA4" i="3"/>
  <c r="BA49" i="3"/>
  <c r="BA11" i="3"/>
  <c r="BA23" i="3"/>
  <c r="BA7" i="3"/>
  <c r="BA52" i="3"/>
  <c r="BA34" i="3"/>
  <c r="BA45" i="3"/>
  <c r="BA20" i="3"/>
  <c r="BA13" i="3"/>
  <c r="BA39" i="3"/>
  <c r="BA10" i="3"/>
  <c r="BA14" i="3"/>
  <c r="BA18" i="3"/>
  <c r="AZ62" i="3"/>
  <c r="AZ64" i="3" l="1"/>
  <c r="BA62" i="3"/>
  <c r="BA46" i="3"/>
  <c r="BC2" i="3"/>
  <c r="BB54" i="3"/>
  <c r="BB40" i="3"/>
  <c r="BB61" i="3"/>
  <c r="BB50" i="3"/>
  <c r="BB36" i="3"/>
  <c r="BB60" i="3"/>
  <c r="BB39" i="3"/>
  <c r="BB38" i="3"/>
  <c r="BB37" i="3"/>
  <c r="BB32" i="3"/>
  <c r="BB43" i="3"/>
  <c r="BB42" i="3"/>
  <c r="BB41" i="3"/>
  <c r="BB35" i="3"/>
  <c r="BB17" i="3"/>
  <c r="BB6" i="3"/>
  <c r="BB22" i="3"/>
  <c r="BB51" i="3"/>
  <c r="BB29" i="3"/>
  <c r="BB58" i="3"/>
  <c r="BB53" i="3"/>
  <c r="BB44" i="3"/>
  <c r="BB34" i="3"/>
  <c r="BB16" i="3"/>
  <c r="BB15" i="3"/>
  <c r="BB14" i="3"/>
  <c r="BB13" i="3"/>
  <c r="BB12" i="3"/>
  <c r="BB8" i="3"/>
  <c r="BB18" i="3"/>
  <c r="BB56" i="3"/>
  <c r="BB59" i="3"/>
  <c r="BB20" i="3"/>
  <c r="BB57" i="3"/>
  <c r="BB45" i="3"/>
  <c r="BB55" i="3"/>
  <c r="BB33" i="3"/>
  <c r="BB11" i="3"/>
  <c r="BB30" i="3"/>
  <c r="BB19" i="3"/>
  <c r="BB52" i="3"/>
  <c r="BB49" i="3"/>
  <c r="BB9" i="3"/>
  <c r="BB10" i="3"/>
  <c r="BB21" i="3"/>
  <c r="BB23" i="3"/>
  <c r="BB27" i="3"/>
  <c r="BB7" i="3"/>
  <c r="BB31" i="3"/>
  <c r="BB28" i="3"/>
  <c r="BB5" i="3"/>
  <c r="BB4" i="3"/>
  <c r="BB3" i="3"/>
  <c r="BA24" i="3"/>
  <c r="BA64" i="3" l="1"/>
  <c r="BB62" i="3"/>
  <c r="BB24" i="3"/>
  <c r="BB46" i="3"/>
  <c r="BD2" i="3"/>
  <c r="BC61" i="3"/>
  <c r="BC57" i="3"/>
  <c r="BC60" i="3"/>
  <c r="BC54" i="3"/>
  <c r="BC39" i="3"/>
  <c r="BC38" i="3"/>
  <c r="BC37" i="3"/>
  <c r="BC43" i="3"/>
  <c r="BC42" i="3"/>
  <c r="BC41" i="3"/>
  <c r="BC22" i="3"/>
  <c r="BC11" i="3"/>
  <c r="BC45" i="3"/>
  <c r="BC50" i="3"/>
  <c r="BC55" i="3"/>
  <c r="BC53" i="3"/>
  <c r="BC44" i="3"/>
  <c r="BC34" i="3"/>
  <c r="BC18" i="3"/>
  <c r="BC56" i="3"/>
  <c r="BC33" i="3"/>
  <c r="BC27" i="3"/>
  <c r="BC9" i="3"/>
  <c r="BC59" i="3"/>
  <c r="BC40" i="3"/>
  <c r="BC19" i="3"/>
  <c r="BC10" i="3"/>
  <c r="BC58" i="3"/>
  <c r="BC49" i="3"/>
  <c r="BC16" i="3"/>
  <c r="BC29" i="3"/>
  <c r="BC8" i="3"/>
  <c r="BC35" i="3"/>
  <c r="BC5" i="3"/>
  <c r="BC51" i="3"/>
  <c r="BC14" i="3"/>
  <c r="BC52" i="3"/>
  <c r="BC36" i="3"/>
  <c r="BC17" i="3"/>
  <c r="BC21" i="3"/>
  <c r="BC20" i="3"/>
  <c r="BC23" i="3"/>
  <c r="BC15" i="3"/>
  <c r="BC7" i="3"/>
  <c r="BC31" i="3"/>
  <c r="BC12" i="3"/>
  <c r="BC28" i="3"/>
  <c r="BC32" i="3"/>
  <c r="BC13" i="3"/>
  <c r="BC3" i="3"/>
  <c r="BC4" i="3"/>
  <c r="BC30" i="3"/>
  <c r="BC6" i="3"/>
  <c r="BB64" i="3" l="1"/>
  <c r="BC24" i="3"/>
  <c r="BC46" i="3"/>
  <c r="BE2" i="3"/>
  <c r="BD61" i="3"/>
  <c r="BD50" i="3"/>
  <c r="BD36" i="3"/>
  <c r="BD57" i="3"/>
  <c r="BD43" i="3"/>
  <c r="BD56" i="3"/>
  <c r="BD59" i="3"/>
  <c r="BD42" i="3"/>
  <c r="BD41" i="3"/>
  <c r="BD40" i="3"/>
  <c r="BD28" i="3"/>
  <c r="BD49" i="3"/>
  <c r="BD45" i="3"/>
  <c r="BD44" i="3"/>
  <c r="BD38" i="3"/>
  <c r="BD22" i="3"/>
  <c r="BD11" i="3"/>
  <c r="BD31" i="3"/>
  <c r="BD30" i="3"/>
  <c r="BD54" i="3"/>
  <c r="BD53" i="3"/>
  <c r="BD34" i="3"/>
  <c r="BD27" i="3"/>
  <c r="BD19" i="3"/>
  <c r="BD18" i="3"/>
  <c r="BD17" i="3"/>
  <c r="BD33" i="3"/>
  <c r="BD9" i="3"/>
  <c r="BD32" i="3"/>
  <c r="BD52" i="3"/>
  <c r="BD51" i="3"/>
  <c r="BD37" i="3"/>
  <c r="BD39" i="3"/>
  <c r="BD55" i="3"/>
  <c r="BD35" i="3"/>
  <c r="BD8" i="3"/>
  <c r="BD5" i="3"/>
  <c r="BD29" i="3"/>
  <c r="BD60" i="3"/>
  <c r="BD14" i="3"/>
  <c r="BD21" i="3"/>
  <c r="BD6" i="3"/>
  <c r="BD15" i="3"/>
  <c r="BD58" i="3"/>
  <c r="BD23" i="3"/>
  <c r="BD7" i="3"/>
  <c r="BD12" i="3"/>
  <c r="BD16" i="3"/>
  <c r="BD13" i="3"/>
  <c r="BD20" i="3"/>
  <c r="BD10" i="3"/>
  <c r="BD4" i="3"/>
  <c r="BD3" i="3"/>
  <c r="BC62" i="3"/>
  <c r="BC64" i="3" l="1"/>
  <c r="BD62" i="3"/>
  <c r="BD24" i="3"/>
  <c r="BF2" i="3"/>
  <c r="BE57" i="3"/>
  <c r="BE53" i="3"/>
  <c r="BE56" i="3"/>
  <c r="BE42" i="3"/>
  <c r="BE41" i="3"/>
  <c r="BE40" i="3"/>
  <c r="BE43" i="3"/>
  <c r="BE49" i="3"/>
  <c r="BE45" i="3"/>
  <c r="BE44" i="3"/>
  <c r="BE58" i="3"/>
  <c r="BE31" i="3"/>
  <c r="BE30" i="3"/>
  <c r="BE16" i="3"/>
  <c r="BE5" i="3"/>
  <c r="BE59" i="3"/>
  <c r="BE52" i="3"/>
  <c r="BE39" i="3"/>
  <c r="BE33" i="3"/>
  <c r="BE28" i="3"/>
  <c r="BE20" i="3"/>
  <c r="BE54" i="3"/>
  <c r="BE61" i="3"/>
  <c r="BE50" i="3"/>
  <c r="BE32" i="3"/>
  <c r="BE27" i="3"/>
  <c r="BE10" i="3"/>
  <c r="BE22" i="3"/>
  <c r="BE60" i="3"/>
  <c r="BE37" i="3"/>
  <c r="BE51" i="3"/>
  <c r="BE29" i="3"/>
  <c r="BE8" i="3"/>
  <c r="BE11" i="3"/>
  <c r="BE36" i="3"/>
  <c r="BE21" i="3"/>
  <c r="BE17" i="3"/>
  <c r="BE9" i="3"/>
  <c r="BE6" i="3"/>
  <c r="BE34" i="3"/>
  <c r="BE12" i="3"/>
  <c r="BE7" i="3"/>
  <c r="BE23" i="3"/>
  <c r="BE18" i="3"/>
  <c r="BE15" i="3"/>
  <c r="BE38" i="3"/>
  <c r="BE19" i="3"/>
  <c r="BE13" i="3"/>
  <c r="BE14" i="3"/>
  <c r="BE3" i="3"/>
  <c r="BE4" i="3"/>
  <c r="BE35" i="3"/>
  <c r="BE55" i="3"/>
  <c r="BD46" i="3"/>
  <c r="BD64" i="3" l="1"/>
  <c r="BE62" i="3"/>
  <c r="BE46" i="3"/>
  <c r="BE24" i="3"/>
  <c r="BG2" i="3"/>
  <c r="BF57" i="3"/>
  <c r="BF43" i="3"/>
  <c r="BF53" i="3"/>
  <c r="BF39" i="3"/>
  <c r="BF52" i="3"/>
  <c r="BF55" i="3"/>
  <c r="BF58" i="3"/>
  <c r="BF49" i="3"/>
  <c r="BF45" i="3"/>
  <c r="BF44" i="3"/>
  <c r="BF50" i="3"/>
  <c r="BF31" i="3"/>
  <c r="BF30" i="3"/>
  <c r="BF16" i="3"/>
  <c r="BF5" i="3"/>
  <c r="BF59" i="3"/>
  <c r="BF21" i="3"/>
  <c r="BF32" i="3"/>
  <c r="BF60" i="3"/>
  <c r="BF61" i="3"/>
  <c r="BF27" i="3"/>
  <c r="BF19" i="3"/>
  <c r="BF20" i="3"/>
  <c r="BF56" i="3"/>
  <c r="BF10" i="3"/>
  <c r="BF40" i="3"/>
  <c r="BF42" i="3"/>
  <c r="BF34" i="3"/>
  <c r="BF36" i="3"/>
  <c r="BF54" i="3"/>
  <c r="BF51" i="3"/>
  <c r="BF33" i="3"/>
  <c r="BF29" i="3"/>
  <c r="BF8" i="3"/>
  <c r="BF11" i="3"/>
  <c r="BF22" i="3"/>
  <c r="BF14" i="3"/>
  <c r="BF9" i="3"/>
  <c r="BF6" i="3"/>
  <c r="BF12" i="3"/>
  <c r="BF3" i="3"/>
  <c r="BF41" i="3"/>
  <c r="BF13" i="3"/>
  <c r="BF7" i="3"/>
  <c r="BF38" i="3"/>
  <c r="BF28" i="3"/>
  <c r="BF17" i="3"/>
  <c r="BF37" i="3"/>
  <c r="BF4" i="3"/>
  <c r="BF35" i="3"/>
  <c r="BF23" i="3"/>
  <c r="BF15" i="3"/>
  <c r="BF18" i="3"/>
  <c r="BE64" i="3" l="1"/>
  <c r="BH2" i="3"/>
  <c r="BG53" i="3"/>
  <c r="BG60" i="3"/>
  <c r="BG52" i="3"/>
  <c r="BG58" i="3"/>
  <c r="BG49" i="3"/>
  <c r="BG45" i="3"/>
  <c r="BG44" i="3"/>
  <c r="BG43" i="3"/>
  <c r="BG50" i="3"/>
  <c r="BG59" i="3"/>
  <c r="BG31" i="3"/>
  <c r="BG32" i="3"/>
  <c r="BG21" i="3"/>
  <c r="BG10" i="3"/>
  <c r="BG29" i="3"/>
  <c r="BG61" i="3"/>
  <c r="BG51" i="3"/>
  <c r="BG55" i="3"/>
  <c r="BG33" i="3"/>
  <c r="BG40" i="3"/>
  <c r="BG22" i="3"/>
  <c r="BG19" i="3"/>
  <c r="BG42" i="3"/>
  <c r="BG36" i="3"/>
  <c r="BG11" i="3"/>
  <c r="BG35" i="3"/>
  <c r="BG23" i="3"/>
  <c r="BG54" i="3"/>
  <c r="BG39" i="3"/>
  <c r="BG30" i="3"/>
  <c r="BG5" i="3"/>
  <c r="BG14" i="3"/>
  <c r="BG57" i="3"/>
  <c r="BG17" i="3"/>
  <c r="BG12" i="3"/>
  <c r="BG34" i="3"/>
  <c r="BG3" i="3"/>
  <c r="BG15" i="3"/>
  <c r="BG56" i="3"/>
  <c r="BG41" i="3"/>
  <c r="BG20" i="3"/>
  <c r="BG18" i="3"/>
  <c r="BG4" i="3"/>
  <c r="BG38" i="3"/>
  <c r="BG27" i="3"/>
  <c r="BG28" i="3"/>
  <c r="BG8" i="3"/>
  <c r="BG16" i="3"/>
  <c r="BG13" i="3"/>
  <c r="BG9" i="3"/>
  <c r="BG37" i="3"/>
  <c r="BG7" i="3"/>
  <c r="BG6" i="3"/>
  <c r="BF46" i="3"/>
  <c r="BF62" i="3"/>
  <c r="BF24" i="3"/>
  <c r="BF64" i="3" l="1"/>
  <c r="BG62" i="3"/>
  <c r="BG46" i="3"/>
  <c r="BG24" i="3"/>
  <c r="BI2" i="3"/>
  <c r="BH53" i="3"/>
  <c r="BH39" i="3"/>
  <c r="BH60" i="3"/>
  <c r="BH49" i="3"/>
  <c r="BH35" i="3"/>
  <c r="BH59" i="3"/>
  <c r="BH50" i="3"/>
  <c r="BH31" i="3"/>
  <c r="BH58" i="3"/>
  <c r="BH57" i="3"/>
  <c r="BH32" i="3"/>
  <c r="BH21" i="3"/>
  <c r="BH10" i="3"/>
  <c r="BH61" i="3"/>
  <c r="BH52" i="3"/>
  <c r="BH51" i="3"/>
  <c r="BH29" i="3"/>
  <c r="BH36" i="3"/>
  <c r="BH54" i="3"/>
  <c r="BH55" i="3"/>
  <c r="BH44" i="3"/>
  <c r="BH20" i="3"/>
  <c r="BH33" i="3"/>
  <c r="BH40" i="3"/>
  <c r="BH22" i="3"/>
  <c r="BH19" i="3"/>
  <c r="BH42" i="3"/>
  <c r="BH34" i="3"/>
  <c r="BH38" i="3"/>
  <c r="BH43" i="3"/>
  <c r="BH11" i="3"/>
  <c r="BH5" i="3"/>
  <c r="BH14" i="3"/>
  <c r="BH45" i="3"/>
  <c r="BH30" i="3"/>
  <c r="BH17" i="3"/>
  <c r="BH9" i="3"/>
  <c r="BH6" i="3"/>
  <c r="BH3" i="3"/>
  <c r="BH15" i="3"/>
  <c r="BH23" i="3"/>
  <c r="BH13" i="3"/>
  <c r="BH28" i="3"/>
  <c r="BH8" i="3"/>
  <c r="BH27" i="3"/>
  <c r="BH12" i="3"/>
  <c r="BH16" i="3"/>
  <c r="BH37" i="3"/>
  <c r="BH56" i="3"/>
  <c r="BH4" i="3"/>
  <c r="BH18" i="3"/>
  <c r="BH41" i="3"/>
  <c r="BH7" i="3"/>
  <c r="BG64" i="3" l="1"/>
  <c r="BH46" i="3"/>
  <c r="BH24" i="3"/>
  <c r="BJ2" i="3"/>
  <c r="BI60" i="3"/>
  <c r="BI56" i="3"/>
  <c r="BI59" i="3"/>
  <c r="BI61" i="3"/>
  <c r="BI50" i="3"/>
  <c r="BI58" i="3"/>
  <c r="BI57" i="3"/>
  <c r="BI52" i="3"/>
  <c r="BI51" i="3"/>
  <c r="BI29" i="3"/>
  <c r="BI36" i="3"/>
  <c r="BI15" i="3"/>
  <c r="BI4" i="3"/>
  <c r="BI53" i="3"/>
  <c r="BI41" i="3"/>
  <c r="BI27" i="3"/>
  <c r="BI55" i="3"/>
  <c r="BI33" i="3"/>
  <c r="BI39" i="3"/>
  <c r="BI38" i="3"/>
  <c r="BI42" i="3"/>
  <c r="BI34" i="3"/>
  <c r="BI11" i="3"/>
  <c r="BI35" i="3"/>
  <c r="BI30" i="3"/>
  <c r="BI12" i="3"/>
  <c r="BI37" i="3"/>
  <c r="BI49" i="3"/>
  <c r="BI43" i="3"/>
  <c r="BI14" i="3"/>
  <c r="BI19" i="3"/>
  <c r="BI45" i="3"/>
  <c r="BI22" i="3"/>
  <c r="BI9" i="3"/>
  <c r="BI6" i="3"/>
  <c r="BI21" i="3"/>
  <c r="BI31" i="3"/>
  <c r="BI18" i="3"/>
  <c r="BI40" i="3"/>
  <c r="BI32" i="3"/>
  <c r="BI10" i="3"/>
  <c r="BI44" i="3"/>
  <c r="BI54" i="3"/>
  <c r="BI8" i="3"/>
  <c r="BI28" i="3"/>
  <c r="BI16" i="3"/>
  <c r="BI13" i="3"/>
  <c r="BI17" i="3"/>
  <c r="BI20" i="3"/>
  <c r="BI3" i="3"/>
  <c r="BI5" i="3"/>
  <c r="BI23" i="3"/>
  <c r="BI7" i="3"/>
  <c r="BH62" i="3"/>
  <c r="BH64" i="3" s="1"/>
  <c r="BI24" i="3" l="1"/>
  <c r="BK2" i="3"/>
  <c r="BJ60" i="3"/>
  <c r="BJ49" i="3"/>
  <c r="BJ35" i="3"/>
  <c r="BJ56" i="3"/>
  <c r="BJ42" i="3"/>
  <c r="BJ55" i="3"/>
  <c r="BJ58" i="3"/>
  <c r="BJ61" i="3"/>
  <c r="BJ57" i="3"/>
  <c r="BJ59" i="3"/>
  <c r="BJ53" i="3"/>
  <c r="BJ36" i="3"/>
  <c r="BJ15" i="3"/>
  <c r="BJ4" i="3"/>
  <c r="BJ41" i="3"/>
  <c r="BJ33" i="3"/>
  <c r="BJ28" i="3"/>
  <c r="BJ40" i="3"/>
  <c r="BJ39" i="3"/>
  <c r="BJ38" i="3"/>
  <c r="BJ50" i="3"/>
  <c r="BJ45" i="3"/>
  <c r="BJ11" i="3"/>
  <c r="BJ37" i="3"/>
  <c r="BJ31" i="3"/>
  <c r="BJ52" i="3"/>
  <c r="BJ44" i="3"/>
  <c r="BJ22" i="3"/>
  <c r="BJ30" i="3"/>
  <c r="BJ19" i="3"/>
  <c r="BJ17" i="3"/>
  <c r="BJ21" i="3"/>
  <c r="BJ12" i="3"/>
  <c r="BJ3" i="3"/>
  <c r="BJ34" i="3"/>
  <c r="BJ54" i="3"/>
  <c r="BJ7" i="3"/>
  <c r="BJ23" i="3"/>
  <c r="BJ20" i="3"/>
  <c r="BJ13" i="3"/>
  <c r="BJ32" i="3"/>
  <c r="BJ27" i="3"/>
  <c r="BJ16" i="3"/>
  <c r="BJ8" i="3"/>
  <c r="BJ43" i="3"/>
  <c r="BJ9" i="3"/>
  <c r="BJ29" i="3"/>
  <c r="BJ51" i="3"/>
  <c r="BJ18" i="3"/>
  <c r="BJ14" i="3"/>
  <c r="BJ5" i="3"/>
  <c r="BJ10" i="3"/>
  <c r="BJ6" i="3"/>
  <c r="BI46" i="3"/>
  <c r="BI62" i="3"/>
  <c r="BI64" i="3" l="1"/>
  <c r="BJ24" i="3"/>
  <c r="BJ46" i="3"/>
  <c r="BJ62" i="3"/>
  <c r="BL2" i="3"/>
  <c r="BK56" i="3"/>
  <c r="BK52" i="3"/>
  <c r="BK55" i="3"/>
  <c r="BK61" i="3"/>
  <c r="BK58" i="3"/>
  <c r="BK57" i="3"/>
  <c r="BK59" i="3"/>
  <c r="BK53" i="3"/>
  <c r="BK51" i="3"/>
  <c r="BK41" i="3"/>
  <c r="BK33" i="3"/>
  <c r="BK28" i="3"/>
  <c r="BK20" i="3"/>
  <c r="BK9" i="3"/>
  <c r="BK43" i="3"/>
  <c r="BK50" i="3"/>
  <c r="BK37" i="3"/>
  <c r="BK34" i="3"/>
  <c r="BK60" i="3"/>
  <c r="BK42" i="3"/>
  <c r="BK39" i="3"/>
  <c r="BK38" i="3"/>
  <c r="BK40" i="3"/>
  <c r="BK30" i="3"/>
  <c r="BK12" i="3"/>
  <c r="BK36" i="3"/>
  <c r="BK13" i="3"/>
  <c r="BK44" i="3"/>
  <c r="BK29" i="3"/>
  <c r="BK49" i="3"/>
  <c r="BK45" i="3"/>
  <c r="BK19" i="3"/>
  <c r="BK17" i="3"/>
  <c r="BK6" i="3"/>
  <c r="BK21" i="3"/>
  <c r="BK15" i="3"/>
  <c r="BK54" i="3"/>
  <c r="BK31" i="3"/>
  <c r="BK7" i="3"/>
  <c r="BK32" i="3"/>
  <c r="BK10" i="3"/>
  <c r="BK8" i="3"/>
  <c r="BK11" i="3"/>
  <c r="BK16" i="3"/>
  <c r="BK27" i="3"/>
  <c r="BK22" i="3"/>
  <c r="BK35" i="3"/>
  <c r="BK5" i="3"/>
  <c r="BK14" i="3"/>
  <c r="BK4" i="3"/>
  <c r="BK23" i="3"/>
  <c r="BK3" i="3"/>
  <c r="BK18" i="3"/>
  <c r="BJ64" i="3" l="1"/>
  <c r="BK24" i="3"/>
  <c r="BM2" i="3"/>
  <c r="BL56" i="3"/>
  <c r="BL42" i="3"/>
  <c r="BL52" i="3"/>
  <c r="BL38" i="3"/>
  <c r="BL51" i="3"/>
  <c r="BL54" i="3"/>
  <c r="BL58" i="3"/>
  <c r="BL57" i="3"/>
  <c r="BL59" i="3"/>
  <c r="BL53" i="3"/>
  <c r="BL30" i="3"/>
  <c r="BL60" i="3"/>
  <c r="BL61" i="3"/>
  <c r="BL33" i="3"/>
  <c r="BL28" i="3"/>
  <c r="BL20" i="3"/>
  <c r="BL9" i="3"/>
  <c r="BL43" i="3"/>
  <c r="BL45" i="3"/>
  <c r="BL39" i="3"/>
  <c r="BL40" i="3"/>
  <c r="BL44" i="3"/>
  <c r="BL50" i="3"/>
  <c r="BL37" i="3"/>
  <c r="BL21" i="3"/>
  <c r="BL12" i="3"/>
  <c r="BL36" i="3"/>
  <c r="BL35" i="3"/>
  <c r="BL31" i="3"/>
  <c r="BL41" i="3"/>
  <c r="BL55" i="3"/>
  <c r="BL19" i="3"/>
  <c r="BL17" i="3"/>
  <c r="BL6" i="3"/>
  <c r="BL34" i="3"/>
  <c r="BL7" i="3"/>
  <c r="BL49" i="3"/>
  <c r="BL18" i="3"/>
  <c r="BL27" i="3"/>
  <c r="BL16" i="3"/>
  <c r="BL8" i="3"/>
  <c r="BL22" i="3"/>
  <c r="BL13" i="3"/>
  <c r="BL32" i="3"/>
  <c r="BL29" i="3"/>
  <c r="BL14" i="3"/>
  <c r="BL10" i="3"/>
  <c r="BL4" i="3"/>
  <c r="BL3" i="3"/>
  <c r="BL5" i="3"/>
  <c r="BL11" i="3"/>
  <c r="BL23" i="3"/>
  <c r="BL15" i="3"/>
  <c r="BK46" i="3"/>
  <c r="BK62" i="3"/>
  <c r="BK64" i="3" l="1"/>
  <c r="BL62" i="3"/>
  <c r="BL46" i="3"/>
  <c r="BL24" i="3"/>
  <c r="BN2" i="3"/>
  <c r="BM59" i="3"/>
  <c r="BM57" i="3"/>
  <c r="BM53" i="3"/>
  <c r="BM51" i="3"/>
  <c r="BM60" i="3"/>
  <c r="BM43" i="3"/>
  <c r="BM45" i="3"/>
  <c r="BM39" i="3"/>
  <c r="BM14" i="3"/>
  <c r="BM3" i="3"/>
  <c r="BM58" i="3"/>
  <c r="BM56" i="3"/>
  <c r="BM49" i="3"/>
  <c r="BM50" i="3"/>
  <c r="BM40" i="3"/>
  <c r="BM37" i="3"/>
  <c r="BM30" i="3"/>
  <c r="BM52" i="3"/>
  <c r="BM36" i="3"/>
  <c r="BM35" i="3"/>
  <c r="BM31" i="3"/>
  <c r="BM13" i="3"/>
  <c r="BM44" i="3"/>
  <c r="BM23" i="3"/>
  <c r="BM20" i="3"/>
  <c r="BM55" i="3"/>
  <c r="BM61" i="3"/>
  <c r="BM17" i="3"/>
  <c r="BM9" i="3"/>
  <c r="BM6" i="3"/>
  <c r="BM12" i="3"/>
  <c r="BM34" i="3"/>
  <c r="BM15" i="3"/>
  <c r="BM54" i="3"/>
  <c r="BM18" i="3"/>
  <c r="BM42" i="3"/>
  <c r="BM28" i="3"/>
  <c r="BM8" i="3"/>
  <c r="BM27" i="3"/>
  <c r="BM21" i="3"/>
  <c r="BM16" i="3"/>
  <c r="BM19" i="3"/>
  <c r="BM38" i="3"/>
  <c r="BM22" i="3"/>
  <c r="BM32" i="3"/>
  <c r="BM29" i="3"/>
  <c r="BM10" i="3"/>
  <c r="BM4" i="3"/>
  <c r="BM5" i="3"/>
  <c r="BM11" i="3"/>
  <c r="BM41" i="3"/>
  <c r="BM33" i="3"/>
  <c r="BM7" i="3"/>
  <c r="BL64" i="3" l="1"/>
  <c r="BM46" i="3"/>
  <c r="BM62" i="3"/>
  <c r="BO2" i="3"/>
  <c r="BN52" i="3"/>
  <c r="BN38" i="3"/>
  <c r="BN59" i="3"/>
  <c r="BN45" i="3"/>
  <c r="BN34" i="3"/>
  <c r="BN58" i="3"/>
  <c r="BN61" i="3"/>
  <c r="BN53" i="3"/>
  <c r="BN51" i="3"/>
  <c r="BN30" i="3"/>
  <c r="BN60" i="3"/>
  <c r="BN56" i="3"/>
  <c r="BN39" i="3"/>
  <c r="BN14" i="3"/>
  <c r="BN3" i="3"/>
  <c r="BN27" i="3"/>
  <c r="BN57" i="3"/>
  <c r="BN54" i="3"/>
  <c r="BN55" i="3"/>
  <c r="BN44" i="3"/>
  <c r="BN42" i="3"/>
  <c r="BN40" i="3"/>
  <c r="BN37" i="3"/>
  <c r="BN21" i="3"/>
  <c r="BN41" i="3"/>
  <c r="BN13" i="3"/>
  <c r="BN50" i="3"/>
  <c r="BN6" i="3"/>
  <c r="BN9" i="3"/>
  <c r="BN15" i="3"/>
  <c r="BN7" i="3"/>
  <c r="BN36" i="3"/>
  <c r="BN49" i="3"/>
  <c r="BN31" i="3"/>
  <c r="BN18" i="3"/>
  <c r="BN32" i="3"/>
  <c r="BN23" i="3"/>
  <c r="BN10" i="3"/>
  <c r="BN4" i="3"/>
  <c r="BN16" i="3"/>
  <c r="BN28" i="3"/>
  <c r="BN43" i="3"/>
  <c r="BN12" i="3"/>
  <c r="BN8" i="3"/>
  <c r="BN19" i="3"/>
  <c r="BN22" i="3"/>
  <c r="BN17" i="3"/>
  <c r="BN29" i="3"/>
  <c r="BN20" i="3"/>
  <c r="BN35" i="3"/>
  <c r="BN33" i="3"/>
  <c r="BN11" i="3"/>
  <c r="BN5" i="3"/>
  <c r="BM24" i="3"/>
  <c r="BM64" i="3" l="1"/>
  <c r="BN24" i="3"/>
  <c r="BN62" i="3"/>
  <c r="BN46" i="3"/>
  <c r="BP2" i="3"/>
  <c r="BO59" i="3"/>
  <c r="BO55" i="3"/>
  <c r="BO58" i="3"/>
  <c r="BO61" i="3"/>
  <c r="BO51" i="3"/>
  <c r="BO60" i="3"/>
  <c r="BO56" i="3"/>
  <c r="BO45" i="3"/>
  <c r="BO57" i="3"/>
  <c r="BO54" i="3"/>
  <c r="BO53" i="3"/>
  <c r="BO27" i="3"/>
  <c r="BO19" i="3"/>
  <c r="BO8" i="3"/>
  <c r="BO40" i="3"/>
  <c r="BO23" i="3"/>
  <c r="BO30" i="3"/>
  <c r="BO52" i="3"/>
  <c r="BO20" i="3"/>
  <c r="BO37" i="3"/>
  <c r="BO44" i="3"/>
  <c r="BO14" i="3"/>
  <c r="BO28" i="3"/>
  <c r="BO21" i="3"/>
  <c r="BO3" i="3"/>
  <c r="BO9" i="3"/>
  <c r="BO12" i="3"/>
  <c r="BO34" i="3"/>
  <c r="BO7" i="3"/>
  <c r="BO36" i="3"/>
  <c r="BO31" i="3"/>
  <c r="BO18" i="3"/>
  <c r="BO49" i="3"/>
  <c r="BO32" i="3"/>
  <c r="BO10" i="3"/>
  <c r="BO4" i="3"/>
  <c r="BO41" i="3"/>
  <c r="BO42" i="3"/>
  <c r="BO50" i="3"/>
  <c r="BO43" i="3"/>
  <c r="BO39" i="3"/>
  <c r="BO38" i="3"/>
  <c r="BO5" i="3"/>
  <c r="BO35" i="3"/>
  <c r="BO29" i="3"/>
  <c r="BO22" i="3"/>
  <c r="BO11" i="3"/>
  <c r="BO16" i="3"/>
  <c r="BO13" i="3"/>
  <c r="BO17" i="3"/>
  <c r="BO15" i="3"/>
  <c r="BO33" i="3"/>
  <c r="BO6" i="3"/>
  <c r="BN64" i="3" l="1"/>
  <c r="BO62" i="3"/>
  <c r="BQ2" i="3"/>
  <c r="BP59" i="3"/>
  <c r="BP45" i="3"/>
  <c r="BP34" i="3"/>
  <c r="BP55" i="3"/>
  <c r="BP41" i="3"/>
  <c r="BP54" i="3"/>
  <c r="BP57" i="3"/>
  <c r="BP60" i="3"/>
  <c r="BP56" i="3"/>
  <c r="BP61" i="3"/>
  <c r="BP53" i="3"/>
  <c r="BP27" i="3"/>
  <c r="BP19" i="3"/>
  <c r="BP8" i="3"/>
  <c r="BP50" i="3"/>
  <c r="BP37" i="3"/>
  <c r="BP58" i="3"/>
  <c r="BP49" i="3"/>
  <c r="BP30" i="3"/>
  <c r="BP32" i="3"/>
  <c r="BP28" i="3"/>
  <c r="BP22" i="3"/>
  <c r="BP52" i="3"/>
  <c r="BP20" i="3"/>
  <c r="BP44" i="3"/>
  <c r="BP23" i="3"/>
  <c r="BP51" i="3"/>
  <c r="BP9" i="3"/>
  <c r="BP12" i="3"/>
  <c r="BP3" i="3"/>
  <c r="BP21" i="3"/>
  <c r="BP15" i="3"/>
  <c r="BP36" i="3"/>
  <c r="BP31" i="3"/>
  <c r="BP18" i="3"/>
  <c r="BP10" i="3"/>
  <c r="BP4" i="3"/>
  <c r="BP13" i="3"/>
  <c r="BP43" i="3"/>
  <c r="BP40" i="3"/>
  <c r="BP39" i="3"/>
  <c r="BP38" i="3"/>
  <c r="BP29" i="3"/>
  <c r="BP16" i="3"/>
  <c r="BP42" i="3"/>
  <c r="BP17" i="3"/>
  <c r="BP14" i="3"/>
  <c r="BP5" i="3"/>
  <c r="BP35" i="3"/>
  <c r="BP7" i="3"/>
  <c r="BP6" i="3"/>
  <c r="BP33" i="3"/>
  <c r="BP11" i="3"/>
  <c r="BO24" i="3"/>
  <c r="BO46" i="3"/>
  <c r="BO64" i="3" l="1"/>
  <c r="BP62" i="3"/>
  <c r="BP46" i="3"/>
  <c r="BP24" i="3"/>
  <c r="BR2" i="3"/>
  <c r="BQ55" i="3"/>
  <c r="BQ51" i="3"/>
  <c r="BQ54" i="3"/>
  <c r="BQ60" i="3"/>
  <c r="BQ59" i="3"/>
  <c r="BQ56" i="3"/>
  <c r="BQ61" i="3"/>
  <c r="BQ57" i="3"/>
  <c r="BQ50" i="3"/>
  <c r="BQ37" i="3"/>
  <c r="BQ13" i="3"/>
  <c r="BQ44" i="3"/>
  <c r="BQ42" i="3"/>
  <c r="BQ58" i="3"/>
  <c r="BQ49" i="3"/>
  <c r="BQ32" i="3"/>
  <c r="BQ28" i="3"/>
  <c r="BQ52" i="3"/>
  <c r="BQ36" i="3"/>
  <c r="BQ45" i="3"/>
  <c r="BQ30" i="3"/>
  <c r="BQ23" i="3"/>
  <c r="BQ14" i="3"/>
  <c r="BQ29" i="3"/>
  <c r="BQ15" i="3"/>
  <c r="BQ53" i="3"/>
  <c r="BQ18" i="3"/>
  <c r="BQ12" i="3"/>
  <c r="BQ3" i="3"/>
  <c r="BQ21" i="3"/>
  <c r="BQ7" i="3"/>
  <c r="BQ31" i="3"/>
  <c r="BQ41" i="3"/>
  <c r="BQ16" i="3"/>
  <c r="BQ39" i="3"/>
  <c r="BQ38" i="3"/>
  <c r="BQ8" i="3"/>
  <c r="BQ35" i="3"/>
  <c r="BQ11" i="3"/>
  <c r="BQ33" i="3"/>
  <c r="BQ43" i="3"/>
  <c r="BQ19" i="3"/>
  <c r="BQ34" i="3"/>
  <c r="BQ40" i="3"/>
  <c r="BQ17" i="3"/>
  <c r="BQ20" i="3"/>
  <c r="BQ22" i="3"/>
  <c r="BQ9" i="3"/>
  <c r="BQ10" i="3"/>
  <c r="BQ4" i="3"/>
  <c r="BQ5" i="3"/>
  <c r="BQ6" i="3"/>
  <c r="BQ27" i="3"/>
  <c r="BP64" i="3" l="1"/>
  <c r="BQ24" i="3"/>
  <c r="BQ46" i="3"/>
  <c r="BQ62" i="3"/>
  <c r="BS2" i="3"/>
  <c r="BR55" i="3"/>
  <c r="BR41" i="3"/>
  <c r="BR51" i="3"/>
  <c r="BR37" i="3"/>
  <c r="BR61" i="3"/>
  <c r="BR60" i="3"/>
  <c r="BR56" i="3"/>
  <c r="BR59" i="3"/>
  <c r="BR54" i="3"/>
  <c r="BR50" i="3"/>
  <c r="BR13" i="3"/>
  <c r="BR34" i="3"/>
  <c r="BR49" i="3"/>
  <c r="BR32" i="3"/>
  <c r="BR28" i="3"/>
  <c r="BR22" i="3"/>
  <c r="BR52" i="3"/>
  <c r="BR36" i="3"/>
  <c r="BR45" i="3"/>
  <c r="BR44" i="3"/>
  <c r="BR14" i="3"/>
  <c r="BR38" i="3"/>
  <c r="BR57" i="3"/>
  <c r="BR43" i="3"/>
  <c r="BR30" i="3"/>
  <c r="BR12" i="3"/>
  <c r="BR3" i="3"/>
  <c r="BR21" i="3"/>
  <c r="BR15" i="3"/>
  <c r="BR7" i="3"/>
  <c r="BR18" i="3"/>
  <c r="BR10" i="3"/>
  <c r="BR4" i="3"/>
  <c r="BR23" i="3"/>
  <c r="BR16" i="3"/>
  <c r="BR27" i="3"/>
  <c r="BR20" i="3"/>
  <c r="BR35" i="3"/>
  <c r="BR29" i="3"/>
  <c r="BR17" i="3"/>
  <c r="BR8" i="3"/>
  <c r="BR42" i="3"/>
  <c r="BR19" i="3"/>
  <c r="BR31" i="3"/>
  <c r="BR58" i="3"/>
  <c r="BR53" i="3"/>
  <c r="BR40" i="3"/>
  <c r="BR9" i="3"/>
  <c r="BR5" i="3"/>
  <c r="BR39" i="3"/>
  <c r="BR33" i="3"/>
  <c r="BR11" i="3"/>
  <c r="BR6" i="3"/>
  <c r="BQ64" i="3" l="1"/>
  <c r="BR62" i="3"/>
  <c r="BR46" i="3"/>
  <c r="BT2" i="3"/>
  <c r="BS58" i="3"/>
  <c r="BS61" i="3"/>
  <c r="BS37" i="3"/>
  <c r="BS34" i="3"/>
  <c r="BS18" i="3"/>
  <c r="BS7" i="3"/>
  <c r="BS35" i="3"/>
  <c r="BS22" i="3"/>
  <c r="BS60" i="3"/>
  <c r="BS52" i="3"/>
  <c r="BS36" i="3"/>
  <c r="BS45" i="3"/>
  <c r="BS41" i="3"/>
  <c r="BS59" i="3"/>
  <c r="BS29" i="3"/>
  <c r="BS15" i="3"/>
  <c r="BS38" i="3"/>
  <c r="BS16" i="3"/>
  <c r="BS6" i="3"/>
  <c r="BS5" i="3"/>
  <c r="BS4" i="3"/>
  <c r="BS3" i="3"/>
  <c r="BS57" i="3"/>
  <c r="BS51" i="3"/>
  <c r="BS54" i="3"/>
  <c r="BS55" i="3"/>
  <c r="BS21" i="3"/>
  <c r="BS31" i="3"/>
  <c r="BS10" i="3"/>
  <c r="BS49" i="3"/>
  <c r="BS32" i="3"/>
  <c r="BS23" i="3"/>
  <c r="BS27" i="3"/>
  <c r="BS20" i="3"/>
  <c r="BS13" i="3"/>
  <c r="BS42" i="3"/>
  <c r="BS40" i="3"/>
  <c r="BS50" i="3"/>
  <c r="BS28" i="3"/>
  <c r="BS11" i="3"/>
  <c r="BS33" i="3"/>
  <c r="BS19" i="3"/>
  <c r="BS14" i="3"/>
  <c r="BS43" i="3"/>
  <c r="BS12" i="3"/>
  <c r="BS53" i="3"/>
  <c r="BS17" i="3"/>
  <c r="BS9" i="3"/>
  <c r="BS56" i="3"/>
  <c r="BS39" i="3"/>
  <c r="BS44" i="3"/>
  <c r="BS8" i="3"/>
  <c r="BS30" i="3"/>
  <c r="BR24" i="3"/>
  <c r="BR64" i="3" l="1"/>
  <c r="BS62" i="3"/>
  <c r="BS24" i="3"/>
  <c r="BU2" i="3"/>
  <c r="BT51" i="3"/>
  <c r="BT37" i="3"/>
  <c r="BT58" i="3"/>
  <c r="BT44" i="3"/>
  <c r="BT33" i="3"/>
  <c r="BT57" i="3"/>
  <c r="BT60" i="3"/>
  <c r="BT29" i="3"/>
  <c r="BT61" i="3"/>
  <c r="BT34" i="3"/>
  <c r="BT18" i="3"/>
  <c r="BT7" i="3"/>
  <c r="BT23" i="3"/>
  <c r="BT40" i="3"/>
  <c r="BT52" i="3"/>
  <c r="BT45" i="3"/>
  <c r="BT41" i="3"/>
  <c r="BT42" i="3"/>
  <c r="BT59" i="3"/>
  <c r="BT15" i="3"/>
  <c r="BT38" i="3"/>
  <c r="BT49" i="3"/>
  <c r="BT39" i="3"/>
  <c r="BT31" i="3"/>
  <c r="BT4" i="3"/>
  <c r="BT32" i="3"/>
  <c r="BT54" i="3"/>
  <c r="BT27" i="3"/>
  <c r="BT20" i="3"/>
  <c r="BT16" i="3"/>
  <c r="BT13" i="3"/>
  <c r="BT56" i="3"/>
  <c r="BT43" i="3"/>
  <c r="BT8" i="3"/>
  <c r="BT35" i="3"/>
  <c r="BT22" i="3"/>
  <c r="BT17" i="3"/>
  <c r="BT19" i="3"/>
  <c r="BT12" i="3"/>
  <c r="BT28" i="3"/>
  <c r="BT36" i="3"/>
  <c r="BT53" i="3"/>
  <c r="BT9" i="3"/>
  <c r="BT10" i="3"/>
  <c r="BT5" i="3"/>
  <c r="BT14" i="3"/>
  <c r="BT3" i="3"/>
  <c r="BT6" i="3"/>
  <c r="BT11" i="3"/>
  <c r="BT30" i="3"/>
  <c r="BT21" i="3"/>
  <c r="BT55" i="3"/>
  <c r="BT50" i="3"/>
  <c r="BS46" i="3"/>
  <c r="BS64" i="3" l="1"/>
  <c r="BT46" i="3"/>
  <c r="BV2" i="3"/>
  <c r="BU58" i="3"/>
  <c r="BU54" i="3"/>
  <c r="BU57" i="3"/>
  <c r="BU61" i="3"/>
  <c r="BU33" i="3"/>
  <c r="BU55" i="3"/>
  <c r="BU52" i="3"/>
  <c r="BU40" i="3"/>
  <c r="BU23" i="3"/>
  <c r="BU12" i="3"/>
  <c r="BU49" i="3"/>
  <c r="BU38" i="3"/>
  <c r="BU56" i="3"/>
  <c r="BU41" i="3"/>
  <c r="BU29" i="3"/>
  <c r="BU4" i="3"/>
  <c r="BU37" i="3"/>
  <c r="BU16" i="3"/>
  <c r="BU6" i="3"/>
  <c r="BU5" i="3"/>
  <c r="BU3" i="3"/>
  <c r="BU51" i="3"/>
  <c r="BU21" i="3"/>
  <c r="BU17" i="3"/>
  <c r="BU7" i="3"/>
  <c r="BU53" i="3"/>
  <c r="BU50" i="3"/>
  <c r="BU45" i="3"/>
  <c r="BU42" i="3"/>
  <c r="BU34" i="3"/>
  <c r="BU10" i="3"/>
  <c r="BU31" i="3"/>
  <c r="BU15" i="3"/>
  <c r="BU36" i="3"/>
  <c r="BU32" i="3"/>
  <c r="BU27" i="3"/>
  <c r="BU20" i="3"/>
  <c r="BU43" i="3"/>
  <c r="BU8" i="3"/>
  <c r="BU59" i="3"/>
  <c r="BU39" i="3"/>
  <c r="BU44" i="3"/>
  <c r="BU19" i="3"/>
  <c r="BU14" i="3"/>
  <c r="BU9" i="3"/>
  <c r="BU28" i="3"/>
  <c r="BU60" i="3"/>
  <c r="BU13" i="3"/>
  <c r="BU22" i="3"/>
  <c r="BU35" i="3"/>
  <c r="BU18" i="3"/>
  <c r="BU30" i="3"/>
  <c r="BU11" i="3"/>
  <c r="BT62" i="3"/>
  <c r="BT24" i="3"/>
  <c r="BT64" i="3" l="1"/>
  <c r="BU46" i="3"/>
  <c r="BU62" i="3"/>
  <c r="BW2" i="3"/>
  <c r="BV58" i="3"/>
  <c r="BV44" i="3"/>
  <c r="BV33" i="3"/>
  <c r="BV54" i="3"/>
  <c r="BV40" i="3"/>
  <c r="BV53" i="3"/>
  <c r="BV56" i="3"/>
  <c r="BV59" i="3"/>
  <c r="BV61" i="3"/>
  <c r="BV55" i="3"/>
  <c r="BV52" i="3"/>
  <c r="BV36" i="3"/>
  <c r="BV35" i="3"/>
  <c r="BV34" i="3"/>
  <c r="BV32" i="3"/>
  <c r="BV23" i="3"/>
  <c r="BV12" i="3"/>
  <c r="BV42" i="3"/>
  <c r="BV37" i="3"/>
  <c r="BV16" i="3"/>
  <c r="BV6" i="3"/>
  <c r="BV5" i="3"/>
  <c r="BV4" i="3"/>
  <c r="BV3" i="3"/>
  <c r="BV38" i="3"/>
  <c r="BV51" i="3"/>
  <c r="BV57" i="3"/>
  <c r="BV50" i="3"/>
  <c r="BV43" i="3"/>
  <c r="BV60" i="3"/>
  <c r="BV45" i="3"/>
  <c r="BV31" i="3"/>
  <c r="BV15" i="3"/>
  <c r="BV7" i="3"/>
  <c r="BV10" i="3"/>
  <c r="BV18" i="3"/>
  <c r="BV49" i="3"/>
  <c r="BV27" i="3"/>
  <c r="BV20" i="3"/>
  <c r="BV13" i="3"/>
  <c r="BV41" i="3"/>
  <c r="BV8" i="3"/>
  <c r="BV39" i="3"/>
  <c r="BV28" i="3"/>
  <c r="BV11" i="3"/>
  <c r="BV22" i="3"/>
  <c r="BV29" i="3"/>
  <c r="BV9" i="3"/>
  <c r="BV17" i="3"/>
  <c r="BV14" i="3"/>
  <c r="BV30" i="3"/>
  <c r="BV21" i="3"/>
  <c r="BV19" i="3"/>
  <c r="BU24" i="3"/>
  <c r="BU64" i="3" l="1"/>
  <c r="BV46" i="3"/>
  <c r="BV24" i="3"/>
  <c r="BX2" i="3"/>
  <c r="BW54" i="3"/>
  <c r="BW61" i="3"/>
  <c r="BW50" i="3"/>
  <c r="BW53" i="3"/>
  <c r="BW59" i="3"/>
  <c r="BW55" i="3"/>
  <c r="BW52" i="3"/>
  <c r="BW40" i="3"/>
  <c r="BW42" i="3"/>
  <c r="BW17" i="3"/>
  <c r="BW6" i="3"/>
  <c r="BW60" i="3"/>
  <c r="BW31" i="3"/>
  <c r="BW30" i="3"/>
  <c r="BW21" i="3"/>
  <c r="BW56" i="3"/>
  <c r="BW43" i="3"/>
  <c r="BW41" i="3"/>
  <c r="BW45" i="3"/>
  <c r="BW38" i="3"/>
  <c r="BW51" i="3"/>
  <c r="BW7" i="3"/>
  <c r="BW57" i="3"/>
  <c r="BW8" i="3"/>
  <c r="BW27" i="3"/>
  <c r="BW19" i="3"/>
  <c r="BW58" i="3"/>
  <c r="BW10" i="3"/>
  <c r="BW18" i="3"/>
  <c r="BW36" i="3"/>
  <c r="BW34" i="3"/>
  <c r="BW32" i="3"/>
  <c r="BW20" i="3"/>
  <c r="BW13" i="3"/>
  <c r="BW23" i="3"/>
  <c r="BW39" i="3"/>
  <c r="BW28" i="3"/>
  <c r="BW11" i="3"/>
  <c r="BW5" i="3"/>
  <c r="BW29" i="3"/>
  <c r="BW14" i="3"/>
  <c r="BW44" i="3"/>
  <c r="BW33" i="3"/>
  <c r="BW9" i="3"/>
  <c r="BW16" i="3"/>
  <c r="BW12" i="3"/>
  <c r="BW49" i="3"/>
  <c r="BW22" i="3"/>
  <c r="BW4" i="3"/>
  <c r="BW37" i="3"/>
  <c r="BW3" i="3"/>
  <c r="BW35" i="3"/>
  <c r="BW15" i="3"/>
  <c r="BV62" i="3"/>
  <c r="BV64" i="3" s="1"/>
  <c r="BW46" i="3" l="1"/>
  <c r="BW24" i="3"/>
  <c r="BW62" i="3"/>
  <c r="BY2" i="3"/>
  <c r="BX54" i="3"/>
  <c r="BX40" i="3"/>
  <c r="BX61" i="3"/>
  <c r="BX50" i="3"/>
  <c r="BX36" i="3"/>
  <c r="BX60" i="3"/>
  <c r="BX55" i="3"/>
  <c r="BX52" i="3"/>
  <c r="BX35" i="3"/>
  <c r="BX34" i="3"/>
  <c r="BX33" i="3"/>
  <c r="BX32" i="3"/>
  <c r="BX39" i="3"/>
  <c r="BX38" i="3"/>
  <c r="BX37" i="3"/>
  <c r="BX42" i="3"/>
  <c r="BX17" i="3"/>
  <c r="BX6" i="3"/>
  <c r="BX22" i="3"/>
  <c r="BX44" i="3"/>
  <c r="BX58" i="3"/>
  <c r="BX56" i="3"/>
  <c r="BX51" i="3"/>
  <c r="BX23" i="3"/>
  <c r="BX11" i="3"/>
  <c r="BX10" i="3"/>
  <c r="BX9" i="3"/>
  <c r="BX8" i="3"/>
  <c r="BX7" i="3"/>
  <c r="BX57" i="3"/>
  <c r="BX21" i="3"/>
  <c r="BX28" i="3"/>
  <c r="BX53" i="3"/>
  <c r="BX43" i="3"/>
  <c r="BX41" i="3"/>
  <c r="BX45" i="3"/>
  <c r="BX49" i="3"/>
  <c r="BX4" i="3"/>
  <c r="BX18" i="3"/>
  <c r="BX27" i="3"/>
  <c r="BX16" i="3"/>
  <c r="BX59" i="3"/>
  <c r="BX5" i="3"/>
  <c r="BX19" i="3"/>
  <c r="BX30" i="3"/>
  <c r="BX3" i="3"/>
  <c r="BX31" i="3"/>
  <c r="BX13" i="3"/>
  <c r="BX29" i="3"/>
  <c r="BX20" i="3"/>
  <c r="BX14" i="3"/>
  <c r="BX15" i="3"/>
  <c r="BX12" i="3"/>
  <c r="BW64" i="3" l="1"/>
  <c r="BX62" i="3"/>
  <c r="BX46" i="3"/>
  <c r="BZ2" i="3"/>
  <c r="BY61" i="3"/>
  <c r="BY57" i="3"/>
  <c r="BY60" i="3"/>
  <c r="BY55" i="3"/>
  <c r="BY52" i="3"/>
  <c r="BY36" i="3"/>
  <c r="BY44" i="3"/>
  <c r="BY22" i="3"/>
  <c r="BY11" i="3"/>
  <c r="BY32" i="3"/>
  <c r="BY29" i="3"/>
  <c r="BY43" i="3"/>
  <c r="BY41" i="3"/>
  <c r="BY39" i="3"/>
  <c r="BY53" i="3"/>
  <c r="BY35" i="3"/>
  <c r="BY42" i="3"/>
  <c r="BY49" i="3"/>
  <c r="BY51" i="3"/>
  <c r="BY21" i="3"/>
  <c r="BY7" i="3"/>
  <c r="BY17" i="3"/>
  <c r="BY50" i="3"/>
  <c r="BY18" i="3"/>
  <c r="BY40" i="3"/>
  <c r="BY10" i="3"/>
  <c r="BY20" i="3"/>
  <c r="BY13" i="3"/>
  <c r="BY34" i="3"/>
  <c r="BY4" i="3"/>
  <c r="BY16" i="3"/>
  <c r="BY54" i="3"/>
  <c r="BY23" i="3"/>
  <c r="BY59" i="3"/>
  <c r="BY28" i="3"/>
  <c r="BY5" i="3"/>
  <c r="BY56" i="3"/>
  <c r="BY33" i="3"/>
  <c r="BY58" i="3"/>
  <c r="BY37" i="3"/>
  <c r="BY12" i="3"/>
  <c r="BY3" i="3"/>
  <c r="BY45" i="3"/>
  <c r="BY31" i="3"/>
  <c r="BY38" i="3"/>
  <c r="BY9" i="3"/>
  <c r="BY14" i="3"/>
  <c r="BY6" i="3"/>
  <c r="BY30" i="3"/>
  <c r="BY15" i="3"/>
  <c r="BY8" i="3"/>
  <c r="BY27" i="3"/>
  <c r="BY19" i="3"/>
  <c r="BX24" i="3"/>
  <c r="BX64" i="3" l="1"/>
  <c r="BY62" i="3"/>
  <c r="BY46" i="3"/>
  <c r="BY24" i="3"/>
  <c r="BZ61" i="3"/>
  <c r="CA61" i="3" s="1"/>
  <c r="BZ50" i="3"/>
  <c r="CA50" i="3" s="1"/>
  <c r="BZ36" i="3"/>
  <c r="CA36" i="3" s="1"/>
  <c r="BZ57" i="3"/>
  <c r="CA57" i="3" s="1"/>
  <c r="BZ43" i="3"/>
  <c r="CA43" i="3" s="1"/>
  <c r="BZ56" i="3"/>
  <c r="CA56" i="3" s="1"/>
  <c r="BZ59" i="3"/>
  <c r="CA59" i="3" s="1"/>
  <c r="BZ39" i="3"/>
  <c r="CA39" i="3" s="1"/>
  <c r="BZ38" i="3"/>
  <c r="CA38" i="3" s="1"/>
  <c r="BZ37" i="3"/>
  <c r="CA37" i="3" s="1"/>
  <c r="BZ28" i="3"/>
  <c r="CA28" i="3" s="1"/>
  <c r="BZ42" i="3"/>
  <c r="CA42" i="3" s="1"/>
  <c r="BZ41" i="3"/>
  <c r="CA41" i="3" s="1"/>
  <c r="BZ40" i="3"/>
  <c r="CA40" i="3" s="1"/>
  <c r="BZ44" i="3"/>
  <c r="CA44" i="3" s="1"/>
  <c r="BZ22" i="3"/>
  <c r="CA22" i="3" s="1"/>
  <c r="BZ11" i="3"/>
  <c r="CA11" i="3" s="1"/>
  <c r="BZ49" i="3"/>
  <c r="CA49" i="3" s="1"/>
  <c r="BZ35" i="3"/>
  <c r="CA35" i="3" s="1"/>
  <c r="BZ58" i="3"/>
  <c r="CA58" i="3" s="1"/>
  <c r="BZ45" i="3"/>
  <c r="CA45" i="3" s="1"/>
  <c r="BZ23" i="3"/>
  <c r="CA23" i="3" s="1"/>
  <c r="BZ16" i="3"/>
  <c r="CA16" i="3" s="1"/>
  <c r="BZ15" i="3"/>
  <c r="CA15" i="3" s="1"/>
  <c r="BZ14" i="3"/>
  <c r="CA14" i="3" s="1"/>
  <c r="BZ13" i="3"/>
  <c r="CA13" i="3" s="1"/>
  <c r="BZ12" i="3"/>
  <c r="CA12" i="3" s="1"/>
  <c r="BZ17" i="3"/>
  <c r="CA17" i="3" s="1"/>
  <c r="BZ8" i="3"/>
  <c r="CA8" i="3" s="1"/>
  <c r="BZ53" i="3"/>
  <c r="CA53" i="3" s="1"/>
  <c r="BZ52" i="3"/>
  <c r="CA52" i="3" s="1"/>
  <c r="BZ9" i="3"/>
  <c r="CA9" i="3" s="1"/>
  <c r="BZ34" i="3"/>
  <c r="CA34" i="3" s="1"/>
  <c r="BZ18" i="3"/>
  <c r="CA18" i="3" s="1"/>
  <c r="BZ7" i="3"/>
  <c r="CA7" i="3" s="1"/>
  <c r="BZ27" i="3"/>
  <c r="CA27" i="3" s="1"/>
  <c r="BZ4" i="3"/>
  <c r="CA4" i="3" s="1"/>
  <c r="BZ20" i="3"/>
  <c r="CA20" i="3" s="1"/>
  <c r="BZ60" i="3"/>
  <c r="CA60" i="3" s="1"/>
  <c r="BZ54" i="3"/>
  <c r="CA54" i="3" s="1"/>
  <c r="BZ30" i="3"/>
  <c r="CA30" i="3" s="1"/>
  <c r="BZ6" i="3"/>
  <c r="CA6" i="3" s="1"/>
  <c r="BZ31" i="3"/>
  <c r="CA31" i="3" s="1"/>
  <c r="BZ10" i="3"/>
  <c r="CA10" i="3" s="1"/>
  <c r="BZ5" i="3"/>
  <c r="CA5" i="3" s="1"/>
  <c r="BZ32" i="3"/>
  <c r="CA32" i="3" s="1"/>
  <c r="BZ3" i="3"/>
  <c r="CA3" i="3" s="1"/>
  <c r="BZ29" i="3"/>
  <c r="CA29" i="3" s="1"/>
  <c r="BZ51" i="3"/>
  <c r="CA51" i="3" s="1"/>
  <c r="BZ33" i="3"/>
  <c r="CA33" i="3" s="1"/>
  <c r="BZ55" i="3"/>
  <c r="CA55" i="3" s="1"/>
  <c r="BZ21" i="3"/>
  <c r="CA21" i="3" s="1"/>
  <c r="BZ19" i="3"/>
  <c r="CA19" i="3" s="1"/>
  <c r="BY64" i="3" l="1"/>
  <c r="BZ46" i="3"/>
  <c r="CA46" i="3" s="1"/>
  <c r="BZ24" i="3"/>
  <c r="CA24" i="3" s="1"/>
  <c r="BZ62" i="3"/>
  <c r="CA62" i="3" l="1"/>
  <c r="CA64" i="3" s="1"/>
  <c r="BZ64" i="3"/>
</calcChain>
</file>

<file path=xl/sharedStrings.xml><?xml version="1.0" encoding="utf-8"?>
<sst xmlns="http://schemas.openxmlformats.org/spreadsheetml/2006/main" count="2190" uniqueCount="373">
  <si>
    <t>Property Short Name</t>
  </si>
  <si>
    <t>Portfolio</t>
  </si>
  <si>
    <t>Project Category</t>
  </si>
  <si>
    <t>Project Description</t>
  </si>
  <si>
    <t>Cost</t>
  </si>
  <si>
    <t>Start Date</t>
  </si>
  <si>
    <t>End Date</t>
  </si>
  <si>
    <t>NGMH</t>
  </si>
  <si>
    <t>JREFII</t>
  </si>
  <si>
    <t>Miscellaneous</t>
  </si>
  <si>
    <t>Maintenance Shed</t>
  </si>
  <si>
    <t>SH</t>
  </si>
  <si>
    <t>Utilities - Water</t>
  </si>
  <si>
    <t>Winterize Well</t>
  </si>
  <si>
    <t>Well Control Box</t>
  </si>
  <si>
    <t>Generator</t>
  </si>
  <si>
    <t>TO</t>
  </si>
  <si>
    <t>Fencing</t>
  </si>
  <si>
    <t>Amenities</t>
  </si>
  <si>
    <t>Picnic Tables &amp; Pool Furniture</t>
  </si>
  <si>
    <t>APPLE</t>
  </si>
  <si>
    <t>JREFI</t>
  </si>
  <si>
    <t>Utilities - Sewer</t>
  </si>
  <si>
    <t>Generator for Lift Station + Hookup</t>
  </si>
  <si>
    <t>Signage</t>
  </si>
  <si>
    <t>Sign Package</t>
  </si>
  <si>
    <t>Landscaping</t>
  </si>
  <si>
    <t>Tree Trimming</t>
  </si>
  <si>
    <t>BELL</t>
  </si>
  <si>
    <t>Mower</t>
  </si>
  <si>
    <t>CARL</t>
  </si>
  <si>
    <t>One time tree trimming removal</t>
  </si>
  <si>
    <t>Permanent Structures</t>
  </si>
  <si>
    <t>Maintenance building removal/storage addition</t>
  </si>
  <si>
    <t>Sewer Tie-In/Septic</t>
  </si>
  <si>
    <t>New Sign</t>
  </si>
  <si>
    <t>CENT</t>
  </si>
  <si>
    <t>CONG</t>
  </si>
  <si>
    <t>Lighting</t>
  </si>
  <si>
    <t>Solar Lights</t>
  </si>
  <si>
    <t>JBJ</t>
  </si>
  <si>
    <t>Sewer Tie-in/Septic</t>
  </si>
  <si>
    <t>Tree Removal Project</t>
  </si>
  <si>
    <t>LS</t>
  </si>
  <si>
    <t>Clubhouse furniture</t>
  </si>
  <si>
    <t>Paint exterior clubhouse</t>
  </si>
  <si>
    <t>LUCK</t>
  </si>
  <si>
    <t>Office New Roof</t>
  </si>
  <si>
    <t>PL</t>
  </si>
  <si>
    <t>Fencing in the dumpster area</t>
  </si>
  <si>
    <t>Ice Machine</t>
  </si>
  <si>
    <t>Community Signage</t>
  </si>
  <si>
    <t>Waste water pond issue</t>
  </si>
  <si>
    <t xml:space="preserve">Upgrade bahthouse </t>
  </si>
  <si>
    <t>Utilities - Electrical</t>
  </si>
  <si>
    <t>XX</t>
  </si>
  <si>
    <t>PPH</t>
  </si>
  <si>
    <t>RIV</t>
  </si>
  <si>
    <t>Paving &amp; Roads</t>
  </si>
  <si>
    <t>Speedbumps</t>
  </si>
  <si>
    <t>Security Cameras for Entry Gate</t>
  </si>
  <si>
    <t>RO</t>
  </si>
  <si>
    <t>Shuffle Board Court Refurb / Shade</t>
  </si>
  <si>
    <t>Lot Preparation</t>
  </si>
  <si>
    <t>RV Site Prep</t>
  </si>
  <si>
    <t>Clubhouse Reno</t>
  </si>
  <si>
    <t>RV Bathrooms</t>
  </si>
  <si>
    <t>SILVER</t>
  </si>
  <si>
    <t>Water Tie-In</t>
  </si>
  <si>
    <t>Sewer Tie-In</t>
  </si>
  <si>
    <t>Streetlights</t>
  </si>
  <si>
    <t>SO</t>
  </si>
  <si>
    <t>West perimeter fence</t>
  </si>
  <si>
    <t>SOUTH</t>
  </si>
  <si>
    <t>Drainage</t>
  </si>
  <si>
    <t>Drainage Issues - back of park</t>
  </si>
  <si>
    <t>Signage Package</t>
  </si>
  <si>
    <t>SS</t>
  </si>
  <si>
    <t>SSS</t>
  </si>
  <si>
    <t>Seawall</t>
  </si>
  <si>
    <t>2026 Boat Slip to Lift Conversions</t>
  </si>
  <si>
    <t>TRADE</t>
  </si>
  <si>
    <t>Sewer Tie-In Grant</t>
  </si>
  <si>
    <t>Apartment Parking</t>
  </si>
  <si>
    <t>VO</t>
  </si>
  <si>
    <t>Tree Removal</t>
  </si>
  <si>
    <t>Golf Cart</t>
  </si>
  <si>
    <t>WPMH</t>
  </si>
  <si>
    <t>PARK</t>
  </si>
  <si>
    <t>FOX</t>
  </si>
  <si>
    <t>ARD</t>
  </si>
  <si>
    <t>Utility Trailer</t>
  </si>
  <si>
    <t>POH</t>
  </si>
  <si>
    <t>AC Units for Duplexes</t>
  </si>
  <si>
    <t>Stairs for Duplexes</t>
  </si>
  <si>
    <t>BRUN</t>
  </si>
  <si>
    <t>DO</t>
  </si>
  <si>
    <t>GO</t>
  </si>
  <si>
    <t>Porch Furniture</t>
  </si>
  <si>
    <t>Generator Lift Station</t>
  </si>
  <si>
    <t>Pool Furniture</t>
  </si>
  <si>
    <t>Clubhouse Painting</t>
  </si>
  <si>
    <t>GPT</t>
  </si>
  <si>
    <t>HP</t>
  </si>
  <si>
    <t>Treework</t>
  </si>
  <si>
    <t>Moving Mailboxes</t>
  </si>
  <si>
    <t>OAK</t>
  </si>
  <si>
    <t>RED</t>
  </si>
  <si>
    <t>Pool furniture</t>
  </si>
  <si>
    <t>Water Well Fence</t>
  </si>
  <si>
    <t>RW</t>
  </si>
  <si>
    <t>Jetting of the lines</t>
  </si>
  <si>
    <t>New furniture for the pool</t>
  </si>
  <si>
    <t>SA</t>
  </si>
  <si>
    <t>MON</t>
  </si>
  <si>
    <t>Legacy</t>
  </si>
  <si>
    <t>New Slabs for lots 19-20</t>
  </si>
  <si>
    <t>BOVI</t>
  </si>
  <si>
    <t>Sign package</t>
  </si>
  <si>
    <t>BOVII</t>
  </si>
  <si>
    <t>Mailbox enclosure</t>
  </si>
  <si>
    <t>EG</t>
  </si>
  <si>
    <t>LW</t>
  </si>
  <si>
    <t>Community signage</t>
  </si>
  <si>
    <t>Lift Station</t>
  </si>
  <si>
    <t>OBO</t>
  </si>
  <si>
    <t>Office Signage - 855</t>
  </si>
  <si>
    <t>WW</t>
  </si>
  <si>
    <t>Replace Septic Tanks</t>
  </si>
  <si>
    <t>Dumpster Pad on Lot 2</t>
  </si>
  <si>
    <t>Bath House Upgrade</t>
  </si>
  <si>
    <t>Upgrade Mailboxes &amp; Enclosure</t>
  </si>
  <si>
    <t>Playground</t>
  </si>
  <si>
    <t>Seal Coat / Speedbump</t>
  </si>
  <si>
    <t>Road Timbers</t>
  </si>
  <si>
    <t>Replace Mailboxes</t>
  </si>
  <si>
    <t>Covered area for front deck of office</t>
  </si>
  <si>
    <t>Gym Windsail</t>
  </si>
  <si>
    <t>Replace Aeration Fountain</t>
  </si>
  <si>
    <t>Roads</t>
  </si>
  <si>
    <t>New Mailbox</t>
  </si>
  <si>
    <t>Community clean up</t>
  </si>
  <si>
    <t>Picnic / BBQ area for community</t>
  </si>
  <si>
    <t>Relocate dumpster enclosure</t>
  </si>
  <si>
    <t>Arno St Electrical Upgrade</t>
  </si>
  <si>
    <t>Maintenance Shed Addition</t>
  </si>
  <si>
    <t>Playground for duplexes</t>
  </si>
  <si>
    <t>Bathouse Updates</t>
  </si>
  <si>
    <t>Storage Shed</t>
  </si>
  <si>
    <t>Mailbox Enclosure</t>
  </si>
  <si>
    <t>WWTP Train 1 Replacement</t>
  </si>
  <si>
    <t>PP</t>
  </si>
  <si>
    <t>Bathroom Rehab</t>
  </si>
  <si>
    <t>Tree trimming</t>
  </si>
  <si>
    <t>Generator for the lift station</t>
  </si>
  <si>
    <t>SUR</t>
  </si>
  <si>
    <t>Fence north border &amp; WWTP</t>
  </si>
  <si>
    <t>TC</t>
  </si>
  <si>
    <t>ROYAL</t>
  </si>
  <si>
    <t>Fencing on the front entrance area of community - 3 rail</t>
  </si>
  <si>
    <t>Mailboxes</t>
  </si>
  <si>
    <t>Speed bumps</t>
  </si>
  <si>
    <t>Dupex Renos (4)</t>
  </si>
  <si>
    <t>Clubhouse Upgrade</t>
  </si>
  <si>
    <t>Perimeter Fence</t>
  </si>
  <si>
    <t>WIND</t>
  </si>
  <si>
    <t>Rehab laundry room, restroom, amenities</t>
  </si>
  <si>
    <t>GULF</t>
  </si>
  <si>
    <t>PSE</t>
  </si>
  <si>
    <t>Fencing behind A &amp; D St.</t>
  </si>
  <si>
    <t>Seal coat roads &amp; remove tree</t>
  </si>
  <si>
    <t>HARB</t>
  </si>
  <si>
    <t>New Mailbox &amp; Enclosure</t>
  </si>
  <si>
    <t>Community Lighting</t>
  </si>
  <si>
    <t>Mailbox Replacement</t>
  </si>
  <si>
    <t>Enclosure Roofing on Mailbox Area</t>
  </si>
  <si>
    <t>Picnic Tables</t>
  </si>
  <si>
    <t>Shade for Shuffleboard Courts</t>
  </si>
  <si>
    <t xml:space="preserve">WWTP Tank and Pump Replacement </t>
  </si>
  <si>
    <t>Covered Picnic Area</t>
  </si>
  <si>
    <t>Electric Meters / Meter Work for Bill Back</t>
  </si>
  <si>
    <t>Street lighting / sign light</t>
  </si>
  <si>
    <t>Repave roads and remove speedbumps</t>
  </si>
  <si>
    <t>Driveways for new lots</t>
  </si>
  <si>
    <t>Bathouse Upgrades</t>
  </si>
  <si>
    <t>Bush Hog purchase</t>
  </si>
  <si>
    <t>Picnic area addition</t>
  </si>
  <si>
    <t>Fence off homes</t>
  </si>
  <si>
    <t>Electrical Ped Upgrades</t>
  </si>
  <si>
    <t>Lighting Storage Yard</t>
  </si>
  <si>
    <t>RV Site Upgrades</t>
  </si>
  <si>
    <t>Lighting RV West. FPL?</t>
  </si>
  <si>
    <t>New Office</t>
  </si>
  <si>
    <t>Installation Small Amenity</t>
  </si>
  <si>
    <t>Sand filter replacement</t>
  </si>
  <si>
    <t>Shuffleboard refurbish</t>
  </si>
  <si>
    <t>Clubhouse bathroom upgrades</t>
  </si>
  <si>
    <t>New Mailboxes</t>
  </si>
  <si>
    <t>Update mailboxes</t>
  </si>
  <si>
    <t>Mailbox coverings</t>
  </si>
  <si>
    <t>Bus stop Gazebo</t>
  </si>
  <si>
    <t>Basketball Court</t>
  </si>
  <si>
    <t>AMER</t>
  </si>
  <si>
    <t>Replace 30 oil tanks with propane tanks at all lots that have them</t>
  </si>
  <si>
    <t>Golf cart</t>
  </si>
  <si>
    <t>New community signage</t>
  </si>
  <si>
    <t>Lawn Mower</t>
  </si>
  <si>
    <t>Mailbox Enclosure - 955</t>
  </si>
  <si>
    <t>Mailbox Enclosure - 855</t>
  </si>
  <si>
    <t>Community Lighting - 855 &amp; 955</t>
  </si>
  <si>
    <t>BBQ Areas</t>
  </si>
  <si>
    <t>RP</t>
  </si>
  <si>
    <t>Mailboxes Enclosure</t>
  </si>
  <si>
    <t>Wi-Fi Set up</t>
  </si>
  <si>
    <t>Drainage - Behind Laundry</t>
  </si>
  <si>
    <t>Paving</t>
  </si>
  <si>
    <t>Electrical repairs</t>
  </si>
  <si>
    <t>OCEAN</t>
  </si>
  <si>
    <t>Street Lights</t>
  </si>
  <si>
    <t>Fencing on A &amp; D St.</t>
  </si>
  <si>
    <t>Retention Walls</t>
  </si>
  <si>
    <t>Docks</t>
  </si>
  <si>
    <t>Paddle boats</t>
  </si>
  <si>
    <t>Pavillion &amp; BBQ Area</t>
  </si>
  <si>
    <t>Repave roads</t>
  </si>
  <si>
    <t>Upgrade Mailboxes and Enclosure</t>
  </si>
  <si>
    <t>Pave/Gravel Storage Lot</t>
  </si>
  <si>
    <t>Sitting area in the back of park</t>
  </si>
  <si>
    <t>Road Work</t>
  </si>
  <si>
    <t>Sewer Tie-In / Paving</t>
  </si>
  <si>
    <t>Playground / Baskeball</t>
  </si>
  <si>
    <t>Grill Area</t>
  </si>
  <si>
    <t>Entry Gate Replacement</t>
  </si>
  <si>
    <t>Pool</t>
  </si>
  <si>
    <t>Fencing by the park</t>
  </si>
  <si>
    <t>Refurb Commercial</t>
  </si>
  <si>
    <t>Building with Apartment</t>
  </si>
  <si>
    <t>Dupex Renos (3)</t>
  </si>
  <si>
    <t>Prop</t>
  </si>
  <si>
    <t>TOTAL</t>
  </si>
  <si>
    <t>Monthly Amt</t>
  </si>
  <si>
    <t>GRAND TOTAL</t>
  </si>
  <si>
    <t>Short Name</t>
  </si>
  <si>
    <t>NALLS</t>
  </si>
  <si>
    <t>HEND</t>
  </si>
  <si>
    <t>SP</t>
  </si>
  <si>
    <t>MWMHP</t>
  </si>
  <si>
    <t>GEIGRV</t>
  </si>
  <si>
    <t>WPMA</t>
  </si>
  <si>
    <t>CA</t>
  </si>
  <si>
    <t>HSRC</t>
  </si>
  <si>
    <t>WOLF</t>
  </si>
  <si>
    <t>TCMHC</t>
  </si>
  <si>
    <t>MAY</t>
  </si>
  <si>
    <t>LLMHC</t>
  </si>
  <si>
    <t>PARAKEET II</t>
  </si>
  <si>
    <t>PARAKEET I</t>
  </si>
  <si>
    <t>SINGLE ASSET</t>
  </si>
  <si>
    <t>BAKER</t>
  </si>
  <si>
    <t>KIPPY</t>
  </si>
  <si>
    <t>BEDROCK FUND II</t>
  </si>
  <si>
    <t>ORIGINS</t>
  </si>
  <si>
    <t>GBH</t>
  </si>
  <si>
    <t>Fox Creek</t>
  </si>
  <si>
    <t>Riverwalk</t>
  </si>
  <si>
    <t>Shell Pointe</t>
  </si>
  <si>
    <t>Terrace Crossings</t>
  </si>
  <si>
    <t>The Oaks</t>
  </si>
  <si>
    <t>Windward Knoll</t>
  </si>
  <si>
    <t>Northgate</t>
  </si>
  <si>
    <t>Silver Hill</t>
  </si>
  <si>
    <t>Great Oak RV</t>
  </si>
  <si>
    <t>Hershey Park</t>
  </si>
  <si>
    <t>Oakside</t>
  </si>
  <si>
    <t>Auburn Ridge</t>
  </si>
  <si>
    <t>Paradise Palms</t>
  </si>
  <si>
    <t>Green Pointe MHC</t>
  </si>
  <si>
    <t>Parkwood MHP</t>
  </si>
  <si>
    <t>Druid Oaks</t>
  </si>
  <si>
    <t>Shady Acres</t>
  </si>
  <si>
    <t>Redlands</t>
  </si>
  <si>
    <t>Su-Rene</t>
  </si>
  <si>
    <t>Brunswick Estates</t>
  </si>
  <si>
    <t>Belle Haven</t>
  </si>
  <si>
    <t>Riviera</t>
  </si>
  <si>
    <t>Meadow Woods</t>
  </si>
  <si>
    <t>Carley's</t>
  </si>
  <si>
    <t>Silver Breeze</t>
  </si>
  <si>
    <t>Geiger Key</t>
  </si>
  <si>
    <t>Paradise Lakes</t>
  </si>
  <si>
    <t>Whispering Pines FL</t>
  </si>
  <si>
    <t>Lucky Clover</t>
  </si>
  <si>
    <t>American</t>
  </si>
  <si>
    <t>Monson</t>
  </si>
  <si>
    <t>Whispering Pines MA</t>
  </si>
  <si>
    <t>Triple S</t>
  </si>
  <si>
    <t>Vantage Oaks</t>
  </si>
  <si>
    <t>Southgate</t>
  </si>
  <si>
    <t>River Oaks</t>
  </si>
  <si>
    <t>Palm Haven Estates</t>
  </si>
  <si>
    <t>Tradewinds</t>
  </si>
  <si>
    <t>Crystal Acres</t>
  </si>
  <si>
    <t>Sea Shells</t>
  </si>
  <si>
    <t>Central</t>
  </si>
  <si>
    <t>Harbour</t>
  </si>
  <si>
    <t>Applegate</t>
  </si>
  <si>
    <t>Lake Saunders</t>
  </si>
  <si>
    <t>Shady Oaks</t>
  </si>
  <si>
    <t>Congress</t>
  </si>
  <si>
    <t>J Bar J Estates</t>
  </si>
  <si>
    <t>Hunter Springs</t>
  </si>
  <si>
    <t>Gulf Breeze</t>
  </si>
  <si>
    <t>Lake Wales MHC</t>
  </si>
  <si>
    <t>Westwood</t>
  </si>
  <si>
    <t>Bay Oaks Village I</t>
  </si>
  <si>
    <t>Bay Oaks Village II</t>
  </si>
  <si>
    <t>Ormond Beach</t>
  </si>
  <si>
    <t>Palm Spring</t>
  </si>
  <si>
    <t>Wolf Bay</t>
  </si>
  <si>
    <t>Everglades MHP</t>
  </si>
  <si>
    <t>Royal Palm</t>
  </si>
  <si>
    <t>Oceanaire</t>
  </si>
  <si>
    <t>Town &amp; Country</t>
  </si>
  <si>
    <t>Royal Oaks</t>
  </si>
  <si>
    <t>Mayflower</t>
  </si>
  <si>
    <t>Nalls Court</t>
  </si>
  <si>
    <t>Lamberton Lake</t>
  </si>
  <si>
    <t>Community</t>
  </si>
  <si>
    <t>Nothing</t>
  </si>
  <si>
    <t>FULL NEW SIGN PACKAGE</t>
  </si>
  <si>
    <t>May have to go on fence b/c of easement or property line</t>
  </si>
  <si>
    <t>Property Specific Notes</t>
  </si>
  <si>
    <t>One at each entrance to the community on our land</t>
  </si>
  <si>
    <t>When fence goes in we will put signs in. Need 2-3 and confirm exact location.</t>
  </si>
  <si>
    <t>Using existing sign structure</t>
  </si>
  <si>
    <t>Multiple entrances</t>
  </si>
  <si>
    <t>Use existing sign structure, match green to other signs; stucco over cinderblock</t>
  </si>
  <si>
    <t>Use existing sign structure - re-skin and light elevated pole sign + double sided at main road and single sided on entrance fence</t>
  </si>
  <si>
    <t>Use existing sign structures - need 4 single sideds</t>
  </si>
  <si>
    <t>Re-skin lit signs; new clubhouse monument sign</t>
  </si>
  <si>
    <t>Use existing sign structure</t>
  </si>
  <si>
    <t>Henderson's</t>
  </si>
  <si>
    <t>Higher End Sign Structure/Package</t>
  </si>
  <si>
    <t>--</t>
  </si>
  <si>
    <t>Low End</t>
  </si>
  <si>
    <t>High End</t>
  </si>
  <si>
    <t>Complete</t>
  </si>
  <si>
    <t>Existing</t>
  </si>
  <si>
    <t>New</t>
  </si>
  <si>
    <t>Deleted</t>
  </si>
  <si>
    <t>Update</t>
  </si>
  <si>
    <t>Notes</t>
  </si>
  <si>
    <t>High/Low Priority</t>
  </si>
  <si>
    <t>Low</t>
  </si>
  <si>
    <t>High</t>
  </si>
  <si>
    <t>Responsibility</t>
  </si>
  <si>
    <t>Construction</t>
  </si>
  <si>
    <t>Operations</t>
  </si>
  <si>
    <t>BBQ Area</t>
  </si>
  <si>
    <t>Parking</t>
  </si>
  <si>
    <t>Feasibility important first so we can market around it in 2H 2026</t>
  </si>
  <si>
    <t>Three Rail Fencing on frontage of community between roads</t>
  </si>
  <si>
    <t>Evaluate &amp; Upgrade Capacity if Needed for Infill</t>
  </si>
  <si>
    <t>2027 Boat Slip to Lift Conversions</t>
  </si>
  <si>
    <t>Back area we re-did that got washed out with water</t>
  </si>
  <si>
    <t>Upgrade firepit, nice pavers, furniture grill</t>
  </si>
  <si>
    <t>Clubhouse roof replacement</t>
  </si>
  <si>
    <t>Future RV Site Plan &amp; Surveys - WEST SIDE</t>
  </si>
  <si>
    <t>New layout for RV section and potential park model infill</t>
  </si>
  <si>
    <t>Road run-off</t>
  </si>
  <si>
    <t>Fence is owned by the park would have to visit with them on it</t>
  </si>
  <si>
    <t>Three Rail Fence on the front of the community</t>
  </si>
  <si>
    <t>TALK TO BUILDING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</si>
</sst>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&quot;$&quot;#,##0_);\(&quot;$&quot;#,##0\);&quot;-&quot;"/>
    <numFmt numFmtId="165" formatCode="[$-409]mmm\-yy;@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indexed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0" borderId="2" xfId="0" applyBorder="1"/>
    <xf numFmtId="0" fontId="0" fillId="0" borderId="1" xfId="0" applyBorder="1"/>
    <xf numFmtId="0" fontId="0" fillId="0" borderId="4" xfId="0" applyBorder="1"/>
    <xf numFmtId="0" fontId="2" fillId="4" borderId="4" xfId="0" applyFont="1" applyFill="1" applyBorder="1"/>
    <xf numFmtId="0" fontId="0" fillId="4" borderId="4" xfId="0" applyFill="1" applyBorder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164" fontId="0" fillId="0" borderId="2" xfId="0" applyNumberFormat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4" fillId="5" borderId="0" xfId="0" applyNumberFormat="1" applyFont="1" applyFill="1" applyAlignment="1">
      <alignment horizontal="center"/>
    </xf>
    <xf numFmtId="5" fontId="7" fillId="0" borderId="1" xfId="0" applyNumberFormat="1" applyFont="1" applyBorder="1" applyAlignment="1">
      <alignment horizontal="center" vertical="center"/>
    </xf>
    <xf numFmtId="165" fontId="4" fillId="5" borderId="0" xfId="0" applyNumberFormat="1" applyFont="1" applyFill="1" applyAlignment="1">
      <alignment horizontal="center"/>
    </xf>
    <xf numFmtId="0" fontId="1" fillId="6" borderId="3" xfId="0" applyFont="1" applyFill="1" applyBorder="1"/>
    <xf numFmtId="0" fontId="3" fillId="6" borderId="3" xfId="0" applyFont="1" applyFill="1" applyBorder="1"/>
    <xf numFmtId="164" fontId="1" fillId="6" borderId="3" xfId="0" applyNumberFormat="1" applyFont="1" applyFill="1" applyBorder="1" applyAlignment="1">
      <alignment horizontal="center"/>
    </xf>
    <xf numFmtId="0" fontId="1" fillId="5" borderId="0" xfId="0" applyFont="1" applyFill="1"/>
    <xf numFmtId="0" fontId="8" fillId="0" borderId="0" xfId="0" applyFont="1"/>
    <xf numFmtId="0" fontId="0" fillId="0" borderId="0" xfId="0" quotePrefix="1"/>
    <xf numFmtId="0" fontId="4" fillId="7" borderId="0" xfId="0" applyFont="1" applyFill="1" applyAlignment="1">
      <alignment horizontal="center"/>
    </xf>
    <xf numFmtId="14" fontId="6" fillId="0" borderId="1" xfId="0" applyNumberFormat="1" applyFont="1" applyBorder="1" applyAlignment="1">
      <alignment horizontal="center"/>
    </xf>
    <xf numFmtId="5" fontId="6" fillId="0" borderId="1" xfId="0" applyNumberFormat="1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lor theme="5" tint="-0.24994659260841701"/>
      </font>
      <fill>
        <patternFill>
          <bgColor theme="5" tint="0.79998168889431442"/>
        </patternFill>
      </fill>
    </dxf>
    <dxf>
      <font>
        <b/>
        <i val="0"/>
        <strike val="0"/>
        <color theme="5" tint="-0.2499465926084170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Parake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ABA81"/>
      </a:accent1>
      <a:accent2>
        <a:srgbClr val="F16262"/>
      </a:accent2>
      <a:accent3>
        <a:srgbClr val="2F4E65"/>
      </a:accent3>
      <a:accent4>
        <a:srgbClr val="FFCC3B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9654-7E4B-4F6D-B593-DDABA6938EE4}">
  <dimension ref="B2:G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RowHeight="15" x14ac:dyDescent="0.25"/>
  <cols>
    <col min="2" max="2" width="19.7109375" bestFit="1" customWidth="1"/>
    <col min="3" max="3" width="15.7109375" customWidth="1"/>
    <col min="4" max="4" width="23" customWidth="1"/>
    <col min="5" max="5" width="47" customWidth="1"/>
    <col min="6" max="6" width="42.7109375" customWidth="1"/>
    <col min="7" max="7" width="115.28515625" bestFit="1" customWidth="1"/>
  </cols>
  <sheetData>
    <row r="2" spans="2:7" x14ac:dyDescent="0.25">
      <c r="B2" s="31" t="s">
        <v>327</v>
      </c>
      <c r="C2" s="31" t="s">
        <v>242</v>
      </c>
      <c r="D2" s="31" t="s">
        <v>1</v>
      </c>
      <c r="E2" s="31" t="s">
        <v>25</v>
      </c>
      <c r="F2" s="31" t="s">
        <v>342</v>
      </c>
      <c r="G2" s="31" t="s">
        <v>331</v>
      </c>
    </row>
    <row r="3" spans="2:7" x14ac:dyDescent="0.25">
      <c r="B3" t="s">
        <v>292</v>
      </c>
      <c r="C3" t="s">
        <v>202</v>
      </c>
      <c r="D3" t="s">
        <v>258</v>
      </c>
      <c r="E3" t="s">
        <v>328</v>
      </c>
      <c r="F3" s="33" t="s">
        <v>343</v>
      </c>
    </row>
    <row r="4" spans="2:7" x14ac:dyDescent="0.25">
      <c r="B4" t="s">
        <v>293</v>
      </c>
      <c r="C4" t="s">
        <v>114</v>
      </c>
      <c r="D4" t="s">
        <v>258</v>
      </c>
      <c r="E4" t="s">
        <v>328</v>
      </c>
      <c r="F4" s="33" t="s">
        <v>343</v>
      </c>
    </row>
    <row r="5" spans="2:7" x14ac:dyDescent="0.25">
      <c r="B5" t="s">
        <v>294</v>
      </c>
      <c r="C5" t="s">
        <v>248</v>
      </c>
      <c r="D5" t="s">
        <v>258</v>
      </c>
      <c r="E5" t="s">
        <v>328</v>
      </c>
      <c r="F5" s="33" t="s">
        <v>343</v>
      </c>
    </row>
    <row r="6" spans="2:7" x14ac:dyDescent="0.25">
      <c r="B6" t="s">
        <v>326</v>
      </c>
      <c r="C6" t="s">
        <v>254</v>
      </c>
      <c r="D6" t="s">
        <v>260</v>
      </c>
      <c r="E6" t="s">
        <v>328</v>
      </c>
      <c r="F6" s="33" t="s">
        <v>343</v>
      </c>
    </row>
    <row r="7" spans="2:7" x14ac:dyDescent="0.25">
      <c r="B7" t="s">
        <v>319</v>
      </c>
      <c r="C7" t="s">
        <v>121</v>
      </c>
      <c r="D7" t="s">
        <v>262</v>
      </c>
      <c r="E7" t="s">
        <v>329</v>
      </c>
      <c r="F7" t="s">
        <v>344</v>
      </c>
    </row>
    <row r="8" spans="2:7" x14ac:dyDescent="0.25">
      <c r="B8" t="s">
        <v>320</v>
      </c>
      <c r="C8" t="s">
        <v>211</v>
      </c>
      <c r="D8" t="s">
        <v>262</v>
      </c>
      <c r="E8" t="s">
        <v>329</v>
      </c>
      <c r="F8" t="s">
        <v>344</v>
      </c>
    </row>
    <row r="9" spans="2:7" x14ac:dyDescent="0.25">
      <c r="B9" t="s">
        <v>301</v>
      </c>
      <c r="C9" t="s">
        <v>249</v>
      </c>
      <c r="D9" t="s">
        <v>259</v>
      </c>
      <c r="E9" t="s">
        <v>328</v>
      </c>
      <c r="F9" s="33" t="s">
        <v>343</v>
      </c>
    </row>
    <row r="10" spans="2:7" x14ac:dyDescent="0.25">
      <c r="B10" t="s">
        <v>310</v>
      </c>
      <c r="C10" t="s">
        <v>250</v>
      </c>
      <c r="D10" t="s">
        <v>259</v>
      </c>
      <c r="E10" t="s">
        <v>328</v>
      </c>
      <c r="F10" s="33" t="s">
        <v>343</v>
      </c>
    </row>
    <row r="11" spans="2:7" x14ac:dyDescent="0.25">
      <c r="B11" t="s">
        <v>323</v>
      </c>
      <c r="C11" t="s">
        <v>158</v>
      </c>
      <c r="D11" t="s">
        <v>259</v>
      </c>
      <c r="E11" t="s">
        <v>328</v>
      </c>
      <c r="F11" s="33" t="s">
        <v>343</v>
      </c>
    </row>
    <row r="12" spans="2:7" x14ac:dyDescent="0.25">
      <c r="B12" t="s">
        <v>314</v>
      </c>
      <c r="C12" t="s">
        <v>117</v>
      </c>
      <c r="D12" t="s">
        <v>261</v>
      </c>
      <c r="E12" t="s">
        <v>329</v>
      </c>
      <c r="F12" t="s">
        <v>345</v>
      </c>
    </row>
    <row r="13" spans="2:7" x14ac:dyDescent="0.25">
      <c r="B13" t="s">
        <v>315</v>
      </c>
      <c r="C13" t="s">
        <v>119</v>
      </c>
      <c r="D13" t="s">
        <v>261</v>
      </c>
      <c r="E13" t="s">
        <v>329</v>
      </c>
      <c r="F13" t="s">
        <v>345</v>
      </c>
    </row>
    <row r="14" spans="2:7" x14ac:dyDescent="0.25">
      <c r="B14" t="s">
        <v>311</v>
      </c>
      <c r="C14" t="s">
        <v>167</v>
      </c>
      <c r="D14" t="s">
        <v>261</v>
      </c>
      <c r="E14" t="s">
        <v>329</v>
      </c>
      <c r="F14" t="s">
        <v>345</v>
      </c>
      <c r="G14" t="s">
        <v>330</v>
      </c>
    </row>
    <row r="15" spans="2:7" x14ac:dyDescent="0.25">
      <c r="B15" t="s">
        <v>312</v>
      </c>
      <c r="C15" t="s">
        <v>122</v>
      </c>
      <c r="D15" t="s">
        <v>261</v>
      </c>
      <c r="E15" t="s">
        <v>329</v>
      </c>
      <c r="F15" t="s">
        <v>344</v>
      </c>
    </row>
    <row r="16" spans="2:7" x14ac:dyDescent="0.25">
      <c r="B16" t="s">
        <v>321</v>
      </c>
      <c r="C16" t="s">
        <v>217</v>
      </c>
      <c r="D16" t="s">
        <v>261</v>
      </c>
      <c r="E16" t="s">
        <v>329</v>
      </c>
      <c r="F16" t="s">
        <v>345</v>
      </c>
    </row>
    <row r="17" spans="2:7" x14ac:dyDescent="0.25">
      <c r="B17" t="s">
        <v>316</v>
      </c>
      <c r="C17" t="s">
        <v>125</v>
      </c>
      <c r="D17" t="s">
        <v>261</v>
      </c>
      <c r="E17" t="s">
        <v>329</v>
      </c>
      <c r="F17" t="s">
        <v>345</v>
      </c>
    </row>
    <row r="18" spans="2:7" x14ac:dyDescent="0.25">
      <c r="B18" t="s">
        <v>317</v>
      </c>
      <c r="C18" t="s">
        <v>168</v>
      </c>
      <c r="D18" t="s">
        <v>261</v>
      </c>
      <c r="E18" t="s">
        <v>329</v>
      </c>
      <c r="F18" t="s">
        <v>345</v>
      </c>
    </row>
    <row r="19" spans="2:7" x14ac:dyDescent="0.25">
      <c r="B19" t="s">
        <v>322</v>
      </c>
      <c r="C19" t="s">
        <v>252</v>
      </c>
      <c r="D19" t="s">
        <v>261</v>
      </c>
      <c r="E19" t="s">
        <v>329</v>
      </c>
      <c r="F19" t="s">
        <v>345</v>
      </c>
    </row>
    <row r="20" spans="2:7" x14ac:dyDescent="0.25">
      <c r="B20" t="s">
        <v>313</v>
      </c>
      <c r="C20" t="s">
        <v>127</v>
      </c>
      <c r="D20" t="s">
        <v>261</v>
      </c>
      <c r="E20" t="s">
        <v>329</v>
      </c>
      <c r="F20" t="s">
        <v>345</v>
      </c>
      <c r="G20" t="s">
        <v>332</v>
      </c>
    </row>
    <row r="21" spans="2:7" x14ac:dyDescent="0.25">
      <c r="B21" t="s">
        <v>318</v>
      </c>
      <c r="C21" t="s">
        <v>251</v>
      </c>
      <c r="D21" t="s">
        <v>261</v>
      </c>
      <c r="E21" t="s">
        <v>329</v>
      </c>
      <c r="F21" t="s">
        <v>345</v>
      </c>
    </row>
    <row r="22" spans="2:7" x14ac:dyDescent="0.25">
      <c r="B22" t="s">
        <v>305</v>
      </c>
      <c r="C22" t="s">
        <v>20</v>
      </c>
      <c r="D22" t="s">
        <v>256</v>
      </c>
      <c r="E22" t="s">
        <v>329</v>
      </c>
      <c r="F22" t="s">
        <v>345</v>
      </c>
    </row>
    <row r="23" spans="2:7" x14ac:dyDescent="0.25">
      <c r="B23" t="s">
        <v>283</v>
      </c>
      <c r="C23" t="s">
        <v>28</v>
      </c>
      <c r="D23" t="s">
        <v>256</v>
      </c>
      <c r="E23" t="s">
        <v>329</v>
      </c>
      <c r="F23" t="s">
        <v>345</v>
      </c>
      <c r="G23" t="s">
        <v>333</v>
      </c>
    </row>
    <row r="24" spans="2:7" x14ac:dyDescent="0.25">
      <c r="B24" t="s">
        <v>286</v>
      </c>
      <c r="C24" t="s">
        <v>30</v>
      </c>
      <c r="D24" t="s">
        <v>256</v>
      </c>
      <c r="E24" t="s">
        <v>329</v>
      </c>
      <c r="F24" t="s">
        <v>345</v>
      </c>
    </row>
    <row r="25" spans="2:7" x14ac:dyDescent="0.25">
      <c r="B25" t="s">
        <v>303</v>
      </c>
      <c r="C25" t="s">
        <v>36</v>
      </c>
      <c r="D25" t="s">
        <v>256</v>
      </c>
      <c r="E25" t="s">
        <v>329</v>
      </c>
      <c r="F25" t="s">
        <v>345</v>
      </c>
    </row>
    <row r="26" spans="2:7" x14ac:dyDescent="0.25">
      <c r="B26" t="s">
        <v>308</v>
      </c>
      <c r="C26" t="s">
        <v>37</v>
      </c>
      <c r="D26" t="s">
        <v>256</v>
      </c>
      <c r="E26" t="s">
        <v>328</v>
      </c>
      <c r="F26" s="33" t="s">
        <v>343</v>
      </c>
    </row>
    <row r="27" spans="2:7" x14ac:dyDescent="0.25">
      <c r="B27" t="s">
        <v>288</v>
      </c>
      <c r="C27" t="s">
        <v>247</v>
      </c>
      <c r="D27" t="s">
        <v>256</v>
      </c>
      <c r="E27" t="s">
        <v>328</v>
      </c>
      <c r="F27" s="33" t="s">
        <v>343</v>
      </c>
    </row>
    <row r="28" spans="2:7" x14ac:dyDescent="0.25">
      <c r="B28" t="s">
        <v>304</v>
      </c>
      <c r="C28" t="s">
        <v>171</v>
      </c>
      <c r="D28" t="s">
        <v>256</v>
      </c>
      <c r="E28" t="s">
        <v>329</v>
      </c>
      <c r="F28" t="s">
        <v>345</v>
      </c>
    </row>
    <row r="29" spans="2:7" x14ac:dyDescent="0.25">
      <c r="B29" t="s">
        <v>309</v>
      </c>
      <c r="C29" t="s">
        <v>40</v>
      </c>
      <c r="D29" t="s">
        <v>256</v>
      </c>
      <c r="E29" t="s">
        <v>329</v>
      </c>
      <c r="F29" t="s">
        <v>345</v>
      </c>
      <c r="G29" t="s">
        <v>334</v>
      </c>
    </row>
    <row r="30" spans="2:7" x14ac:dyDescent="0.25">
      <c r="B30" t="s">
        <v>306</v>
      </c>
      <c r="C30" t="s">
        <v>43</v>
      </c>
      <c r="D30" t="s">
        <v>256</v>
      </c>
      <c r="E30" t="s">
        <v>328</v>
      </c>
      <c r="F30" s="33" t="s">
        <v>343</v>
      </c>
    </row>
    <row r="31" spans="2:7" x14ac:dyDescent="0.25">
      <c r="B31" t="s">
        <v>291</v>
      </c>
      <c r="C31" t="s">
        <v>46</v>
      </c>
      <c r="D31" t="s">
        <v>256</v>
      </c>
      <c r="E31" t="s">
        <v>329</v>
      </c>
      <c r="F31" t="s">
        <v>345</v>
      </c>
      <c r="G31" t="s">
        <v>334</v>
      </c>
    </row>
    <row r="32" spans="2:7" x14ac:dyDescent="0.25">
      <c r="B32" t="s">
        <v>299</v>
      </c>
      <c r="C32" t="s">
        <v>56</v>
      </c>
      <c r="D32" t="s">
        <v>256</v>
      </c>
      <c r="E32" t="s">
        <v>329</v>
      </c>
      <c r="F32" t="s">
        <v>345</v>
      </c>
    </row>
    <row r="33" spans="2:7" x14ac:dyDescent="0.25">
      <c r="B33" t="s">
        <v>289</v>
      </c>
      <c r="C33" t="s">
        <v>48</v>
      </c>
      <c r="D33" t="s">
        <v>256</v>
      </c>
      <c r="E33" t="s">
        <v>329</v>
      </c>
      <c r="F33" t="s">
        <v>345</v>
      </c>
      <c r="G33" t="s">
        <v>334</v>
      </c>
    </row>
    <row r="34" spans="2:7" x14ac:dyDescent="0.25">
      <c r="B34" t="s">
        <v>298</v>
      </c>
      <c r="C34" t="s">
        <v>61</v>
      </c>
      <c r="D34" t="s">
        <v>256</v>
      </c>
      <c r="E34" t="s">
        <v>329</v>
      </c>
      <c r="F34" t="s">
        <v>345</v>
      </c>
      <c r="G34" t="s">
        <v>334</v>
      </c>
    </row>
    <row r="35" spans="2:7" x14ac:dyDescent="0.25">
      <c r="B35" t="s">
        <v>284</v>
      </c>
      <c r="C35" t="s">
        <v>57</v>
      </c>
      <c r="D35" t="s">
        <v>256</v>
      </c>
      <c r="E35" t="s">
        <v>329</v>
      </c>
      <c r="F35" t="s">
        <v>345</v>
      </c>
    </row>
    <row r="36" spans="2:7" x14ac:dyDescent="0.25">
      <c r="B36" t="s">
        <v>302</v>
      </c>
      <c r="C36" t="s">
        <v>77</v>
      </c>
      <c r="D36" t="s">
        <v>256</v>
      </c>
      <c r="E36" t="s">
        <v>329</v>
      </c>
      <c r="F36" t="s">
        <v>345</v>
      </c>
    </row>
    <row r="37" spans="2:7" x14ac:dyDescent="0.25">
      <c r="B37" t="s">
        <v>307</v>
      </c>
      <c r="C37" t="s">
        <v>71</v>
      </c>
      <c r="D37" t="s">
        <v>256</v>
      </c>
      <c r="E37" t="s">
        <v>329</v>
      </c>
      <c r="F37" t="s">
        <v>345</v>
      </c>
    </row>
    <row r="38" spans="2:7" x14ac:dyDescent="0.25">
      <c r="B38" t="s">
        <v>287</v>
      </c>
      <c r="C38" t="s">
        <v>67</v>
      </c>
      <c r="D38" t="s">
        <v>256</v>
      </c>
      <c r="E38" t="s">
        <v>329</v>
      </c>
      <c r="F38" t="s">
        <v>345</v>
      </c>
    </row>
    <row r="39" spans="2:7" x14ac:dyDescent="0.25">
      <c r="B39" t="s">
        <v>297</v>
      </c>
      <c r="C39" t="s">
        <v>73</v>
      </c>
      <c r="D39" t="s">
        <v>256</v>
      </c>
      <c r="E39" t="s">
        <v>329</v>
      </c>
      <c r="F39" t="s">
        <v>345</v>
      </c>
    </row>
    <row r="40" spans="2:7" x14ac:dyDescent="0.25">
      <c r="B40" t="s">
        <v>300</v>
      </c>
      <c r="C40" t="s">
        <v>81</v>
      </c>
      <c r="D40" t="s">
        <v>256</v>
      </c>
      <c r="E40" t="s">
        <v>329</v>
      </c>
      <c r="F40" t="s">
        <v>345</v>
      </c>
    </row>
    <row r="41" spans="2:7" x14ac:dyDescent="0.25">
      <c r="B41" t="s">
        <v>295</v>
      </c>
      <c r="C41" t="s">
        <v>78</v>
      </c>
      <c r="D41" t="s">
        <v>256</v>
      </c>
      <c r="E41" t="s">
        <v>329</v>
      </c>
      <c r="F41" t="s">
        <v>345</v>
      </c>
    </row>
    <row r="42" spans="2:7" x14ac:dyDescent="0.25">
      <c r="B42" t="s">
        <v>296</v>
      </c>
      <c r="C42" t="s">
        <v>84</v>
      </c>
      <c r="D42" t="s">
        <v>256</v>
      </c>
      <c r="E42" t="s">
        <v>329</v>
      </c>
      <c r="F42" t="s">
        <v>345</v>
      </c>
      <c r="G42" t="s">
        <v>335</v>
      </c>
    </row>
    <row r="43" spans="2:7" x14ac:dyDescent="0.25">
      <c r="B43" t="s">
        <v>290</v>
      </c>
      <c r="C43" t="s">
        <v>87</v>
      </c>
      <c r="D43" t="s">
        <v>256</v>
      </c>
      <c r="E43" t="s">
        <v>329</v>
      </c>
      <c r="F43" t="s">
        <v>345</v>
      </c>
    </row>
    <row r="44" spans="2:7" x14ac:dyDescent="0.25">
      <c r="B44" t="s">
        <v>274</v>
      </c>
      <c r="C44" t="s">
        <v>90</v>
      </c>
      <c r="D44" t="s">
        <v>255</v>
      </c>
      <c r="E44" t="s">
        <v>329</v>
      </c>
      <c r="F44" t="s">
        <v>345</v>
      </c>
      <c r="G44" t="s">
        <v>336</v>
      </c>
    </row>
    <row r="45" spans="2:7" x14ac:dyDescent="0.25">
      <c r="B45" t="s">
        <v>282</v>
      </c>
      <c r="C45" t="s">
        <v>95</v>
      </c>
      <c r="D45" t="s">
        <v>255</v>
      </c>
      <c r="E45" t="s">
        <v>329</v>
      </c>
      <c r="F45" t="s">
        <v>345</v>
      </c>
    </row>
    <row r="46" spans="2:7" x14ac:dyDescent="0.25">
      <c r="B46" t="s">
        <v>278</v>
      </c>
      <c r="C46" t="s">
        <v>96</v>
      </c>
      <c r="D46" t="s">
        <v>255</v>
      </c>
      <c r="E46" t="s">
        <v>329</v>
      </c>
      <c r="F46" t="s">
        <v>345</v>
      </c>
    </row>
    <row r="47" spans="2:7" x14ac:dyDescent="0.25">
      <c r="B47" t="s">
        <v>263</v>
      </c>
      <c r="C47" t="s">
        <v>89</v>
      </c>
      <c r="D47" t="s">
        <v>255</v>
      </c>
      <c r="E47" t="s">
        <v>329</v>
      </c>
      <c r="F47" t="s">
        <v>345</v>
      </c>
    </row>
    <row r="48" spans="2:7" x14ac:dyDescent="0.25">
      <c r="B48" t="s">
        <v>271</v>
      </c>
      <c r="C48" t="s">
        <v>97</v>
      </c>
      <c r="D48" t="s">
        <v>255</v>
      </c>
      <c r="E48" t="s">
        <v>329</v>
      </c>
      <c r="F48" t="s">
        <v>345</v>
      </c>
      <c r="G48" t="s">
        <v>337</v>
      </c>
    </row>
    <row r="49" spans="2:7" x14ac:dyDescent="0.25">
      <c r="B49" t="s">
        <v>276</v>
      </c>
      <c r="C49" t="s">
        <v>102</v>
      </c>
      <c r="D49" t="s">
        <v>255</v>
      </c>
      <c r="E49" t="s">
        <v>329</v>
      </c>
      <c r="F49" t="s">
        <v>345</v>
      </c>
      <c r="G49" t="s">
        <v>338</v>
      </c>
    </row>
    <row r="50" spans="2:7" x14ac:dyDescent="0.25">
      <c r="B50" t="s">
        <v>272</v>
      </c>
      <c r="C50" t="s">
        <v>103</v>
      </c>
      <c r="D50" t="s">
        <v>255</v>
      </c>
      <c r="E50" t="s">
        <v>329</v>
      </c>
      <c r="F50" t="s">
        <v>345</v>
      </c>
    </row>
    <row r="51" spans="2:7" x14ac:dyDescent="0.25">
      <c r="B51" t="s">
        <v>269</v>
      </c>
      <c r="C51" t="s">
        <v>7</v>
      </c>
      <c r="D51" t="s">
        <v>255</v>
      </c>
      <c r="E51" t="s">
        <v>329</v>
      </c>
      <c r="F51" t="s">
        <v>345</v>
      </c>
      <c r="G51" t="s">
        <v>339</v>
      </c>
    </row>
    <row r="52" spans="2:7" x14ac:dyDescent="0.25">
      <c r="B52" t="s">
        <v>273</v>
      </c>
      <c r="C52" t="s">
        <v>106</v>
      </c>
      <c r="D52" t="s">
        <v>255</v>
      </c>
      <c r="E52" t="s">
        <v>329</v>
      </c>
      <c r="F52" t="s">
        <v>345</v>
      </c>
    </row>
    <row r="53" spans="2:7" x14ac:dyDescent="0.25">
      <c r="B53" t="s">
        <v>275</v>
      </c>
      <c r="C53" t="s">
        <v>151</v>
      </c>
      <c r="D53" t="s">
        <v>255</v>
      </c>
      <c r="E53" t="s">
        <v>329</v>
      </c>
      <c r="F53" t="s">
        <v>345</v>
      </c>
    </row>
    <row r="54" spans="2:7" x14ac:dyDescent="0.25">
      <c r="B54" t="s">
        <v>277</v>
      </c>
      <c r="C54" t="s">
        <v>88</v>
      </c>
      <c r="D54" t="s">
        <v>255</v>
      </c>
      <c r="E54" t="s">
        <v>329</v>
      </c>
      <c r="F54" t="s">
        <v>345</v>
      </c>
    </row>
    <row r="55" spans="2:7" x14ac:dyDescent="0.25">
      <c r="B55" t="s">
        <v>280</v>
      </c>
      <c r="C55" t="s">
        <v>107</v>
      </c>
      <c r="D55" t="s">
        <v>255</v>
      </c>
      <c r="E55" t="s">
        <v>329</v>
      </c>
      <c r="F55" t="s">
        <v>345</v>
      </c>
    </row>
    <row r="56" spans="2:7" x14ac:dyDescent="0.25">
      <c r="B56" t="s">
        <v>264</v>
      </c>
      <c r="C56" t="s">
        <v>110</v>
      </c>
      <c r="D56" t="s">
        <v>255</v>
      </c>
      <c r="E56" t="s">
        <v>329</v>
      </c>
      <c r="F56" t="s">
        <v>345</v>
      </c>
    </row>
    <row r="57" spans="2:7" x14ac:dyDescent="0.25">
      <c r="B57" t="s">
        <v>279</v>
      </c>
      <c r="C57" t="s">
        <v>113</v>
      </c>
      <c r="D57" t="s">
        <v>255</v>
      </c>
      <c r="E57" t="s">
        <v>329</v>
      </c>
      <c r="F57" t="s">
        <v>345</v>
      </c>
    </row>
    <row r="58" spans="2:7" x14ac:dyDescent="0.25">
      <c r="B58" t="s">
        <v>265</v>
      </c>
      <c r="C58" t="s">
        <v>245</v>
      </c>
      <c r="D58" t="s">
        <v>255</v>
      </c>
      <c r="E58" t="s">
        <v>328</v>
      </c>
      <c r="F58" s="33" t="s">
        <v>343</v>
      </c>
    </row>
    <row r="59" spans="2:7" x14ac:dyDescent="0.25">
      <c r="B59" t="s">
        <v>270</v>
      </c>
      <c r="C59" t="s">
        <v>11</v>
      </c>
      <c r="D59" t="s">
        <v>255</v>
      </c>
      <c r="E59" t="s">
        <v>329</v>
      </c>
      <c r="F59" t="s">
        <v>345</v>
      </c>
    </row>
    <row r="60" spans="2:7" x14ac:dyDescent="0.25">
      <c r="B60" t="s">
        <v>281</v>
      </c>
      <c r="C60" t="s">
        <v>155</v>
      </c>
      <c r="D60" t="s">
        <v>255</v>
      </c>
      <c r="E60" t="s">
        <v>329</v>
      </c>
      <c r="F60" t="s">
        <v>345</v>
      </c>
    </row>
    <row r="61" spans="2:7" x14ac:dyDescent="0.25">
      <c r="B61" t="s">
        <v>266</v>
      </c>
      <c r="C61" t="s">
        <v>157</v>
      </c>
      <c r="D61" t="s">
        <v>255</v>
      </c>
      <c r="E61" t="s">
        <v>329</v>
      </c>
      <c r="F61" t="s">
        <v>345</v>
      </c>
    </row>
    <row r="62" spans="2:7" x14ac:dyDescent="0.25">
      <c r="B62" t="s">
        <v>267</v>
      </c>
      <c r="C62" t="s">
        <v>16</v>
      </c>
      <c r="D62" t="s">
        <v>255</v>
      </c>
      <c r="E62" t="s">
        <v>329</v>
      </c>
      <c r="F62" t="s">
        <v>345</v>
      </c>
    </row>
    <row r="63" spans="2:7" x14ac:dyDescent="0.25">
      <c r="B63" t="s">
        <v>268</v>
      </c>
      <c r="C63" t="s">
        <v>165</v>
      </c>
      <c r="D63" t="s">
        <v>255</v>
      </c>
      <c r="E63" t="s">
        <v>329</v>
      </c>
      <c r="F63" t="s">
        <v>345</v>
      </c>
      <c r="G63" t="s">
        <v>340</v>
      </c>
    </row>
    <row r="64" spans="2:7" x14ac:dyDescent="0.25">
      <c r="B64" t="s">
        <v>341</v>
      </c>
      <c r="C64" t="s">
        <v>244</v>
      </c>
      <c r="D64" t="s">
        <v>257</v>
      </c>
      <c r="E64" t="s">
        <v>329</v>
      </c>
      <c r="F64" t="s">
        <v>344</v>
      </c>
    </row>
    <row r="65" spans="2:6" x14ac:dyDescent="0.25">
      <c r="B65" t="s">
        <v>324</v>
      </c>
      <c r="C65" t="s">
        <v>253</v>
      </c>
      <c r="D65" t="s">
        <v>257</v>
      </c>
      <c r="E65" t="s">
        <v>328</v>
      </c>
      <c r="F65" s="33" t="s">
        <v>343</v>
      </c>
    </row>
    <row r="66" spans="2:6" x14ac:dyDescent="0.25">
      <c r="B66" t="s">
        <v>285</v>
      </c>
      <c r="C66" t="s">
        <v>246</v>
      </c>
      <c r="D66" t="s">
        <v>257</v>
      </c>
      <c r="E66" t="s">
        <v>328</v>
      </c>
      <c r="F66" s="33" t="s">
        <v>343</v>
      </c>
    </row>
    <row r="67" spans="2:6" x14ac:dyDescent="0.25">
      <c r="B67" t="s">
        <v>325</v>
      </c>
      <c r="C67" t="s">
        <v>243</v>
      </c>
      <c r="D67" t="s">
        <v>257</v>
      </c>
      <c r="E67" t="s">
        <v>328</v>
      </c>
      <c r="F67" s="33" t="s">
        <v>343</v>
      </c>
    </row>
  </sheetData>
  <autoFilter ref="B2:G67" xr:uid="{A2259654-7E4B-4F6D-B593-DDABA6938EE4}">
    <sortState xmlns:xlrd2="http://schemas.microsoft.com/office/spreadsheetml/2017/richdata2" ref="B3:G67">
      <sortCondition ref="D2:D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F00C-7733-4DA3-8DE1-E8A8B4DF0AAF}">
  <sheetPr filterMode="1"/>
  <dimension ref="B1:X247"/>
  <sheetViews>
    <sheetView tabSelected="1" view="pageBreakPreview" zoomScale="95" zoomScaleNormal="100" zoomScaleSheetLayoutView="95" workbookViewId="0">
      <pane xSplit="2" ySplit="2" topLeftCell="C22" activePane="bottomRight" state="frozen"/>
      <selection pane="topRight" activeCell="C1" sqref="C1"/>
      <selection pane="bottomLeft" activeCell="A3" sqref="A3"/>
      <selection pane="bottomRight" activeCell="J26" sqref="J26"/>
    </sheetView>
  </sheetViews>
  <sheetFormatPr defaultRowHeight="15" x14ac:dyDescent="0.25"/>
  <cols>
    <col min="2" max="2" width="22.28515625" bestFit="1" customWidth="1"/>
    <col min="3" max="3" width="8.42578125" bestFit="1" customWidth="1"/>
    <col min="4" max="4" width="19.140625" bestFit="1" customWidth="1"/>
    <col min="5" max="5" width="56.5703125" bestFit="1" customWidth="1"/>
    <col min="6" max="9" width="12.7109375" customWidth="1"/>
    <col min="10" max="10" width="12.7109375" style="7" customWidth="1"/>
    <col min="11" max="11" width="21.140625" style="7" bestFit="1" customWidth="1"/>
    <col min="12" max="12" width="21.140625" style="7" customWidth="1"/>
    <col min="13" max="15" width="12.7109375" customWidth="1"/>
    <col min="16" max="16" width="56.5703125" customWidth="1"/>
  </cols>
  <sheetData>
    <row r="1" spans="2:24" x14ac:dyDescent="0.25">
      <c r="B1" s="32"/>
      <c r="J1" s="42"/>
    </row>
    <row r="2" spans="2:24" ht="17.25" x14ac:dyDescent="0.4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240</v>
      </c>
      <c r="J2" s="34" t="s">
        <v>350</v>
      </c>
      <c r="K2" s="34" t="s">
        <v>352</v>
      </c>
      <c r="L2" s="34" t="s">
        <v>355</v>
      </c>
      <c r="M2" s="34" t="s">
        <v>4</v>
      </c>
      <c r="N2" s="34" t="s">
        <v>5</v>
      </c>
      <c r="O2" s="34" t="s">
        <v>6</v>
      </c>
      <c r="P2" s="34" t="s">
        <v>351</v>
      </c>
      <c r="R2" t="s">
        <v>2</v>
      </c>
      <c r="U2" t="s">
        <v>0</v>
      </c>
    </row>
    <row r="3" spans="2:24" hidden="1" x14ac:dyDescent="0.25">
      <c r="B3" s="10" t="s">
        <v>20</v>
      </c>
      <c r="C3" s="10" t="s">
        <v>21</v>
      </c>
      <c r="D3" s="3" t="s">
        <v>22</v>
      </c>
      <c r="E3" s="6" t="s">
        <v>23</v>
      </c>
      <c r="F3" s="4">
        <v>6000</v>
      </c>
      <c r="G3" s="5">
        <v>46053</v>
      </c>
      <c r="H3" s="5">
        <v>46112</v>
      </c>
      <c r="I3" s="26">
        <v>2000</v>
      </c>
      <c r="J3" s="40" t="s">
        <v>347</v>
      </c>
      <c r="K3" s="40" t="s">
        <v>353</v>
      </c>
      <c r="L3" s="40" t="s">
        <v>356</v>
      </c>
      <c r="M3" s="36">
        <v>11000</v>
      </c>
      <c r="N3" s="37">
        <v>46113</v>
      </c>
      <c r="O3" s="37"/>
      <c r="P3" s="6"/>
      <c r="R3" t="s">
        <v>9</v>
      </c>
      <c r="U3" t="s">
        <v>7</v>
      </c>
      <c r="X3" s="6" t="s">
        <v>346</v>
      </c>
    </row>
    <row r="4" spans="2:24" hidden="1" x14ac:dyDescent="0.25">
      <c r="B4" s="11" t="s">
        <v>20</v>
      </c>
      <c r="C4" s="11" t="s">
        <v>21</v>
      </c>
      <c r="D4" s="3" t="s">
        <v>24</v>
      </c>
      <c r="E4" s="6" t="s">
        <v>25</v>
      </c>
      <c r="F4" s="4">
        <v>7500</v>
      </c>
      <c r="G4" s="35">
        <v>46053</v>
      </c>
      <c r="H4" s="35">
        <v>46112</v>
      </c>
      <c r="I4" s="26">
        <v>2500</v>
      </c>
      <c r="J4" s="41" t="s">
        <v>349</v>
      </c>
      <c r="K4" s="41"/>
      <c r="L4" s="40" t="s">
        <v>356</v>
      </c>
      <c r="M4" s="36">
        <v>7500</v>
      </c>
      <c r="N4" s="38">
        <v>46053</v>
      </c>
      <c r="O4" s="38">
        <v>46112</v>
      </c>
      <c r="P4" s="6"/>
      <c r="R4" t="s">
        <v>12</v>
      </c>
      <c r="U4" t="s">
        <v>11</v>
      </c>
      <c r="X4" s="6" t="s">
        <v>347</v>
      </c>
    </row>
    <row r="5" spans="2:24" hidden="1" x14ac:dyDescent="0.25">
      <c r="B5" s="11" t="s">
        <v>20</v>
      </c>
      <c r="C5" s="11" t="s">
        <v>21</v>
      </c>
      <c r="D5" s="3" t="s">
        <v>26</v>
      </c>
      <c r="E5" s="6" t="s">
        <v>27</v>
      </c>
      <c r="F5" s="4">
        <v>30000</v>
      </c>
      <c r="G5" s="35">
        <v>46053</v>
      </c>
      <c r="H5" s="35">
        <v>46112</v>
      </c>
      <c r="I5" s="26">
        <v>10000</v>
      </c>
      <c r="J5" s="40" t="s">
        <v>347</v>
      </c>
      <c r="K5" s="40" t="s">
        <v>353</v>
      </c>
      <c r="L5" s="40" t="s">
        <v>356</v>
      </c>
      <c r="M5" s="36">
        <v>30000</v>
      </c>
      <c r="N5" s="38">
        <v>46053</v>
      </c>
      <c r="O5" s="38">
        <v>46112</v>
      </c>
      <c r="P5" s="6"/>
      <c r="R5" t="s">
        <v>17</v>
      </c>
      <c r="U5" t="s">
        <v>16</v>
      </c>
      <c r="X5" s="6" t="s">
        <v>348</v>
      </c>
    </row>
    <row r="6" spans="2:24" hidden="1" x14ac:dyDescent="0.25">
      <c r="B6" s="11" t="s">
        <v>20</v>
      </c>
      <c r="C6" s="11" t="s">
        <v>21</v>
      </c>
      <c r="D6" s="3" t="s">
        <v>9</v>
      </c>
      <c r="E6" s="6" t="s">
        <v>131</v>
      </c>
      <c r="F6" s="4">
        <v>15000</v>
      </c>
      <c r="G6" s="35">
        <v>46142</v>
      </c>
      <c r="H6" s="35">
        <v>46203</v>
      </c>
      <c r="I6" s="26">
        <v>5000</v>
      </c>
      <c r="J6" s="41" t="s">
        <v>347</v>
      </c>
      <c r="K6" s="41" t="s">
        <v>354</v>
      </c>
      <c r="L6" s="40" t="s">
        <v>356</v>
      </c>
      <c r="M6" s="36">
        <v>15000</v>
      </c>
      <c r="N6" s="38">
        <v>46142</v>
      </c>
      <c r="O6" s="38">
        <v>46203</v>
      </c>
      <c r="P6" s="6"/>
      <c r="R6" t="s">
        <v>18</v>
      </c>
      <c r="U6" t="s">
        <v>20</v>
      </c>
      <c r="X6" s="6" t="s">
        <v>349</v>
      </c>
    </row>
    <row r="7" spans="2:24" hidden="1" x14ac:dyDescent="0.25">
      <c r="B7" s="11" t="s">
        <v>20</v>
      </c>
      <c r="C7" s="11" t="s">
        <v>21</v>
      </c>
      <c r="D7" s="3" t="s">
        <v>18</v>
      </c>
      <c r="E7" s="6" t="s">
        <v>132</v>
      </c>
      <c r="F7" s="4">
        <v>40000</v>
      </c>
      <c r="G7" s="35">
        <v>46326</v>
      </c>
      <c r="H7" s="35">
        <v>46387</v>
      </c>
      <c r="I7" s="26">
        <v>13333.333333333334</v>
      </c>
      <c r="J7" s="39" t="s">
        <v>349</v>
      </c>
      <c r="K7" s="39"/>
      <c r="L7" s="39"/>
      <c r="M7" s="36">
        <v>40000</v>
      </c>
      <c r="N7" s="38">
        <v>46326</v>
      </c>
      <c r="O7" s="38">
        <v>46387</v>
      </c>
      <c r="P7" s="6"/>
      <c r="R7" t="s">
        <v>22</v>
      </c>
      <c r="U7" t="s">
        <v>28</v>
      </c>
    </row>
    <row r="8" spans="2:24" hidden="1" x14ac:dyDescent="0.25">
      <c r="B8" s="11" t="s">
        <v>28</v>
      </c>
      <c r="C8" s="11" t="s">
        <v>21</v>
      </c>
      <c r="D8" s="3" t="s">
        <v>26</v>
      </c>
      <c r="E8" s="6" t="s">
        <v>29</v>
      </c>
      <c r="F8" s="4">
        <v>5000</v>
      </c>
      <c r="G8" s="35">
        <v>46053</v>
      </c>
      <c r="H8" s="35">
        <v>46112</v>
      </c>
      <c r="I8" s="26">
        <v>1666.6666666666667</v>
      </c>
      <c r="J8" s="39" t="s">
        <v>347</v>
      </c>
      <c r="K8" s="39"/>
      <c r="L8" s="39" t="s">
        <v>357</v>
      </c>
      <c r="M8" s="36">
        <v>5000</v>
      </c>
      <c r="N8" s="38">
        <v>46053</v>
      </c>
      <c r="O8" s="38">
        <v>46112</v>
      </c>
      <c r="P8" s="6"/>
      <c r="R8" t="s">
        <v>24</v>
      </c>
      <c r="U8" t="s">
        <v>30</v>
      </c>
    </row>
    <row r="9" spans="2:24" hidden="1" x14ac:dyDescent="0.25">
      <c r="B9" s="11" t="s">
        <v>28</v>
      </c>
      <c r="C9" s="11" t="s">
        <v>21</v>
      </c>
      <c r="D9" s="3" t="s">
        <v>24</v>
      </c>
      <c r="E9" s="6" t="s">
        <v>25</v>
      </c>
      <c r="F9" s="4">
        <v>7500</v>
      </c>
      <c r="G9" s="35">
        <v>46112</v>
      </c>
      <c r="H9" s="35">
        <v>46173</v>
      </c>
      <c r="I9" s="26">
        <v>2500</v>
      </c>
      <c r="J9" s="41" t="s">
        <v>349</v>
      </c>
      <c r="K9" s="41"/>
      <c r="L9" s="41"/>
      <c r="M9" s="36">
        <v>7500</v>
      </c>
      <c r="N9" s="38">
        <v>46112</v>
      </c>
      <c r="O9" s="38">
        <v>46173</v>
      </c>
      <c r="P9" s="6"/>
      <c r="R9" t="s">
        <v>26</v>
      </c>
      <c r="U9" t="s">
        <v>36</v>
      </c>
    </row>
    <row r="10" spans="2:24" hidden="1" x14ac:dyDescent="0.25">
      <c r="B10" s="11" t="s">
        <v>28</v>
      </c>
      <c r="C10" s="11" t="s">
        <v>21</v>
      </c>
      <c r="D10" s="3" t="s">
        <v>32</v>
      </c>
      <c r="E10" s="6" t="s">
        <v>129</v>
      </c>
      <c r="F10" s="4">
        <v>7500</v>
      </c>
      <c r="G10" s="35">
        <v>46112</v>
      </c>
      <c r="H10" s="35">
        <v>46173</v>
      </c>
      <c r="I10" s="26">
        <v>2500</v>
      </c>
      <c r="J10" s="39" t="s">
        <v>349</v>
      </c>
      <c r="K10" s="39"/>
      <c r="L10" s="39"/>
      <c r="M10" s="36">
        <v>7500</v>
      </c>
      <c r="N10" s="38">
        <v>46112</v>
      </c>
      <c r="O10" s="38">
        <v>46173</v>
      </c>
      <c r="P10" s="6"/>
      <c r="R10" t="s">
        <v>32</v>
      </c>
      <c r="U10" t="s">
        <v>37</v>
      </c>
    </row>
    <row r="11" spans="2:24" hidden="1" x14ac:dyDescent="0.25">
      <c r="B11" s="11" t="s">
        <v>28</v>
      </c>
      <c r="C11" s="11" t="s">
        <v>21</v>
      </c>
      <c r="D11" s="3" t="s">
        <v>18</v>
      </c>
      <c r="E11" s="6" t="s">
        <v>130</v>
      </c>
      <c r="F11" s="4">
        <v>10000</v>
      </c>
      <c r="G11" s="35">
        <v>46112</v>
      </c>
      <c r="H11" s="35">
        <v>46173</v>
      </c>
      <c r="I11" s="26">
        <v>3333.3333333333335</v>
      </c>
      <c r="J11" s="39" t="s">
        <v>347</v>
      </c>
      <c r="K11" s="39" t="s">
        <v>354</v>
      </c>
      <c r="L11" s="39" t="s">
        <v>356</v>
      </c>
      <c r="M11" s="36">
        <v>10000</v>
      </c>
      <c r="N11" s="38">
        <v>46112</v>
      </c>
      <c r="O11" s="38"/>
      <c r="P11" s="6"/>
      <c r="R11" t="s">
        <v>38</v>
      </c>
      <c r="U11" t="s">
        <v>40</v>
      </c>
    </row>
    <row r="12" spans="2:24" hidden="1" x14ac:dyDescent="0.25">
      <c r="B12" s="11" t="s">
        <v>28</v>
      </c>
      <c r="C12" s="11" t="s">
        <v>21</v>
      </c>
      <c r="D12" s="3" t="s">
        <v>18</v>
      </c>
      <c r="E12" s="6" t="s">
        <v>163</v>
      </c>
      <c r="F12" s="4">
        <v>10000</v>
      </c>
      <c r="G12" s="35">
        <v>46203</v>
      </c>
      <c r="H12" s="35">
        <v>46265</v>
      </c>
      <c r="I12" s="26">
        <v>3333.3333333333335</v>
      </c>
      <c r="J12" s="39" t="s">
        <v>347</v>
      </c>
      <c r="K12" s="39" t="s">
        <v>354</v>
      </c>
      <c r="L12" s="39" t="s">
        <v>356</v>
      </c>
      <c r="M12" s="36">
        <v>10000</v>
      </c>
      <c r="N12" s="38">
        <v>46112</v>
      </c>
      <c r="O12" s="38"/>
      <c r="P12" s="6"/>
      <c r="R12" t="s">
        <v>54</v>
      </c>
      <c r="U12" t="s">
        <v>43</v>
      </c>
    </row>
    <row r="13" spans="2:24" hidden="1" x14ac:dyDescent="0.25">
      <c r="B13" s="11" t="s">
        <v>28</v>
      </c>
      <c r="C13" s="11" t="s">
        <v>21</v>
      </c>
      <c r="D13" s="3" t="s">
        <v>17</v>
      </c>
      <c r="E13" s="6" t="s">
        <v>164</v>
      </c>
      <c r="F13" s="4">
        <v>10000</v>
      </c>
      <c r="G13" s="35">
        <v>46203</v>
      </c>
      <c r="H13" s="35">
        <v>46265</v>
      </c>
      <c r="I13" s="26">
        <v>3333.3333333333335</v>
      </c>
      <c r="J13" s="39" t="s">
        <v>347</v>
      </c>
      <c r="K13" s="39" t="s">
        <v>354</v>
      </c>
      <c r="L13" s="39" t="s">
        <v>356</v>
      </c>
      <c r="M13" s="36">
        <v>30000</v>
      </c>
      <c r="N13" s="38">
        <v>46112</v>
      </c>
      <c r="O13" s="38"/>
      <c r="P13" s="6"/>
      <c r="R13" t="s">
        <v>58</v>
      </c>
      <c r="U13" t="s">
        <v>46</v>
      </c>
    </row>
    <row r="14" spans="2:24" hidden="1" x14ac:dyDescent="0.25">
      <c r="B14" s="11" t="s">
        <v>28</v>
      </c>
      <c r="C14" s="11" t="s">
        <v>21</v>
      </c>
      <c r="D14" s="3" t="s">
        <v>18</v>
      </c>
      <c r="E14" s="6" t="s">
        <v>231</v>
      </c>
      <c r="F14" s="4">
        <v>5000</v>
      </c>
      <c r="G14" s="35">
        <v>46387</v>
      </c>
      <c r="H14" s="35">
        <v>46446</v>
      </c>
      <c r="I14" s="26">
        <v>1704.5454545454545</v>
      </c>
      <c r="J14" s="39" t="s">
        <v>347</v>
      </c>
      <c r="K14" s="39" t="s">
        <v>354</v>
      </c>
      <c r="L14" s="39" t="s">
        <v>356</v>
      </c>
      <c r="M14" s="36">
        <v>20000</v>
      </c>
      <c r="N14" s="38">
        <v>46112</v>
      </c>
      <c r="O14" s="38"/>
      <c r="P14" s="6"/>
      <c r="R14" t="s">
        <v>63</v>
      </c>
      <c r="U14" t="s">
        <v>48</v>
      </c>
    </row>
    <row r="15" spans="2:24" hidden="1" x14ac:dyDescent="0.25">
      <c r="B15" s="11" t="s">
        <v>30</v>
      </c>
      <c r="C15" s="11" t="s">
        <v>21</v>
      </c>
      <c r="D15" s="3" t="s">
        <v>26</v>
      </c>
      <c r="E15" s="3" t="s">
        <v>31</v>
      </c>
      <c r="F15" s="4">
        <v>30000</v>
      </c>
      <c r="G15" s="35">
        <v>46053</v>
      </c>
      <c r="H15" s="35">
        <v>46112</v>
      </c>
      <c r="I15" s="26">
        <v>10000</v>
      </c>
      <c r="J15" s="39" t="s">
        <v>346</v>
      </c>
      <c r="K15" s="39" t="s">
        <v>353</v>
      </c>
      <c r="L15" s="39" t="s">
        <v>356</v>
      </c>
      <c r="M15" s="36">
        <v>30000</v>
      </c>
      <c r="N15" s="38">
        <v>46053</v>
      </c>
      <c r="O15" s="38">
        <v>46112</v>
      </c>
      <c r="P15" s="3"/>
      <c r="R15" t="s">
        <v>74</v>
      </c>
      <c r="U15" t="s">
        <v>56</v>
      </c>
    </row>
    <row r="16" spans="2:24" hidden="1" x14ac:dyDescent="0.25">
      <c r="B16" s="11" t="s">
        <v>30</v>
      </c>
      <c r="C16" s="11" t="s">
        <v>21</v>
      </c>
      <c r="D16" s="3" t="s">
        <v>32</v>
      </c>
      <c r="E16" s="6" t="s">
        <v>33</v>
      </c>
      <c r="F16" s="4">
        <v>10000</v>
      </c>
      <c r="G16" s="35">
        <v>46053</v>
      </c>
      <c r="H16" s="35">
        <v>46112</v>
      </c>
      <c r="I16" s="26">
        <v>3333.3333333333335</v>
      </c>
      <c r="J16" s="39" t="s">
        <v>346</v>
      </c>
      <c r="K16" s="39" t="s">
        <v>353</v>
      </c>
      <c r="L16" s="39" t="s">
        <v>356</v>
      </c>
      <c r="M16" s="36">
        <v>10000</v>
      </c>
      <c r="N16" s="38">
        <v>46053</v>
      </c>
      <c r="O16" s="38">
        <v>46112</v>
      </c>
      <c r="P16" s="6"/>
      <c r="R16" t="s">
        <v>79</v>
      </c>
      <c r="U16" t="s">
        <v>57</v>
      </c>
    </row>
    <row r="17" spans="2:21" hidden="1" x14ac:dyDescent="0.25">
      <c r="B17" s="11" t="s">
        <v>30</v>
      </c>
      <c r="C17" s="11" t="s">
        <v>21</v>
      </c>
      <c r="D17" s="3" t="s">
        <v>22</v>
      </c>
      <c r="E17" s="6" t="s">
        <v>34</v>
      </c>
      <c r="F17" s="4">
        <v>72000</v>
      </c>
      <c r="G17" s="35">
        <v>46053</v>
      </c>
      <c r="H17" s="35">
        <v>48213</v>
      </c>
      <c r="I17" s="26">
        <v>1000</v>
      </c>
      <c r="J17" s="39" t="s">
        <v>347</v>
      </c>
      <c r="K17" s="39" t="s">
        <v>353</v>
      </c>
      <c r="L17" s="39" t="s">
        <v>356</v>
      </c>
      <c r="M17" s="36">
        <v>72000</v>
      </c>
      <c r="N17" s="38">
        <v>46053</v>
      </c>
      <c r="O17" s="38">
        <v>48213</v>
      </c>
      <c r="P17" s="6"/>
      <c r="R17" t="s">
        <v>92</v>
      </c>
      <c r="U17" t="s">
        <v>61</v>
      </c>
    </row>
    <row r="18" spans="2:21" hidden="1" x14ac:dyDescent="0.25">
      <c r="B18" s="11" t="s">
        <v>30</v>
      </c>
      <c r="C18" s="11" t="s">
        <v>21</v>
      </c>
      <c r="D18" s="3" t="s">
        <v>24</v>
      </c>
      <c r="E18" s="6" t="s">
        <v>35</v>
      </c>
      <c r="F18" s="4">
        <v>7500</v>
      </c>
      <c r="G18" s="35">
        <v>46053</v>
      </c>
      <c r="H18" s="35">
        <v>46112</v>
      </c>
      <c r="I18" s="26">
        <v>2500</v>
      </c>
      <c r="J18" s="41" t="s">
        <v>349</v>
      </c>
      <c r="K18" s="41"/>
      <c r="L18" s="41"/>
      <c r="M18" s="36">
        <v>7500</v>
      </c>
      <c r="N18" s="38">
        <v>46053</v>
      </c>
      <c r="O18" s="38">
        <v>46112</v>
      </c>
      <c r="P18" s="6"/>
      <c r="U18" t="s">
        <v>67</v>
      </c>
    </row>
    <row r="19" spans="2:21" hidden="1" x14ac:dyDescent="0.25">
      <c r="B19" s="11" t="s">
        <v>30</v>
      </c>
      <c r="C19" s="11" t="s">
        <v>21</v>
      </c>
      <c r="D19" s="3" t="s">
        <v>18</v>
      </c>
      <c r="E19" s="6" t="s">
        <v>358</v>
      </c>
      <c r="F19" s="4"/>
      <c r="G19" s="35"/>
      <c r="H19" s="35"/>
      <c r="I19" s="26"/>
      <c r="J19" s="39" t="s">
        <v>348</v>
      </c>
      <c r="K19" s="39" t="s">
        <v>354</v>
      </c>
      <c r="L19" s="39" t="s">
        <v>356</v>
      </c>
      <c r="M19" s="36">
        <v>20000</v>
      </c>
      <c r="N19" s="38">
        <v>46142</v>
      </c>
      <c r="O19" s="38"/>
      <c r="P19" s="6"/>
      <c r="U19" t="s">
        <v>71</v>
      </c>
    </row>
    <row r="20" spans="2:21" hidden="1" x14ac:dyDescent="0.25">
      <c r="B20" s="11" t="s">
        <v>30</v>
      </c>
      <c r="C20" s="11" t="s">
        <v>21</v>
      </c>
      <c r="D20" s="3" t="s">
        <v>18</v>
      </c>
      <c r="E20" s="6" t="s">
        <v>359</v>
      </c>
      <c r="F20" s="4"/>
      <c r="G20" s="35"/>
      <c r="H20" s="35"/>
      <c r="I20" s="26"/>
      <c r="J20" s="39" t="s">
        <v>348</v>
      </c>
      <c r="K20" s="39" t="s">
        <v>354</v>
      </c>
      <c r="L20" s="39" t="s">
        <v>356</v>
      </c>
      <c r="M20" s="36">
        <v>15000</v>
      </c>
      <c r="N20" s="38">
        <v>46142</v>
      </c>
      <c r="O20" s="38"/>
      <c r="P20" s="6"/>
      <c r="U20" t="s">
        <v>71</v>
      </c>
    </row>
    <row r="21" spans="2:21" hidden="1" x14ac:dyDescent="0.25">
      <c r="B21" s="11" t="s">
        <v>30</v>
      </c>
      <c r="C21" s="11" t="s">
        <v>21</v>
      </c>
      <c r="D21" s="3" t="s">
        <v>18</v>
      </c>
      <c r="E21" s="6" t="s">
        <v>132</v>
      </c>
      <c r="F21" s="4">
        <v>35000</v>
      </c>
      <c r="G21" s="35">
        <v>46142</v>
      </c>
      <c r="H21" s="35">
        <v>46203</v>
      </c>
      <c r="I21" s="26">
        <v>11666.666666666666</v>
      </c>
      <c r="J21" s="41" t="s">
        <v>349</v>
      </c>
      <c r="K21" s="39"/>
      <c r="L21" s="39"/>
      <c r="M21" s="36">
        <v>35000</v>
      </c>
      <c r="N21" s="38">
        <v>46142</v>
      </c>
      <c r="O21" s="38">
        <v>46203</v>
      </c>
      <c r="P21" s="6"/>
      <c r="U21" t="s">
        <v>71</v>
      </c>
    </row>
    <row r="22" spans="2:21" x14ac:dyDescent="0.25">
      <c r="B22" s="11" t="s">
        <v>36</v>
      </c>
      <c r="C22" s="11" t="s">
        <v>21</v>
      </c>
      <c r="D22" s="3" t="s">
        <v>24</v>
      </c>
      <c r="E22" s="6" t="s">
        <v>25</v>
      </c>
      <c r="F22" s="4">
        <v>7500</v>
      </c>
      <c r="G22" s="35">
        <v>46053</v>
      </c>
      <c r="H22" s="35">
        <v>46112</v>
      </c>
      <c r="I22" s="26">
        <v>2500</v>
      </c>
      <c r="J22" s="41" t="s">
        <v>349</v>
      </c>
      <c r="K22" s="41"/>
      <c r="L22" s="41"/>
      <c r="M22" s="36">
        <v>7500</v>
      </c>
      <c r="N22" s="38">
        <v>46053</v>
      </c>
      <c r="O22" s="38">
        <v>46112</v>
      </c>
      <c r="P22" s="6"/>
      <c r="U22" t="s">
        <v>73</v>
      </c>
    </row>
    <row r="23" spans="2:21" x14ac:dyDescent="0.25">
      <c r="B23" s="11" t="s">
        <v>36</v>
      </c>
      <c r="C23" s="11" t="s">
        <v>21</v>
      </c>
      <c r="D23" s="3" t="s">
        <v>58</v>
      </c>
      <c r="E23" s="6" t="s">
        <v>133</v>
      </c>
      <c r="F23" s="4">
        <v>20000</v>
      </c>
      <c r="G23" s="35">
        <v>46142</v>
      </c>
      <c r="H23" s="35">
        <v>46203</v>
      </c>
      <c r="I23" s="26">
        <v>6666.666666666667</v>
      </c>
      <c r="J23" s="39" t="s">
        <v>347</v>
      </c>
      <c r="K23" s="39" t="s">
        <v>353</v>
      </c>
      <c r="L23" s="39" t="s">
        <v>356</v>
      </c>
      <c r="M23" s="36">
        <v>20000</v>
      </c>
      <c r="N23" s="38">
        <v>46326</v>
      </c>
      <c r="O23" s="38"/>
      <c r="P23" s="6"/>
      <c r="U23" t="s">
        <v>77</v>
      </c>
    </row>
    <row r="24" spans="2:21" x14ac:dyDescent="0.25">
      <c r="B24" s="11" t="s">
        <v>36</v>
      </c>
      <c r="C24" s="11" t="s">
        <v>21</v>
      </c>
      <c r="D24" s="3" t="s">
        <v>9</v>
      </c>
      <c r="E24" s="6" t="s">
        <v>149</v>
      </c>
      <c r="F24" s="4">
        <v>15000</v>
      </c>
      <c r="G24" s="35">
        <v>46234</v>
      </c>
      <c r="H24" s="35">
        <v>46295</v>
      </c>
      <c r="I24" s="26">
        <v>5000</v>
      </c>
      <c r="J24" s="39" t="s">
        <v>347</v>
      </c>
      <c r="K24" s="39" t="s">
        <v>354</v>
      </c>
      <c r="L24" s="39" t="s">
        <v>356</v>
      </c>
      <c r="M24" s="36">
        <v>15000</v>
      </c>
      <c r="N24" s="38">
        <v>46142</v>
      </c>
      <c r="O24" s="38"/>
      <c r="P24" s="6"/>
      <c r="U24" t="s">
        <v>78</v>
      </c>
    </row>
    <row r="25" spans="2:21" x14ac:dyDescent="0.25">
      <c r="B25" s="11" t="s">
        <v>36</v>
      </c>
      <c r="C25" s="11" t="s">
        <v>21</v>
      </c>
      <c r="D25" s="3" t="s">
        <v>38</v>
      </c>
      <c r="E25" s="6" t="s">
        <v>38</v>
      </c>
      <c r="F25" s="4">
        <v>15000</v>
      </c>
      <c r="G25" s="35">
        <v>46234</v>
      </c>
      <c r="H25" s="35">
        <v>46295</v>
      </c>
      <c r="I25" s="26">
        <v>5000</v>
      </c>
      <c r="J25" s="39" t="s">
        <v>347</v>
      </c>
      <c r="K25" s="39" t="s">
        <v>354</v>
      </c>
      <c r="L25" s="39" t="s">
        <v>356</v>
      </c>
      <c r="M25" s="36">
        <v>15000</v>
      </c>
      <c r="N25" s="38">
        <v>46142</v>
      </c>
      <c r="O25" s="38"/>
      <c r="P25" s="6"/>
      <c r="U25" t="s">
        <v>81</v>
      </c>
    </row>
    <row r="26" spans="2:21" x14ac:dyDescent="0.25">
      <c r="B26" s="11" t="s">
        <v>36</v>
      </c>
      <c r="C26" s="11" t="s">
        <v>21</v>
      </c>
      <c r="D26" s="3" t="s">
        <v>17</v>
      </c>
      <c r="E26" s="6" t="s">
        <v>169</v>
      </c>
      <c r="F26" s="4">
        <v>10000</v>
      </c>
      <c r="G26" s="35">
        <v>46234</v>
      </c>
      <c r="H26" s="35">
        <v>46295</v>
      </c>
      <c r="I26" s="26">
        <v>3333.3333333333335</v>
      </c>
      <c r="J26" s="39" t="s">
        <v>347</v>
      </c>
      <c r="K26" s="39" t="s">
        <v>354</v>
      </c>
      <c r="L26" s="39" t="s">
        <v>356</v>
      </c>
      <c r="M26" s="36">
        <v>10000</v>
      </c>
      <c r="N26" s="38">
        <v>46142</v>
      </c>
      <c r="O26" s="38"/>
      <c r="P26" s="6"/>
      <c r="U26" t="s">
        <v>84</v>
      </c>
    </row>
    <row r="27" spans="2:21" x14ac:dyDescent="0.25">
      <c r="B27" s="11" t="s">
        <v>37</v>
      </c>
      <c r="C27" s="11" t="s">
        <v>21</v>
      </c>
      <c r="D27" s="3" t="s">
        <v>38</v>
      </c>
      <c r="E27" s="6" t="s">
        <v>39</v>
      </c>
      <c r="F27" s="4">
        <v>5000</v>
      </c>
      <c r="G27" s="35">
        <v>46053</v>
      </c>
      <c r="H27" s="35">
        <v>46112</v>
      </c>
      <c r="I27" s="26">
        <v>1666.6666666666667</v>
      </c>
      <c r="J27" s="41" t="s">
        <v>349</v>
      </c>
      <c r="K27" s="39"/>
      <c r="L27" s="39"/>
      <c r="M27" s="36">
        <v>5000</v>
      </c>
      <c r="N27" s="38">
        <v>46053</v>
      </c>
      <c r="O27" s="38">
        <v>46112</v>
      </c>
      <c r="P27" s="6"/>
      <c r="U27" t="s">
        <v>87</v>
      </c>
    </row>
    <row r="28" spans="2:21" x14ac:dyDescent="0.25">
      <c r="B28" s="11" t="s">
        <v>37</v>
      </c>
      <c r="C28" s="11" t="s">
        <v>21</v>
      </c>
      <c r="D28" s="3" t="s">
        <v>24</v>
      </c>
      <c r="E28" s="6" t="s">
        <v>35</v>
      </c>
      <c r="F28" s="4">
        <v>7500</v>
      </c>
      <c r="G28" s="35">
        <v>46142</v>
      </c>
      <c r="H28" s="35">
        <v>46203</v>
      </c>
      <c r="I28" s="26">
        <v>2500</v>
      </c>
      <c r="J28" s="41" t="s">
        <v>349</v>
      </c>
      <c r="K28" s="41"/>
      <c r="L28" s="41"/>
      <c r="M28" s="36">
        <v>7500</v>
      </c>
      <c r="N28" s="38">
        <v>46142</v>
      </c>
      <c r="O28" s="38">
        <v>46203</v>
      </c>
      <c r="P28" s="6"/>
      <c r="U28" t="s">
        <v>88</v>
      </c>
    </row>
    <row r="29" spans="2:21" x14ac:dyDescent="0.25">
      <c r="B29" s="11" t="s">
        <v>37</v>
      </c>
      <c r="C29" s="11" t="s">
        <v>21</v>
      </c>
      <c r="D29" s="3" t="s">
        <v>58</v>
      </c>
      <c r="E29" s="6" t="s">
        <v>170</v>
      </c>
      <c r="F29" s="4">
        <v>25000</v>
      </c>
      <c r="G29" s="35">
        <v>46234</v>
      </c>
      <c r="H29" s="35">
        <v>46295</v>
      </c>
      <c r="I29" s="26">
        <v>8333.3333333333339</v>
      </c>
      <c r="J29" s="41" t="s">
        <v>349</v>
      </c>
      <c r="K29" s="39"/>
      <c r="L29" s="39"/>
      <c r="M29" s="36">
        <v>25000</v>
      </c>
      <c r="N29" s="38">
        <v>46234</v>
      </c>
      <c r="O29" s="38">
        <v>46295</v>
      </c>
      <c r="P29" s="6"/>
      <c r="U29" t="s">
        <v>89</v>
      </c>
    </row>
    <row r="30" spans="2:21" x14ac:dyDescent="0.25">
      <c r="B30" s="11" t="s">
        <v>171</v>
      </c>
      <c r="C30" s="11" t="s">
        <v>21</v>
      </c>
      <c r="D30" s="3" t="s">
        <v>9</v>
      </c>
      <c r="E30" s="6" t="s">
        <v>172</v>
      </c>
      <c r="F30" s="4">
        <v>15000</v>
      </c>
      <c r="G30" s="35">
        <v>46234</v>
      </c>
      <c r="H30" s="35">
        <v>46295</v>
      </c>
      <c r="I30" s="26">
        <v>5000</v>
      </c>
      <c r="J30" s="39" t="s">
        <v>347</v>
      </c>
      <c r="K30" s="39" t="s">
        <v>354</v>
      </c>
      <c r="L30" s="39" t="s">
        <v>356</v>
      </c>
      <c r="M30" s="36">
        <v>15000</v>
      </c>
      <c r="N30" s="38">
        <v>46142</v>
      </c>
      <c r="O30" s="38"/>
      <c r="P30" s="6"/>
      <c r="U30" t="s">
        <v>90</v>
      </c>
    </row>
    <row r="31" spans="2:21" x14ac:dyDescent="0.25">
      <c r="B31" s="11" t="s">
        <v>171</v>
      </c>
      <c r="C31" s="11" t="s">
        <v>21</v>
      </c>
      <c r="D31" s="3" t="s">
        <v>38</v>
      </c>
      <c r="E31" s="6" t="s">
        <v>173</v>
      </c>
      <c r="F31" s="4">
        <v>15000</v>
      </c>
      <c r="G31" s="35">
        <v>46234</v>
      </c>
      <c r="H31" s="35">
        <v>46295</v>
      </c>
      <c r="I31" s="26">
        <v>5000</v>
      </c>
      <c r="J31" s="39" t="s">
        <v>347</v>
      </c>
      <c r="K31" s="39" t="s">
        <v>354</v>
      </c>
      <c r="L31" s="39" t="s">
        <v>356</v>
      </c>
      <c r="M31" s="36">
        <v>15000</v>
      </c>
      <c r="N31" s="38">
        <v>46142</v>
      </c>
      <c r="O31" s="38"/>
      <c r="P31" s="6"/>
      <c r="U31" t="s">
        <v>95</v>
      </c>
    </row>
    <row r="32" spans="2:21" x14ac:dyDescent="0.25">
      <c r="B32" s="11" t="s">
        <v>171</v>
      </c>
      <c r="C32" s="11" t="s">
        <v>21</v>
      </c>
      <c r="D32" s="3" t="s">
        <v>24</v>
      </c>
      <c r="E32" s="6" t="s">
        <v>25</v>
      </c>
      <c r="F32" s="4">
        <v>7500</v>
      </c>
      <c r="G32" s="35">
        <v>46326</v>
      </c>
      <c r="H32" s="35">
        <v>46387</v>
      </c>
      <c r="I32" s="26">
        <v>2500</v>
      </c>
      <c r="J32" s="41" t="s">
        <v>349</v>
      </c>
      <c r="K32" s="41"/>
      <c r="L32" s="41"/>
      <c r="M32" s="36">
        <v>7500</v>
      </c>
      <c r="N32" s="38">
        <v>46326</v>
      </c>
      <c r="O32" s="38">
        <v>46387</v>
      </c>
      <c r="P32" s="6"/>
      <c r="U32" t="s">
        <v>96</v>
      </c>
    </row>
    <row r="33" spans="2:21" x14ac:dyDescent="0.25">
      <c r="B33" s="11" t="s">
        <v>171</v>
      </c>
      <c r="C33" s="11" t="s">
        <v>21</v>
      </c>
      <c r="D33" s="3" t="s">
        <v>17</v>
      </c>
      <c r="E33" s="6" t="s">
        <v>219</v>
      </c>
      <c r="F33" s="4">
        <v>10000</v>
      </c>
      <c r="G33" s="35">
        <v>46326</v>
      </c>
      <c r="H33" s="35">
        <v>46387</v>
      </c>
      <c r="I33" s="26">
        <v>3333.3333333333335</v>
      </c>
      <c r="J33" s="39" t="s">
        <v>347</v>
      </c>
      <c r="K33" s="39" t="s">
        <v>354</v>
      </c>
      <c r="L33" s="39" t="s">
        <v>356</v>
      </c>
      <c r="M33" s="36">
        <v>10000</v>
      </c>
      <c r="N33" s="38">
        <v>46142</v>
      </c>
      <c r="O33" s="38"/>
      <c r="P33" s="6"/>
      <c r="U33" t="s">
        <v>97</v>
      </c>
    </row>
    <row r="34" spans="2:21" x14ac:dyDescent="0.25">
      <c r="B34" s="11" t="s">
        <v>40</v>
      </c>
      <c r="C34" s="11" t="s">
        <v>21</v>
      </c>
      <c r="D34" s="3" t="s">
        <v>22</v>
      </c>
      <c r="E34" s="6" t="s">
        <v>41</v>
      </c>
      <c r="F34" s="4">
        <v>360000</v>
      </c>
      <c r="G34" s="35">
        <v>46053</v>
      </c>
      <c r="H34" s="35">
        <v>48213</v>
      </c>
      <c r="I34" s="26">
        <v>5000</v>
      </c>
      <c r="J34" s="39" t="s">
        <v>347</v>
      </c>
      <c r="K34" s="39" t="s">
        <v>353</v>
      </c>
      <c r="L34" s="39" t="s">
        <v>356</v>
      </c>
      <c r="M34" s="36">
        <v>360000</v>
      </c>
      <c r="N34" s="38">
        <v>46053</v>
      </c>
      <c r="O34" s="38">
        <v>48213</v>
      </c>
      <c r="P34" s="6"/>
      <c r="U34" t="s">
        <v>102</v>
      </c>
    </row>
    <row r="35" spans="2:21" x14ac:dyDescent="0.25">
      <c r="B35" s="11" t="s">
        <v>40</v>
      </c>
      <c r="C35" s="11" t="s">
        <v>21</v>
      </c>
      <c r="D35" s="3" t="s">
        <v>26</v>
      </c>
      <c r="E35" s="6" t="s">
        <v>42</v>
      </c>
      <c r="F35" s="4">
        <v>15000</v>
      </c>
      <c r="G35" s="35">
        <v>46053</v>
      </c>
      <c r="H35" s="35">
        <v>46112</v>
      </c>
      <c r="I35" s="26">
        <v>5000</v>
      </c>
      <c r="J35" s="39" t="s">
        <v>347</v>
      </c>
      <c r="K35" s="39" t="s">
        <v>353</v>
      </c>
      <c r="L35" s="39" t="s">
        <v>356</v>
      </c>
      <c r="M35" s="36">
        <v>15000</v>
      </c>
      <c r="N35" s="38">
        <v>46053</v>
      </c>
      <c r="O35" s="38">
        <v>46112</v>
      </c>
      <c r="P35" s="6"/>
      <c r="U35" t="s">
        <v>103</v>
      </c>
    </row>
    <row r="36" spans="2:21" x14ac:dyDescent="0.25">
      <c r="B36" s="11" t="s">
        <v>40</v>
      </c>
      <c r="C36" s="11" t="s">
        <v>21</v>
      </c>
      <c r="D36" s="3" t="s">
        <v>58</v>
      </c>
      <c r="E36" s="6" t="s">
        <v>134</v>
      </c>
      <c r="F36" s="4">
        <v>4000</v>
      </c>
      <c r="G36" s="35">
        <v>46142</v>
      </c>
      <c r="H36" s="35">
        <v>46203</v>
      </c>
      <c r="I36" s="26">
        <v>1333.3333333333333</v>
      </c>
      <c r="J36" s="39" t="s">
        <v>347</v>
      </c>
      <c r="K36" s="39" t="s">
        <v>353</v>
      </c>
      <c r="L36" s="39" t="s">
        <v>356</v>
      </c>
      <c r="M36" s="36">
        <v>4000</v>
      </c>
      <c r="N36" s="38">
        <v>46142</v>
      </c>
      <c r="O36" s="38">
        <v>46203</v>
      </c>
      <c r="P36" s="6"/>
      <c r="U36" t="s">
        <v>106</v>
      </c>
    </row>
    <row r="37" spans="2:21" x14ac:dyDescent="0.25">
      <c r="B37" s="11" t="s">
        <v>40</v>
      </c>
      <c r="C37" s="11" t="s">
        <v>21</v>
      </c>
      <c r="D37" s="3" t="s">
        <v>18</v>
      </c>
      <c r="E37" s="6" t="s">
        <v>174</v>
      </c>
      <c r="F37" s="4">
        <v>15000</v>
      </c>
      <c r="G37" s="35">
        <v>46234</v>
      </c>
      <c r="H37" s="35">
        <v>46295</v>
      </c>
      <c r="I37" s="26">
        <v>5000</v>
      </c>
      <c r="J37" s="39" t="s">
        <v>347</v>
      </c>
      <c r="K37" s="39" t="s">
        <v>354</v>
      </c>
      <c r="L37" s="39" t="s">
        <v>356</v>
      </c>
      <c r="M37" s="36">
        <v>15000</v>
      </c>
      <c r="N37" s="38">
        <v>46234</v>
      </c>
      <c r="O37" s="38">
        <v>46295</v>
      </c>
      <c r="P37" s="6"/>
      <c r="U37" t="s">
        <v>107</v>
      </c>
    </row>
    <row r="38" spans="2:21" x14ac:dyDescent="0.25">
      <c r="B38" s="11" t="s">
        <v>43</v>
      </c>
      <c r="C38" s="11" t="s">
        <v>21</v>
      </c>
      <c r="D38" s="3" t="s">
        <v>18</v>
      </c>
      <c r="E38" s="6" t="s">
        <v>44</v>
      </c>
      <c r="F38" s="4">
        <v>4000</v>
      </c>
      <c r="G38" s="35">
        <v>46053</v>
      </c>
      <c r="H38" s="35">
        <v>46112</v>
      </c>
      <c r="I38" s="26">
        <v>1333.3333333333333</v>
      </c>
      <c r="J38" s="39" t="s">
        <v>347</v>
      </c>
      <c r="K38" s="39" t="s">
        <v>353</v>
      </c>
      <c r="L38" s="39" t="s">
        <v>357</v>
      </c>
      <c r="M38" s="36">
        <v>4000</v>
      </c>
      <c r="N38" s="38">
        <v>46053</v>
      </c>
      <c r="O38" s="38">
        <v>46112</v>
      </c>
      <c r="P38" s="6"/>
      <c r="U38" t="s">
        <v>110</v>
      </c>
    </row>
    <row r="39" spans="2:21" x14ac:dyDescent="0.25">
      <c r="B39" s="11" t="s">
        <v>43</v>
      </c>
      <c r="C39" s="11" t="s">
        <v>21</v>
      </c>
      <c r="D39" s="3" t="s">
        <v>18</v>
      </c>
      <c r="E39" s="6" t="s">
        <v>45</v>
      </c>
      <c r="F39" s="4">
        <v>4000</v>
      </c>
      <c r="G39" s="35">
        <v>46053</v>
      </c>
      <c r="H39" s="35">
        <v>46112</v>
      </c>
      <c r="I39" s="26">
        <v>1333.3333333333333</v>
      </c>
      <c r="J39" s="39" t="s">
        <v>347</v>
      </c>
      <c r="K39" s="39" t="s">
        <v>353</v>
      </c>
      <c r="L39" s="39" t="s">
        <v>356</v>
      </c>
      <c r="M39" s="36">
        <v>4000</v>
      </c>
      <c r="N39" s="38">
        <v>46053</v>
      </c>
      <c r="O39" s="38">
        <v>46112</v>
      </c>
      <c r="P39" s="6"/>
      <c r="U39" t="s">
        <v>113</v>
      </c>
    </row>
    <row r="40" spans="2:21" x14ac:dyDescent="0.25">
      <c r="B40" s="11" t="s">
        <v>43</v>
      </c>
      <c r="C40" s="11" t="s">
        <v>21</v>
      </c>
      <c r="D40" s="3" t="s">
        <v>9</v>
      </c>
      <c r="E40" s="6" t="s">
        <v>175</v>
      </c>
      <c r="F40" s="4">
        <v>10000</v>
      </c>
      <c r="G40" s="35">
        <v>46234</v>
      </c>
      <c r="H40" s="35">
        <v>46295</v>
      </c>
      <c r="I40" s="26">
        <v>3333.3333333333335</v>
      </c>
      <c r="J40" s="39" t="s">
        <v>347</v>
      </c>
      <c r="K40" s="39" t="s">
        <v>353</v>
      </c>
      <c r="L40" s="39" t="s">
        <v>356</v>
      </c>
      <c r="M40" s="36">
        <v>10000</v>
      </c>
      <c r="N40" s="38">
        <v>46234</v>
      </c>
      <c r="O40" s="38">
        <v>46295</v>
      </c>
      <c r="P40" s="6"/>
      <c r="U40" t="s">
        <v>114</v>
      </c>
    </row>
    <row r="41" spans="2:21" x14ac:dyDescent="0.25">
      <c r="B41" s="11" t="s">
        <v>43</v>
      </c>
      <c r="C41" s="11" t="s">
        <v>21</v>
      </c>
      <c r="D41" s="3" t="s">
        <v>9</v>
      </c>
      <c r="E41" s="6" t="s">
        <v>220</v>
      </c>
      <c r="F41" s="4">
        <v>30000</v>
      </c>
      <c r="G41" s="35">
        <v>46326</v>
      </c>
      <c r="H41" s="35">
        <v>46387</v>
      </c>
      <c r="I41" s="26">
        <v>10000</v>
      </c>
      <c r="J41" s="39" t="s">
        <v>347</v>
      </c>
      <c r="K41" s="39" t="s">
        <v>354</v>
      </c>
      <c r="L41" s="39" t="s">
        <v>356</v>
      </c>
      <c r="M41" s="36">
        <v>30000</v>
      </c>
      <c r="N41" s="38">
        <v>46326</v>
      </c>
      <c r="O41" s="38">
        <v>46387</v>
      </c>
      <c r="P41" s="6"/>
      <c r="U41" t="s">
        <v>117</v>
      </c>
    </row>
    <row r="42" spans="2:21" x14ac:dyDescent="0.25">
      <c r="B42" s="11" t="s">
        <v>46</v>
      </c>
      <c r="C42" s="11" t="s">
        <v>21</v>
      </c>
      <c r="D42" s="3" t="s">
        <v>26</v>
      </c>
      <c r="E42" s="6" t="s">
        <v>27</v>
      </c>
      <c r="F42" s="4">
        <v>25000</v>
      </c>
      <c r="G42" s="35">
        <v>46053</v>
      </c>
      <c r="H42" s="35">
        <v>46112</v>
      </c>
      <c r="I42" s="26">
        <v>8333.3333333333339</v>
      </c>
      <c r="J42" s="39" t="s">
        <v>347</v>
      </c>
      <c r="K42" s="39" t="s">
        <v>353</v>
      </c>
      <c r="L42" s="39" t="s">
        <v>356</v>
      </c>
      <c r="M42" s="36">
        <v>25000</v>
      </c>
      <c r="N42" s="38">
        <v>46053</v>
      </c>
      <c r="O42" s="38">
        <v>46112</v>
      </c>
      <c r="P42" s="6"/>
      <c r="U42" t="s">
        <v>119</v>
      </c>
    </row>
    <row r="43" spans="2:21" x14ac:dyDescent="0.25">
      <c r="B43" s="11" t="s">
        <v>46</v>
      </c>
      <c r="C43" s="11" t="s">
        <v>21</v>
      </c>
      <c r="D43" s="3" t="s">
        <v>32</v>
      </c>
      <c r="E43" s="6" t="s">
        <v>47</v>
      </c>
      <c r="F43" s="4">
        <v>15000</v>
      </c>
      <c r="G43" s="35">
        <v>46053</v>
      </c>
      <c r="H43" s="35">
        <v>46112</v>
      </c>
      <c r="I43" s="26">
        <v>5000</v>
      </c>
      <c r="J43" s="39" t="s">
        <v>347</v>
      </c>
      <c r="K43" s="39" t="s">
        <v>354</v>
      </c>
      <c r="L43" s="39" t="s">
        <v>356</v>
      </c>
      <c r="M43" s="36">
        <v>15000</v>
      </c>
      <c r="N43" s="38">
        <v>46053</v>
      </c>
      <c r="O43" s="38">
        <v>46112</v>
      </c>
      <c r="P43" s="6"/>
      <c r="U43" t="s">
        <v>121</v>
      </c>
    </row>
    <row r="44" spans="2:21" x14ac:dyDescent="0.25">
      <c r="B44" s="11" t="s">
        <v>46</v>
      </c>
      <c r="C44" s="11" t="s">
        <v>21</v>
      </c>
      <c r="D44" s="3" t="s">
        <v>38</v>
      </c>
      <c r="E44" s="6" t="s">
        <v>38</v>
      </c>
      <c r="F44" s="4">
        <v>30000</v>
      </c>
      <c r="G44" s="35">
        <v>46142</v>
      </c>
      <c r="H44" s="35">
        <v>46203</v>
      </c>
      <c r="I44" s="26">
        <v>10000</v>
      </c>
      <c r="J44" s="39" t="s">
        <v>347</v>
      </c>
      <c r="K44" s="39" t="s">
        <v>354</v>
      </c>
      <c r="L44" s="39" t="s">
        <v>356</v>
      </c>
      <c r="M44" s="36">
        <v>30000</v>
      </c>
      <c r="N44" s="38">
        <v>46142</v>
      </c>
      <c r="O44" s="38">
        <v>46203</v>
      </c>
      <c r="P44" s="6"/>
      <c r="U44" t="s">
        <v>122</v>
      </c>
    </row>
    <row r="45" spans="2:21" x14ac:dyDescent="0.25">
      <c r="B45" s="11" t="s">
        <v>46</v>
      </c>
      <c r="C45" s="11" t="s">
        <v>21</v>
      </c>
      <c r="D45" s="3" t="s">
        <v>18</v>
      </c>
      <c r="E45" s="6" t="s">
        <v>176</v>
      </c>
      <c r="F45" s="4">
        <v>6000</v>
      </c>
      <c r="G45" s="35">
        <v>46234</v>
      </c>
      <c r="H45" s="35">
        <v>46295</v>
      </c>
      <c r="I45" s="26">
        <v>2000</v>
      </c>
      <c r="J45" s="39" t="s">
        <v>347</v>
      </c>
      <c r="K45" s="39" t="s">
        <v>354</v>
      </c>
      <c r="L45" s="39" t="s">
        <v>357</v>
      </c>
      <c r="M45" s="36">
        <v>6000</v>
      </c>
      <c r="N45" s="38">
        <v>46234</v>
      </c>
      <c r="O45" s="38">
        <v>46295</v>
      </c>
      <c r="P45" s="6"/>
      <c r="U45" t="s">
        <v>125</v>
      </c>
    </row>
    <row r="46" spans="2:21" x14ac:dyDescent="0.25">
      <c r="B46" s="11" t="s">
        <v>46</v>
      </c>
      <c r="C46" s="11" t="s">
        <v>21</v>
      </c>
      <c r="D46" s="3" t="s">
        <v>18</v>
      </c>
      <c r="E46" s="6" t="s">
        <v>177</v>
      </c>
      <c r="F46" s="4">
        <v>8000</v>
      </c>
      <c r="G46" s="35">
        <v>46234</v>
      </c>
      <c r="H46" s="35">
        <v>46295</v>
      </c>
      <c r="I46" s="26">
        <v>2666.6666666666665</v>
      </c>
      <c r="J46" s="39" t="s">
        <v>347</v>
      </c>
      <c r="K46" s="39" t="s">
        <v>354</v>
      </c>
      <c r="L46" s="39" t="s">
        <v>356</v>
      </c>
      <c r="M46" s="36">
        <v>8000</v>
      </c>
      <c r="N46" s="38">
        <v>46234</v>
      </c>
      <c r="O46" s="38">
        <v>46295</v>
      </c>
      <c r="P46" s="6"/>
      <c r="U46" t="s">
        <v>127</v>
      </c>
    </row>
    <row r="47" spans="2:21" x14ac:dyDescent="0.25">
      <c r="B47" s="11" t="s">
        <v>48</v>
      </c>
      <c r="C47" s="11" t="s">
        <v>21</v>
      </c>
      <c r="D47" s="3" t="s">
        <v>17</v>
      </c>
      <c r="E47" s="6" t="s">
        <v>49</v>
      </c>
      <c r="F47" s="4">
        <v>500</v>
      </c>
      <c r="G47" s="35">
        <v>46053</v>
      </c>
      <c r="H47" s="35">
        <v>46112</v>
      </c>
      <c r="I47" s="26">
        <v>166.66666666666666</v>
      </c>
      <c r="J47" s="39" t="s">
        <v>346</v>
      </c>
      <c r="K47" s="39"/>
      <c r="L47" s="39"/>
      <c r="M47" s="36">
        <v>500</v>
      </c>
      <c r="N47" s="38">
        <v>46053</v>
      </c>
      <c r="O47" s="38">
        <v>46112</v>
      </c>
      <c r="P47" s="6"/>
      <c r="U47" t="s">
        <v>151</v>
      </c>
    </row>
    <row r="48" spans="2:21" x14ac:dyDescent="0.25">
      <c r="B48" s="11" t="s">
        <v>48</v>
      </c>
      <c r="C48" s="11" t="s">
        <v>21</v>
      </c>
      <c r="D48" s="3" t="s">
        <v>18</v>
      </c>
      <c r="E48" s="6" t="s">
        <v>50</v>
      </c>
      <c r="F48" s="4">
        <v>5000</v>
      </c>
      <c r="G48" s="35">
        <v>46053</v>
      </c>
      <c r="H48" s="35">
        <v>46112</v>
      </c>
      <c r="I48" s="26">
        <v>1666.6666666666667</v>
      </c>
      <c r="J48" s="39" t="s">
        <v>346</v>
      </c>
      <c r="K48" s="39"/>
      <c r="L48" s="39"/>
      <c r="M48" s="36">
        <v>5000</v>
      </c>
      <c r="N48" s="38">
        <v>46053</v>
      </c>
      <c r="O48" s="38">
        <v>46112</v>
      </c>
      <c r="P48" s="6"/>
      <c r="U48" t="s">
        <v>155</v>
      </c>
    </row>
    <row r="49" spans="2:21" x14ac:dyDescent="0.25">
      <c r="B49" s="11" t="s">
        <v>48</v>
      </c>
      <c r="C49" s="11" t="s">
        <v>21</v>
      </c>
      <c r="D49" s="3" t="s">
        <v>24</v>
      </c>
      <c r="E49" s="6" t="s">
        <v>51</v>
      </c>
      <c r="F49" s="4">
        <v>7500</v>
      </c>
      <c r="G49" s="35">
        <v>46053</v>
      </c>
      <c r="H49" s="35">
        <v>46112</v>
      </c>
      <c r="I49" s="26">
        <v>2500</v>
      </c>
      <c r="J49" s="41" t="s">
        <v>349</v>
      </c>
      <c r="K49" s="41"/>
      <c r="L49" s="41"/>
      <c r="M49" s="36">
        <v>7500</v>
      </c>
      <c r="N49" s="38">
        <v>46053</v>
      </c>
      <c r="O49" s="38">
        <v>46112</v>
      </c>
      <c r="P49" s="6"/>
      <c r="U49" t="s">
        <v>157</v>
      </c>
    </row>
    <row r="50" spans="2:21" x14ac:dyDescent="0.25">
      <c r="B50" s="11" t="s">
        <v>48</v>
      </c>
      <c r="C50" s="11" t="s">
        <v>21</v>
      </c>
      <c r="D50" s="3" t="s">
        <v>9</v>
      </c>
      <c r="E50" s="6" t="s">
        <v>52</v>
      </c>
      <c r="F50" s="4">
        <v>100000</v>
      </c>
      <c r="G50" s="35">
        <v>46053</v>
      </c>
      <c r="H50" s="35">
        <v>46112</v>
      </c>
      <c r="I50" s="26">
        <v>33333.333333333336</v>
      </c>
      <c r="J50" s="39" t="s">
        <v>347</v>
      </c>
      <c r="K50" s="39" t="s">
        <v>354</v>
      </c>
      <c r="L50" s="39" t="s">
        <v>356</v>
      </c>
      <c r="M50" s="36">
        <v>100000</v>
      </c>
      <c r="N50" s="38">
        <v>46053</v>
      </c>
      <c r="O50" s="38">
        <v>46112</v>
      </c>
      <c r="P50" s="6"/>
      <c r="U50" t="s">
        <v>158</v>
      </c>
    </row>
    <row r="51" spans="2:21" x14ac:dyDescent="0.25">
      <c r="B51" s="11" t="s">
        <v>48</v>
      </c>
      <c r="C51" s="11" t="s">
        <v>21</v>
      </c>
      <c r="D51" s="3" t="s">
        <v>18</v>
      </c>
      <c r="E51" s="6" t="s">
        <v>53</v>
      </c>
      <c r="F51" s="4">
        <v>25000</v>
      </c>
      <c r="G51" s="35">
        <v>46053</v>
      </c>
      <c r="H51" s="35">
        <v>46112</v>
      </c>
      <c r="I51" s="26">
        <v>8333.3333333333339</v>
      </c>
      <c r="J51" s="39" t="s">
        <v>347</v>
      </c>
      <c r="K51" s="39" t="s">
        <v>354</v>
      </c>
      <c r="L51" s="39" t="s">
        <v>356</v>
      </c>
      <c r="M51" s="36">
        <v>25000</v>
      </c>
      <c r="N51" s="38">
        <v>46053</v>
      </c>
      <c r="O51" s="38">
        <v>46112</v>
      </c>
      <c r="P51" s="6"/>
      <c r="U51" t="s">
        <v>165</v>
      </c>
    </row>
    <row r="52" spans="2:21" x14ac:dyDescent="0.25">
      <c r="B52" s="11" t="s">
        <v>48</v>
      </c>
      <c r="C52" s="11" t="s">
        <v>21</v>
      </c>
      <c r="D52" s="3" t="s">
        <v>54</v>
      </c>
      <c r="E52" s="6" t="s">
        <v>55</v>
      </c>
      <c r="F52" s="4">
        <v>2400000</v>
      </c>
      <c r="G52" s="35">
        <v>46053</v>
      </c>
      <c r="H52" s="35">
        <v>46387</v>
      </c>
      <c r="I52" s="26">
        <v>200000</v>
      </c>
      <c r="J52" s="39" t="s">
        <v>347</v>
      </c>
      <c r="K52" s="39" t="s">
        <v>354</v>
      </c>
      <c r="L52" s="39" t="s">
        <v>356</v>
      </c>
      <c r="M52" s="36">
        <v>2400000</v>
      </c>
      <c r="N52" s="38">
        <v>46053</v>
      </c>
      <c r="O52" s="38">
        <v>46387</v>
      </c>
      <c r="P52" s="6"/>
      <c r="U52" t="s">
        <v>167</v>
      </c>
    </row>
    <row r="53" spans="2:21" x14ac:dyDescent="0.25">
      <c r="B53" s="11" t="s">
        <v>48</v>
      </c>
      <c r="C53" s="11" t="s">
        <v>21</v>
      </c>
      <c r="D53" s="3" t="s">
        <v>9</v>
      </c>
      <c r="E53" s="6" t="s">
        <v>135</v>
      </c>
      <c r="F53" s="4">
        <v>15000</v>
      </c>
      <c r="G53" s="35">
        <v>46142</v>
      </c>
      <c r="H53" s="35">
        <v>46203</v>
      </c>
      <c r="I53" s="26">
        <v>5000</v>
      </c>
      <c r="J53" s="39" t="s">
        <v>347</v>
      </c>
      <c r="K53" s="39" t="s">
        <v>354</v>
      </c>
      <c r="L53" s="39" t="s">
        <v>356</v>
      </c>
      <c r="M53" s="36">
        <v>15000</v>
      </c>
      <c r="N53" s="38">
        <v>46142</v>
      </c>
      <c r="O53" s="38">
        <v>46203</v>
      </c>
      <c r="P53" s="6"/>
      <c r="U53" t="s">
        <v>168</v>
      </c>
    </row>
    <row r="54" spans="2:21" x14ac:dyDescent="0.25">
      <c r="B54" s="11" t="s">
        <v>48</v>
      </c>
      <c r="C54" s="11" t="s">
        <v>21</v>
      </c>
      <c r="D54" s="3" t="s">
        <v>22</v>
      </c>
      <c r="E54" s="6" t="s">
        <v>178</v>
      </c>
      <c r="F54" s="4">
        <v>200000</v>
      </c>
      <c r="G54" s="35">
        <v>46234</v>
      </c>
      <c r="H54" s="35">
        <v>46295</v>
      </c>
      <c r="I54" s="26">
        <v>66666.666666666672</v>
      </c>
      <c r="J54" s="39" t="s">
        <v>347</v>
      </c>
      <c r="K54" s="39" t="s">
        <v>354</v>
      </c>
      <c r="L54" s="39" t="s">
        <v>356</v>
      </c>
      <c r="M54" s="36">
        <v>200000</v>
      </c>
      <c r="N54" s="38">
        <v>46234</v>
      </c>
      <c r="O54" s="38">
        <v>46295</v>
      </c>
      <c r="P54" s="6"/>
      <c r="U54" t="s">
        <v>171</v>
      </c>
    </row>
    <row r="55" spans="2:21" x14ac:dyDescent="0.25">
      <c r="B55" s="11" t="s">
        <v>48</v>
      </c>
      <c r="C55" s="11" t="s">
        <v>21</v>
      </c>
      <c r="D55" s="3" t="s">
        <v>18</v>
      </c>
      <c r="E55" s="6" t="s">
        <v>221</v>
      </c>
      <c r="F55" s="4">
        <v>70000</v>
      </c>
      <c r="G55" s="35">
        <v>46326</v>
      </c>
      <c r="H55" s="35">
        <v>46387</v>
      </c>
      <c r="I55" s="26">
        <v>23333.333333333332</v>
      </c>
      <c r="J55" s="39" t="s">
        <v>347</v>
      </c>
      <c r="K55" s="39" t="s">
        <v>354</v>
      </c>
      <c r="L55" s="39" t="s">
        <v>356</v>
      </c>
      <c r="M55" s="36">
        <v>70000</v>
      </c>
      <c r="N55" s="38">
        <v>46326</v>
      </c>
      <c r="O55" s="38">
        <v>46387</v>
      </c>
      <c r="P55" s="6"/>
      <c r="U55" t="s">
        <v>202</v>
      </c>
    </row>
    <row r="56" spans="2:21" x14ac:dyDescent="0.25">
      <c r="B56" s="11" t="s">
        <v>48</v>
      </c>
      <c r="C56" s="11" t="s">
        <v>21</v>
      </c>
      <c r="D56" s="3" t="s">
        <v>18</v>
      </c>
      <c r="E56" s="6" t="s">
        <v>233</v>
      </c>
      <c r="F56" s="4"/>
      <c r="G56" s="35"/>
      <c r="H56" s="35"/>
      <c r="I56" s="26"/>
      <c r="J56" s="39" t="s">
        <v>348</v>
      </c>
      <c r="K56" s="39" t="s">
        <v>353</v>
      </c>
      <c r="L56" s="39" t="s">
        <v>356</v>
      </c>
      <c r="M56" s="36">
        <v>250000</v>
      </c>
      <c r="N56" s="38">
        <v>46418</v>
      </c>
      <c r="O56" s="38"/>
      <c r="P56" s="6" t="s">
        <v>360</v>
      </c>
    </row>
    <row r="57" spans="2:21" x14ac:dyDescent="0.25">
      <c r="B57" s="11" t="s">
        <v>48</v>
      </c>
      <c r="C57" s="11" t="s">
        <v>21</v>
      </c>
      <c r="D57" s="3" t="s">
        <v>18</v>
      </c>
      <c r="E57" s="6" t="s">
        <v>222</v>
      </c>
      <c r="F57" s="4">
        <v>2000</v>
      </c>
      <c r="G57" s="35">
        <v>46326</v>
      </c>
      <c r="H57" s="35">
        <v>46387</v>
      </c>
      <c r="I57" s="26">
        <v>666.66666666666663</v>
      </c>
      <c r="J57" s="39" t="s">
        <v>347</v>
      </c>
      <c r="K57" s="39" t="s">
        <v>354</v>
      </c>
      <c r="L57" s="39" t="s">
        <v>357</v>
      </c>
      <c r="M57" s="36">
        <v>2000</v>
      </c>
      <c r="N57" s="38">
        <v>46326</v>
      </c>
      <c r="O57" s="38">
        <v>46387</v>
      </c>
      <c r="P57" s="6"/>
      <c r="U57" t="s">
        <v>211</v>
      </c>
    </row>
    <row r="58" spans="2:21" x14ac:dyDescent="0.25">
      <c r="B58" s="11" t="s">
        <v>56</v>
      </c>
      <c r="C58" s="11" t="s">
        <v>21</v>
      </c>
      <c r="D58" s="3" t="s">
        <v>26</v>
      </c>
      <c r="E58" s="6" t="s">
        <v>27</v>
      </c>
      <c r="F58" s="4">
        <v>20000</v>
      </c>
      <c r="G58" s="35">
        <v>46053</v>
      </c>
      <c r="H58" s="35">
        <v>46112</v>
      </c>
      <c r="I58" s="26">
        <v>6666.666666666667</v>
      </c>
      <c r="J58" s="39" t="s">
        <v>347</v>
      </c>
      <c r="K58" s="39" t="s">
        <v>353</v>
      </c>
      <c r="L58" s="39" t="s">
        <v>356</v>
      </c>
      <c r="M58" s="36">
        <v>20000</v>
      </c>
      <c r="N58" s="38">
        <v>46053</v>
      </c>
      <c r="O58" s="38">
        <v>46112</v>
      </c>
      <c r="P58" s="6"/>
      <c r="U58" t="s">
        <v>217</v>
      </c>
    </row>
    <row r="59" spans="2:21" x14ac:dyDescent="0.25">
      <c r="B59" s="11" t="s">
        <v>56</v>
      </c>
      <c r="C59" s="11" t="s">
        <v>21</v>
      </c>
      <c r="D59" s="3" t="s">
        <v>18</v>
      </c>
      <c r="E59" s="6" t="s">
        <v>136</v>
      </c>
      <c r="F59" s="4">
        <v>10000</v>
      </c>
      <c r="G59" s="35">
        <v>46142</v>
      </c>
      <c r="H59" s="35">
        <v>46203</v>
      </c>
      <c r="I59" s="26">
        <v>3333.3333333333335</v>
      </c>
      <c r="J59" s="39" t="s">
        <v>347</v>
      </c>
      <c r="K59" s="39" t="s">
        <v>354</v>
      </c>
      <c r="L59" s="39" t="s">
        <v>356</v>
      </c>
      <c r="M59" s="36">
        <v>10000</v>
      </c>
      <c r="N59" s="38">
        <v>46142</v>
      </c>
      <c r="O59" s="38">
        <v>46203</v>
      </c>
      <c r="P59" s="6"/>
    </row>
    <row r="60" spans="2:21" x14ac:dyDescent="0.25">
      <c r="B60" s="11" t="s">
        <v>56</v>
      </c>
      <c r="C60" s="11" t="s">
        <v>21</v>
      </c>
      <c r="D60" s="3" t="s">
        <v>18</v>
      </c>
      <c r="E60" s="6" t="s">
        <v>179</v>
      </c>
      <c r="F60" s="4">
        <v>15000</v>
      </c>
      <c r="G60" s="35">
        <v>46234</v>
      </c>
      <c r="H60" s="35">
        <v>46295</v>
      </c>
      <c r="I60" s="26">
        <v>5000</v>
      </c>
      <c r="J60" s="39" t="s">
        <v>347</v>
      </c>
      <c r="K60" s="39" t="s">
        <v>354</v>
      </c>
      <c r="L60" s="39" t="s">
        <v>356</v>
      </c>
      <c r="M60" s="36">
        <v>15000</v>
      </c>
      <c r="N60" s="38">
        <v>46234</v>
      </c>
      <c r="O60" s="38">
        <v>46295</v>
      </c>
      <c r="P60" s="6"/>
    </row>
    <row r="61" spans="2:21" x14ac:dyDescent="0.25">
      <c r="B61" s="11" t="s">
        <v>56</v>
      </c>
      <c r="C61" s="11" t="s">
        <v>21</v>
      </c>
      <c r="D61" s="3" t="s">
        <v>18</v>
      </c>
      <c r="E61" s="6" t="s">
        <v>132</v>
      </c>
      <c r="F61" s="4">
        <v>50000</v>
      </c>
      <c r="G61" s="35">
        <v>46234</v>
      </c>
      <c r="H61" s="35">
        <v>46295</v>
      </c>
      <c r="I61" s="26">
        <v>16666.666666666668</v>
      </c>
      <c r="J61" s="39" t="s">
        <v>347</v>
      </c>
      <c r="K61" s="39" t="s">
        <v>354</v>
      </c>
      <c r="L61" s="39" t="s">
        <v>356</v>
      </c>
      <c r="M61" s="36">
        <v>50000</v>
      </c>
      <c r="N61" s="38">
        <v>46234</v>
      </c>
      <c r="O61" s="38">
        <v>46295</v>
      </c>
      <c r="P61" s="6"/>
    </row>
    <row r="62" spans="2:21" x14ac:dyDescent="0.25">
      <c r="B62" s="11" t="s">
        <v>56</v>
      </c>
      <c r="C62" s="11" t="s">
        <v>21</v>
      </c>
      <c r="D62" s="3" t="s">
        <v>17</v>
      </c>
      <c r="E62" s="6" t="s">
        <v>361</v>
      </c>
      <c r="F62" s="4"/>
      <c r="G62" s="35"/>
      <c r="H62" s="35"/>
      <c r="I62" s="26"/>
      <c r="J62" s="39" t="s">
        <v>347</v>
      </c>
      <c r="K62" s="39" t="s">
        <v>354</v>
      </c>
      <c r="L62" s="39" t="s">
        <v>356</v>
      </c>
      <c r="M62" s="4">
        <v>10000</v>
      </c>
      <c r="N62" s="38">
        <v>46142</v>
      </c>
      <c r="O62" s="38"/>
      <c r="P62" s="6"/>
    </row>
    <row r="63" spans="2:21" x14ac:dyDescent="0.25">
      <c r="B63" s="11" t="s">
        <v>57</v>
      </c>
      <c r="C63" s="11" t="s">
        <v>21</v>
      </c>
      <c r="D63" s="3" t="s">
        <v>58</v>
      </c>
      <c r="E63" s="6" t="s">
        <v>59</v>
      </c>
      <c r="F63" s="4">
        <v>1600</v>
      </c>
      <c r="G63" s="35">
        <v>46053</v>
      </c>
      <c r="H63" s="35">
        <v>46112</v>
      </c>
      <c r="I63" s="26">
        <v>533.33333333333337</v>
      </c>
      <c r="J63" s="39" t="s">
        <v>347</v>
      </c>
      <c r="K63" s="39" t="s">
        <v>353</v>
      </c>
      <c r="L63" s="39" t="s">
        <v>356</v>
      </c>
      <c r="M63" s="36">
        <v>2500</v>
      </c>
      <c r="N63" s="38">
        <v>46326</v>
      </c>
      <c r="O63" s="38"/>
      <c r="P63" s="6"/>
    </row>
    <row r="64" spans="2:21" x14ac:dyDescent="0.25">
      <c r="B64" s="11" t="s">
        <v>57</v>
      </c>
      <c r="C64" s="11" t="s">
        <v>21</v>
      </c>
      <c r="D64" s="3" t="s">
        <v>9</v>
      </c>
      <c r="E64" s="6" t="s">
        <v>60</v>
      </c>
      <c r="F64" s="4">
        <v>5000</v>
      </c>
      <c r="G64" s="35">
        <v>46053</v>
      </c>
      <c r="H64" s="35">
        <v>46112</v>
      </c>
      <c r="I64" s="26">
        <v>833.33333333333337</v>
      </c>
      <c r="J64" s="39" t="s">
        <v>347</v>
      </c>
      <c r="K64" s="39" t="s">
        <v>353</v>
      </c>
      <c r="L64" s="39" t="s">
        <v>357</v>
      </c>
      <c r="M64" s="36">
        <v>2500</v>
      </c>
      <c r="N64" s="38">
        <v>46053</v>
      </c>
      <c r="O64" s="38">
        <v>46112</v>
      </c>
      <c r="P64" s="6"/>
    </row>
    <row r="65" spans="2:16" x14ac:dyDescent="0.25">
      <c r="B65" s="11" t="s">
        <v>57</v>
      </c>
      <c r="C65" s="11" t="s">
        <v>21</v>
      </c>
      <c r="D65" s="3" t="s">
        <v>18</v>
      </c>
      <c r="E65" s="6" t="s">
        <v>65</v>
      </c>
      <c r="F65" s="4">
        <v>10000</v>
      </c>
      <c r="G65" s="35">
        <v>46142</v>
      </c>
      <c r="H65" s="35">
        <v>46203</v>
      </c>
      <c r="I65" s="26">
        <v>3333.3333333333335</v>
      </c>
      <c r="J65" s="39" t="s">
        <v>347</v>
      </c>
      <c r="K65" s="39" t="s">
        <v>354</v>
      </c>
      <c r="L65" s="39" t="s">
        <v>356</v>
      </c>
      <c r="M65" s="36">
        <v>10000</v>
      </c>
      <c r="N65" s="38">
        <v>46142</v>
      </c>
      <c r="O65" s="38">
        <v>46203</v>
      </c>
      <c r="P65" s="6"/>
    </row>
    <row r="66" spans="2:16" x14ac:dyDescent="0.25">
      <c r="B66" s="11" t="s">
        <v>57</v>
      </c>
      <c r="C66" s="11" t="s">
        <v>21</v>
      </c>
      <c r="D66" s="3" t="s">
        <v>18</v>
      </c>
      <c r="E66" s="6" t="s">
        <v>137</v>
      </c>
      <c r="F66" s="4">
        <v>10000</v>
      </c>
      <c r="G66" s="35">
        <v>46142</v>
      </c>
      <c r="H66" s="35">
        <v>46203</v>
      </c>
      <c r="I66" s="26">
        <v>3333.3333333333335</v>
      </c>
      <c r="J66" s="39" t="s">
        <v>347</v>
      </c>
      <c r="K66" s="39" t="s">
        <v>354</v>
      </c>
      <c r="L66" s="39" t="s">
        <v>356</v>
      </c>
      <c r="M66" s="36">
        <v>10000</v>
      </c>
      <c r="N66" s="38">
        <v>46142</v>
      </c>
      <c r="O66" s="38">
        <v>46203</v>
      </c>
      <c r="P66" s="6"/>
    </row>
    <row r="67" spans="2:16" x14ac:dyDescent="0.25">
      <c r="B67" s="11" t="s">
        <v>57</v>
      </c>
      <c r="C67" s="11" t="s">
        <v>21</v>
      </c>
      <c r="D67" s="3" t="s">
        <v>9</v>
      </c>
      <c r="E67" s="6" t="s">
        <v>86</v>
      </c>
      <c r="F67" s="4">
        <v>12000</v>
      </c>
      <c r="G67" s="35">
        <v>46326</v>
      </c>
      <c r="H67" s="35">
        <v>46387</v>
      </c>
      <c r="I67" s="26">
        <v>4000</v>
      </c>
      <c r="J67" s="39" t="s">
        <v>347</v>
      </c>
      <c r="K67" s="39" t="s">
        <v>353</v>
      </c>
      <c r="L67" s="39" t="s">
        <v>357</v>
      </c>
      <c r="M67" s="36">
        <v>12000</v>
      </c>
      <c r="N67" s="38">
        <v>46326</v>
      </c>
      <c r="O67" s="38">
        <v>46387</v>
      </c>
      <c r="P67" s="6"/>
    </row>
    <row r="68" spans="2:16" x14ac:dyDescent="0.25">
      <c r="B68" s="11" t="s">
        <v>57</v>
      </c>
      <c r="C68" s="11" t="s">
        <v>21</v>
      </c>
      <c r="D68" s="3" t="s">
        <v>17</v>
      </c>
      <c r="E68" s="6" t="s">
        <v>232</v>
      </c>
      <c r="F68" s="4">
        <v>40000</v>
      </c>
      <c r="G68" s="35">
        <v>46418</v>
      </c>
      <c r="H68" s="35">
        <v>46477</v>
      </c>
      <c r="I68" s="26">
        <v>13333.333333333334</v>
      </c>
      <c r="J68" s="39" t="s">
        <v>347</v>
      </c>
      <c r="K68" s="39" t="s">
        <v>354</v>
      </c>
      <c r="L68" s="39" t="s">
        <v>356</v>
      </c>
      <c r="M68" s="36">
        <v>40000</v>
      </c>
      <c r="N68" s="38">
        <v>46112</v>
      </c>
      <c r="O68" s="38"/>
      <c r="P68" s="6"/>
    </row>
    <row r="69" spans="2:16" x14ac:dyDescent="0.25">
      <c r="B69" s="11" t="s">
        <v>61</v>
      </c>
      <c r="C69" s="11" t="s">
        <v>21</v>
      </c>
      <c r="D69" s="3" t="s">
        <v>18</v>
      </c>
      <c r="E69" s="6" t="s">
        <v>62</v>
      </c>
      <c r="F69" s="4">
        <v>5000</v>
      </c>
      <c r="G69" s="35">
        <v>46053</v>
      </c>
      <c r="H69" s="35">
        <v>46112</v>
      </c>
      <c r="I69" s="26">
        <v>1666.6666666666667</v>
      </c>
      <c r="J69" s="39" t="s">
        <v>347</v>
      </c>
      <c r="K69" s="39" t="s">
        <v>354</v>
      </c>
      <c r="L69" s="39" t="s">
        <v>357</v>
      </c>
      <c r="M69" s="36">
        <v>5000</v>
      </c>
      <c r="N69" s="38">
        <v>46053</v>
      </c>
      <c r="O69" s="38">
        <v>46112</v>
      </c>
      <c r="P69" s="6"/>
    </row>
    <row r="70" spans="2:16" x14ac:dyDescent="0.25">
      <c r="B70" s="11" t="s">
        <v>61</v>
      </c>
      <c r="C70" s="11" t="s">
        <v>21</v>
      </c>
      <c r="D70" s="3" t="s">
        <v>63</v>
      </c>
      <c r="E70" s="6" t="s">
        <v>64</v>
      </c>
      <c r="F70" s="4">
        <v>75000</v>
      </c>
      <c r="G70" s="35">
        <v>46053</v>
      </c>
      <c r="H70" s="35">
        <v>46112</v>
      </c>
      <c r="I70" s="26">
        <v>25000</v>
      </c>
      <c r="J70" s="39" t="s">
        <v>347</v>
      </c>
      <c r="K70" s="39" t="s">
        <v>354</v>
      </c>
      <c r="L70" s="39" t="s">
        <v>356</v>
      </c>
      <c r="M70" s="36">
        <v>75000</v>
      </c>
      <c r="N70" s="38">
        <v>46053</v>
      </c>
      <c r="O70" s="38">
        <v>46112</v>
      </c>
      <c r="P70" s="6"/>
    </row>
    <row r="71" spans="2:16" x14ac:dyDescent="0.25">
      <c r="B71" s="11" t="s">
        <v>61</v>
      </c>
      <c r="C71" s="11" t="s">
        <v>21</v>
      </c>
      <c r="D71" s="3" t="s">
        <v>18</v>
      </c>
      <c r="E71" s="6" t="s">
        <v>65</v>
      </c>
      <c r="F71" s="4">
        <v>75000</v>
      </c>
      <c r="G71" s="35">
        <v>46053</v>
      </c>
      <c r="H71" s="35">
        <v>46112</v>
      </c>
      <c r="I71" s="26">
        <v>25000</v>
      </c>
      <c r="J71" s="39" t="s">
        <v>347</v>
      </c>
      <c r="K71" s="39" t="s">
        <v>354</v>
      </c>
      <c r="L71" s="39" t="s">
        <v>356</v>
      </c>
      <c r="M71" s="36">
        <v>75000</v>
      </c>
      <c r="N71" s="38">
        <v>46053</v>
      </c>
      <c r="O71" s="38">
        <v>46112</v>
      </c>
      <c r="P71" s="6"/>
    </row>
    <row r="72" spans="2:16" x14ac:dyDescent="0.25">
      <c r="B72" s="11" t="s">
        <v>61</v>
      </c>
      <c r="C72" s="11" t="s">
        <v>21</v>
      </c>
      <c r="D72" s="3" t="s">
        <v>18</v>
      </c>
      <c r="E72" s="6" t="s">
        <v>66</v>
      </c>
      <c r="F72" s="4">
        <v>20000</v>
      </c>
      <c r="G72" s="35">
        <v>46053</v>
      </c>
      <c r="H72" s="35">
        <v>46112</v>
      </c>
      <c r="I72" s="26">
        <v>6666.666666666667</v>
      </c>
      <c r="J72" s="39" t="s">
        <v>347</v>
      </c>
      <c r="K72" s="39" t="s">
        <v>354</v>
      </c>
      <c r="L72" s="39" t="s">
        <v>356</v>
      </c>
      <c r="M72" s="36">
        <v>20000</v>
      </c>
      <c r="N72" s="38">
        <v>46053</v>
      </c>
      <c r="O72" s="38">
        <v>46112</v>
      </c>
      <c r="P72" s="6"/>
    </row>
    <row r="73" spans="2:16" x14ac:dyDescent="0.25">
      <c r="B73" s="11" t="s">
        <v>61</v>
      </c>
      <c r="C73" s="11" t="s">
        <v>21</v>
      </c>
      <c r="D73" s="3" t="s">
        <v>74</v>
      </c>
      <c r="E73" s="6" t="s">
        <v>138</v>
      </c>
      <c r="F73" s="4">
        <v>8000</v>
      </c>
      <c r="G73" s="35">
        <v>46142</v>
      </c>
      <c r="H73" s="35">
        <v>46203</v>
      </c>
      <c r="I73" s="26">
        <v>2666.6666666666665</v>
      </c>
      <c r="J73" s="39" t="s">
        <v>347</v>
      </c>
      <c r="K73" s="39" t="s">
        <v>354</v>
      </c>
      <c r="L73" s="39" t="s">
        <v>356</v>
      </c>
      <c r="M73" s="36">
        <v>8000</v>
      </c>
      <c r="N73" s="38">
        <v>46142</v>
      </c>
      <c r="O73" s="38">
        <v>46203</v>
      </c>
      <c r="P73" s="6"/>
    </row>
    <row r="74" spans="2:16" x14ac:dyDescent="0.25">
      <c r="B74" s="11" t="s">
        <v>61</v>
      </c>
      <c r="C74" s="11" t="s">
        <v>21</v>
      </c>
      <c r="D74" s="3" t="s">
        <v>58</v>
      </c>
      <c r="E74" s="6" t="s">
        <v>139</v>
      </c>
      <c r="F74" s="4">
        <v>50000</v>
      </c>
      <c r="G74" s="35">
        <v>46142</v>
      </c>
      <c r="H74" s="35">
        <v>46203</v>
      </c>
      <c r="I74" s="26">
        <v>16666.666666666668</v>
      </c>
      <c r="J74" s="39" t="s">
        <v>347</v>
      </c>
      <c r="K74" s="39" t="s">
        <v>354</v>
      </c>
      <c r="L74" s="39" t="s">
        <v>356</v>
      </c>
      <c r="M74" s="36">
        <v>85000</v>
      </c>
      <c r="N74" s="38">
        <v>46142</v>
      </c>
      <c r="O74" s="38">
        <v>46203</v>
      </c>
      <c r="P74" s="6"/>
    </row>
    <row r="75" spans="2:16" x14ac:dyDescent="0.25">
      <c r="B75" s="11" t="s">
        <v>61</v>
      </c>
      <c r="C75" s="11" t="s">
        <v>21</v>
      </c>
      <c r="D75" s="3" t="s">
        <v>54</v>
      </c>
      <c r="E75" s="6" t="s">
        <v>180</v>
      </c>
      <c r="F75" s="4">
        <v>50000</v>
      </c>
      <c r="G75" s="35">
        <v>46234</v>
      </c>
      <c r="H75" s="35">
        <v>46295</v>
      </c>
      <c r="I75" s="26">
        <v>16666.666666666668</v>
      </c>
      <c r="J75" s="39" t="s">
        <v>349</v>
      </c>
      <c r="K75" s="39"/>
      <c r="L75" s="39"/>
      <c r="M75" s="36">
        <v>50000</v>
      </c>
      <c r="N75" s="38">
        <v>46234</v>
      </c>
      <c r="O75" s="38">
        <v>46295</v>
      </c>
      <c r="P75" s="6"/>
    </row>
    <row r="76" spans="2:16" x14ac:dyDescent="0.25">
      <c r="B76" s="11" t="s">
        <v>61</v>
      </c>
      <c r="C76" s="11" t="s">
        <v>21</v>
      </c>
      <c r="D76" s="3" t="s">
        <v>18</v>
      </c>
      <c r="E76" s="6" t="s">
        <v>213</v>
      </c>
      <c r="F76" s="4">
        <v>100000</v>
      </c>
      <c r="G76" s="35">
        <v>46295</v>
      </c>
      <c r="H76" s="35">
        <v>46356</v>
      </c>
      <c r="I76" s="26">
        <v>33333.333333333336</v>
      </c>
      <c r="J76" s="39" t="s">
        <v>347</v>
      </c>
      <c r="K76" s="39" t="s">
        <v>354</v>
      </c>
      <c r="L76" s="39" t="s">
        <v>357</v>
      </c>
      <c r="M76" s="36">
        <v>100000</v>
      </c>
      <c r="N76" s="38">
        <v>46295</v>
      </c>
      <c r="O76" s="38">
        <v>46356</v>
      </c>
      <c r="P76" s="6"/>
    </row>
    <row r="77" spans="2:16" x14ac:dyDescent="0.25">
      <c r="B77" s="11" t="s">
        <v>61</v>
      </c>
      <c r="C77" s="11" t="s">
        <v>21</v>
      </c>
      <c r="D77" s="3" t="s">
        <v>12</v>
      </c>
      <c r="E77" s="6" t="s">
        <v>362</v>
      </c>
      <c r="F77" s="4"/>
      <c r="G77" s="35"/>
      <c r="H77" s="35"/>
      <c r="I77" s="26"/>
      <c r="J77" s="39" t="s">
        <v>347</v>
      </c>
      <c r="K77" s="39" t="s">
        <v>354</v>
      </c>
      <c r="L77" s="39" t="s">
        <v>356</v>
      </c>
      <c r="M77" s="36">
        <v>75000</v>
      </c>
      <c r="N77" s="38">
        <v>46295</v>
      </c>
      <c r="O77" s="38"/>
      <c r="P77" s="6"/>
    </row>
    <row r="78" spans="2:16" x14ac:dyDescent="0.25">
      <c r="B78" s="11" t="s">
        <v>61</v>
      </c>
      <c r="C78" s="11" t="s">
        <v>21</v>
      </c>
      <c r="D78" s="3" t="s">
        <v>22</v>
      </c>
      <c r="E78" s="6" t="s">
        <v>362</v>
      </c>
      <c r="F78" s="4"/>
      <c r="G78" s="35"/>
      <c r="H78" s="35"/>
      <c r="I78" s="26"/>
      <c r="J78" s="39" t="s">
        <v>347</v>
      </c>
      <c r="K78" s="39" t="s">
        <v>354</v>
      </c>
      <c r="L78" s="39" t="s">
        <v>356</v>
      </c>
      <c r="M78" s="36">
        <v>75000</v>
      </c>
      <c r="N78" s="38">
        <v>46295</v>
      </c>
      <c r="O78" s="38"/>
      <c r="P78" s="6"/>
    </row>
    <row r="79" spans="2:16" x14ac:dyDescent="0.25">
      <c r="B79" s="11" t="s">
        <v>67</v>
      </c>
      <c r="C79" s="11" t="s">
        <v>21</v>
      </c>
      <c r="D79" s="3" t="s">
        <v>12</v>
      </c>
      <c r="E79" s="6" t="s">
        <v>68</v>
      </c>
      <c r="F79" s="4">
        <v>150000</v>
      </c>
      <c r="G79" s="35">
        <v>46053</v>
      </c>
      <c r="H79" s="35">
        <v>46142</v>
      </c>
      <c r="I79" s="26">
        <v>37500</v>
      </c>
      <c r="J79" s="39" t="s">
        <v>347</v>
      </c>
      <c r="K79" s="39" t="s">
        <v>354</v>
      </c>
      <c r="L79" s="39" t="s">
        <v>356</v>
      </c>
      <c r="M79" s="36">
        <v>150000</v>
      </c>
      <c r="N79" s="38">
        <v>46053</v>
      </c>
      <c r="O79" s="38">
        <v>46142</v>
      </c>
      <c r="P79" s="6"/>
    </row>
    <row r="80" spans="2:16" x14ac:dyDescent="0.25">
      <c r="B80" s="11" t="s">
        <v>67</v>
      </c>
      <c r="C80" s="11" t="s">
        <v>21</v>
      </c>
      <c r="D80" s="3" t="s">
        <v>22</v>
      </c>
      <c r="E80" s="6" t="s">
        <v>69</v>
      </c>
      <c r="F80" s="4">
        <v>500000</v>
      </c>
      <c r="G80" s="35">
        <v>46053</v>
      </c>
      <c r="H80" s="35">
        <v>46203</v>
      </c>
      <c r="I80" s="26">
        <v>83333.333333333328</v>
      </c>
      <c r="J80" s="39" t="s">
        <v>347</v>
      </c>
      <c r="K80" s="39" t="s">
        <v>354</v>
      </c>
      <c r="L80" s="39" t="s">
        <v>356</v>
      </c>
      <c r="M80" s="36">
        <v>500000</v>
      </c>
      <c r="N80" s="38">
        <v>46053</v>
      </c>
      <c r="O80" s="38">
        <v>46203</v>
      </c>
      <c r="P80" s="6"/>
    </row>
    <row r="81" spans="2:16" x14ac:dyDescent="0.25">
      <c r="B81" s="11" t="s">
        <v>67</v>
      </c>
      <c r="C81" s="11" t="s">
        <v>21</v>
      </c>
      <c r="D81" s="3" t="s">
        <v>38</v>
      </c>
      <c r="E81" s="6" t="s">
        <v>70</v>
      </c>
      <c r="F81" s="4">
        <v>20000</v>
      </c>
      <c r="G81" s="35">
        <v>46053</v>
      </c>
      <c r="H81" s="35">
        <v>46112</v>
      </c>
      <c r="I81" s="26">
        <v>6666.666666666667</v>
      </c>
      <c r="J81" s="39" t="s">
        <v>347</v>
      </c>
      <c r="K81" s="39" t="s">
        <v>354</v>
      </c>
      <c r="L81" s="39" t="s">
        <v>356</v>
      </c>
      <c r="M81" s="36">
        <v>20000</v>
      </c>
      <c r="N81" s="38">
        <v>46053</v>
      </c>
      <c r="O81" s="38">
        <v>46112</v>
      </c>
      <c r="P81" s="6"/>
    </row>
    <row r="82" spans="2:16" x14ac:dyDescent="0.25">
      <c r="B82" s="11" t="s">
        <v>67</v>
      </c>
      <c r="C82" s="11" t="s">
        <v>21</v>
      </c>
      <c r="D82" s="3" t="s">
        <v>26</v>
      </c>
      <c r="E82" s="6" t="s">
        <v>27</v>
      </c>
      <c r="F82" s="4">
        <v>15000</v>
      </c>
      <c r="G82" s="35">
        <v>46053</v>
      </c>
      <c r="H82" s="35">
        <v>46112</v>
      </c>
      <c r="I82" s="26">
        <v>5000</v>
      </c>
      <c r="J82" s="39" t="s">
        <v>347</v>
      </c>
      <c r="K82" s="39" t="s">
        <v>353</v>
      </c>
      <c r="L82" s="39" t="s">
        <v>356</v>
      </c>
      <c r="M82" s="36">
        <v>15000</v>
      </c>
      <c r="N82" s="38">
        <v>46053</v>
      </c>
      <c r="O82" s="38">
        <v>46112</v>
      </c>
      <c r="P82" s="6"/>
    </row>
    <row r="83" spans="2:16" x14ac:dyDescent="0.25">
      <c r="B83" s="11" t="s">
        <v>67</v>
      </c>
      <c r="C83" s="11" t="s">
        <v>21</v>
      </c>
      <c r="D83" s="3" t="s">
        <v>24</v>
      </c>
      <c r="E83" s="6" t="s">
        <v>25</v>
      </c>
      <c r="F83" s="4">
        <v>15000</v>
      </c>
      <c r="G83" s="35">
        <v>46053</v>
      </c>
      <c r="H83" s="35">
        <v>46112</v>
      </c>
      <c r="I83" s="26">
        <v>5000</v>
      </c>
      <c r="J83" s="41" t="s">
        <v>349</v>
      </c>
      <c r="K83" s="41"/>
      <c r="L83" s="41"/>
      <c r="M83" s="36">
        <v>15000</v>
      </c>
      <c r="N83" s="38">
        <v>46053</v>
      </c>
      <c r="O83" s="38">
        <v>46112</v>
      </c>
      <c r="P83" s="6"/>
    </row>
    <row r="84" spans="2:16" x14ac:dyDescent="0.25">
      <c r="B84" s="11" t="s">
        <v>67</v>
      </c>
      <c r="C84" s="11" t="s">
        <v>21</v>
      </c>
      <c r="D84" s="3" t="s">
        <v>58</v>
      </c>
      <c r="E84" s="6" t="s">
        <v>139</v>
      </c>
      <c r="F84" s="4">
        <v>50000</v>
      </c>
      <c r="G84" s="35">
        <v>46142</v>
      </c>
      <c r="H84" s="35">
        <v>46203</v>
      </c>
      <c r="I84" s="26">
        <v>16666.666666666668</v>
      </c>
      <c r="J84" s="39" t="s">
        <v>347</v>
      </c>
      <c r="K84" s="39" t="s">
        <v>354</v>
      </c>
      <c r="L84" s="39" t="s">
        <v>356</v>
      </c>
      <c r="M84" s="36">
        <v>50000</v>
      </c>
      <c r="N84" s="38">
        <v>46142</v>
      </c>
      <c r="O84" s="38">
        <v>46203</v>
      </c>
      <c r="P84" s="6"/>
    </row>
    <row r="85" spans="2:16" x14ac:dyDescent="0.25">
      <c r="B85" s="11" t="s">
        <v>67</v>
      </c>
      <c r="C85" s="11" t="s">
        <v>21</v>
      </c>
      <c r="D85" s="3" t="s">
        <v>18</v>
      </c>
      <c r="E85" s="6" t="s">
        <v>132</v>
      </c>
      <c r="F85" s="4">
        <v>50000</v>
      </c>
      <c r="G85" s="35">
        <v>46173</v>
      </c>
      <c r="H85" s="35">
        <v>46203</v>
      </c>
      <c r="I85" s="26">
        <v>25000</v>
      </c>
      <c r="J85" s="39" t="s">
        <v>347</v>
      </c>
      <c r="K85" s="39" t="s">
        <v>354</v>
      </c>
      <c r="L85" s="39" t="s">
        <v>356</v>
      </c>
      <c r="M85" s="36">
        <v>50000</v>
      </c>
      <c r="N85" s="38">
        <v>46173</v>
      </c>
      <c r="O85" s="38">
        <v>46203</v>
      </c>
      <c r="P85" s="6"/>
    </row>
    <row r="86" spans="2:16" x14ac:dyDescent="0.25">
      <c r="B86" s="11" t="s">
        <v>71</v>
      </c>
      <c r="C86" s="11" t="s">
        <v>21</v>
      </c>
      <c r="D86" s="3" t="s">
        <v>17</v>
      </c>
      <c r="E86" s="6" t="s">
        <v>72</v>
      </c>
      <c r="F86" s="4">
        <v>10000</v>
      </c>
      <c r="G86" s="35">
        <v>46053</v>
      </c>
      <c r="H86" s="35">
        <v>46112</v>
      </c>
      <c r="I86" s="26">
        <v>3333.3333333333335</v>
      </c>
      <c r="J86" s="39" t="s">
        <v>347</v>
      </c>
      <c r="K86" s="39" t="s">
        <v>354</v>
      </c>
      <c r="L86" s="39" t="s">
        <v>356</v>
      </c>
      <c r="M86" s="36">
        <v>10000</v>
      </c>
      <c r="N86" s="38">
        <v>46053</v>
      </c>
      <c r="O86" s="38">
        <v>46112</v>
      </c>
      <c r="P86" s="6"/>
    </row>
    <row r="87" spans="2:16" x14ac:dyDescent="0.25">
      <c r="B87" s="11" t="s">
        <v>71</v>
      </c>
      <c r="C87" s="11" t="s">
        <v>21</v>
      </c>
      <c r="D87" s="3" t="s">
        <v>26</v>
      </c>
      <c r="E87" s="6" t="s">
        <v>85</v>
      </c>
      <c r="F87" s="4">
        <v>20000</v>
      </c>
      <c r="G87" s="35">
        <v>46142</v>
      </c>
      <c r="H87" s="35">
        <v>46203</v>
      </c>
      <c r="I87" s="26">
        <v>6666.666666666667</v>
      </c>
      <c r="J87" s="39" t="s">
        <v>347</v>
      </c>
      <c r="K87" s="39" t="s">
        <v>353</v>
      </c>
      <c r="L87" s="39" t="s">
        <v>356</v>
      </c>
      <c r="M87" s="36">
        <v>20000</v>
      </c>
      <c r="N87" s="38">
        <v>46142</v>
      </c>
      <c r="O87" s="38">
        <v>46203</v>
      </c>
      <c r="P87" s="6"/>
    </row>
    <row r="88" spans="2:16" x14ac:dyDescent="0.25">
      <c r="B88" s="11" t="s">
        <v>71</v>
      </c>
      <c r="C88" s="11" t="s">
        <v>21</v>
      </c>
      <c r="D88" s="3" t="s">
        <v>18</v>
      </c>
      <c r="E88" s="6" t="s">
        <v>140</v>
      </c>
      <c r="F88" s="4">
        <v>8000</v>
      </c>
      <c r="G88" s="35">
        <v>46142</v>
      </c>
      <c r="H88" s="35">
        <v>46203</v>
      </c>
      <c r="I88" s="26">
        <v>2666.6666666666665</v>
      </c>
      <c r="J88" s="39" t="s">
        <v>347</v>
      </c>
      <c r="K88" s="39" t="s">
        <v>354</v>
      </c>
      <c r="L88" s="39" t="s">
        <v>356</v>
      </c>
      <c r="M88" s="36">
        <v>8000</v>
      </c>
      <c r="N88" s="38">
        <v>46142</v>
      </c>
      <c r="O88" s="38">
        <v>46203</v>
      </c>
      <c r="P88" s="6"/>
    </row>
    <row r="89" spans="2:16" x14ac:dyDescent="0.25">
      <c r="B89" s="11" t="s">
        <v>71</v>
      </c>
      <c r="C89" s="11" t="s">
        <v>21</v>
      </c>
      <c r="D89" s="3" t="s">
        <v>9</v>
      </c>
      <c r="E89" s="6" t="s">
        <v>141</v>
      </c>
      <c r="F89" s="4">
        <v>10000</v>
      </c>
      <c r="G89" s="35">
        <v>46142</v>
      </c>
      <c r="H89" s="35">
        <v>46203</v>
      </c>
      <c r="I89" s="26">
        <v>3333.3333333333335</v>
      </c>
      <c r="J89" s="39" t="s">
        <v>349</v>
      </c>
      <c r="K89" s="39"/>
      <c r="L89" s="39"/>
      <c r="M89" s="36">
        <v>10000</v>
      </c>
      <c r="N89" s="38">
        <v>46142</v>
      </c>
      <c r="O89" s="38">
        <v>46203</v>
      </c>
      <c r="P89" s="6"/>
    </row>
    <row r="90" spans="2:16" x14ac:dyDescent="0.25">
      <c r="B90" s="11" t="s">
        <v>71</v>
      </c>
      <c r="C90" s="11" t="s">
        <v>21</v>
      </c>
      <c r="D90" s="3" t="s">
        <v>38</v>
      </c>
      <c r="E90" s="6" t="s">
        <v>181</v>
      </c>
      <c r="F90" s="4">
        <v>15000</v>
      </c>
      <c r="G90" s="35">
        <v>46234</v>
      </c>
      <c r="H90" s="35">
        <v>46295</v>
      </c>
      <c r="I90" s="26">
        <v>5000</v>
      </c>
      <c r="J90" s="39" t="s">
        <v>347</v>
      </c>
      <c r="K90" s="39" t="s">
        <v>354</v>
      </c>
      <c r="L90" s="39" t="s">
        <v>356</v>
      </c>
      <c r="M90" s="36">
        <v>15000</v>
      </c>
      <c r="N90" s="38">
        <v>46234</v>
      </c>
      <c r="O90" s="38">
        <v>46295</v>
      </c>
      <c r="P90" s="6"/>
    </row>
    <row r="91" spans="2:16" x14ac:dyDescent="0.25">
      <c r="B91" s="11" t="s">
        <v>73</v>
      </c>
      <c r="C91" s="11" t="s">
        <v>21</v>
      </c>
      <c r="D91" s="3" t="s">
        <v>26</v>
      </c>
      <c r="E91" s="6" t="s">
        <v>27</v>
      </c>
      <c r="F91" s="4">
        <v>30000</v>
      </c>
      <c r="G91" s="35">
        <v>46053</v>
      </c>
      <c r="H91" s="35">
        <v>46112</v>
      </c>
      <c r="I91" s="26">
        <v>10000</v>
      </c>
      <c r="J91" s="39" t="s">
        <v>347</v>
      </c>
      <c r="K91" s="39" t="s">
        <v>353</v>
      </c>
      <c r="L91" s="39" t="s">
        <v>356</v>
      </c>
      <c r="M91" s="36">
        <v>30000</v>
      </c>
      <c r="N91" s="38">
        <v>46053</v>
      </c>
      <c r="O91" s="38">
        <v>46112</v>
      </c>
      <c r="P91" s="6"/>
    </row>
    <row r="92" spans="2:16" x14ac:dyDescent="0.25">
      <c r="B92" s="11" t="s">
        <v>73</v>
      </c>
      <c r="C92" s="11" t="s">
        <v>21</v>
      </c>
      <c r="D92" s="3" t="s">
        <v>74</v>
      </c>
      <c r="E92" s="6" t="s">
        <v>75</v>
      </c>
      <c r="F92" s="4">
        <v>3000</v>
      </c>
      <c r="G92" s="35">
        <v>46053</v>
      </c>
      <c r="H92" s="35">
        <v>46112</v>
      </c>
      <c r="I92" s="26">
        <v>1000</v>
      </c>
      <c r="J92" s="39" t="s">
        <v>347</v>
      </c>
      <c r="K92" s="39" t="s">
        <v>354</v>
      </c>
      <c r="L92" s="39" t="s">
        <v>356</v>
      </c>
      <c r="M92" s="36">
        <v>3000</v>
      </c>
      <c r="N92" s="38">
        <v>46053</v>
      </c>
      <c r="O92" s="38">
        <v>46112</v>
      </c>
      <c r="P92" s="6"/>
    </row>
    <row r="93" spans="2:16" x14ac:dyDescent="0.25">
      <c r="B93" s="11" t="s">
        <v>73</v>
      </c>
      <c r="C93" s="11" t="s">
        <v>21</v>
      </c>
      <c r="D93" s="3" t="s">
        <v>24</v>
      </c>
      <c r="E93" s="6" t="s">
        <v>76</v>
      </c>
      <c r="F93" s="4">
        <v>7500</v>
      </c>
      <c r="G93" s="35">
        <v>46053</v>
      </c>
      <c r="H93" s="35">
        <v>46112</v>
      </c>
      <c r="I93" s="26">
        <v>2500</v>
      </c>
      <c r="J93" s="41" t="s">
        <v>349</v>
      </c>
      <c r="K93" s="41"/>
      <c r="L93" s="41"/>
      <c r="M93" s="36">
        <v>7500</v>
      </c>
      <c r="N93" s="38">
        <v>46053</v>
      </c>
      <c r="O93" s="38">
        <v>46112</v>
      </c>
      <c r="P93" s="6"/>
    </row>
    <row r="94" spans="2:16" x14ac:dyDescent="0.25">
      <c r="B94" s="11" t="s">
        <v>73</v>
      </c>
      <c r="C94" s="11" t="s">
        <v>21</v>
      </c>
      <c r="D94" s="3" t="s">
        <v>18</v>
      </c>
      <c r="E94" s="6" t="s">
        <v>142</v>
      </c>
      <c r="F94" s="4">
        <v>7000</v>
      </c>
      <c r="G94" s="35">
        <v>46142</v>
      </c>
      <c r="H94" s="35">
        <v>46203</v>
      </c>
      <c r="I94" s="26">
        <v>2333.3333333333335</v>
      </c>
      <c r="J94" s="39" t="s">
        <v>347</v>
      </c>
      <c r="K94" s="39" t="s">
        <v>354</v>
      </c>
      <c r="L94" s="39" t="s">
        <v>356</v>
      </c>
      <c r="M94" s="36">
        <v>7000</v>
      </c>
      <c r="N94" s="38">
        <v>46142</v>
      </c>
      <c r="O94" s="38">
        <v>46203</v>
      </c>
      <c r="P94" s="6"/>
    </row>
    <row r="95" spans="2:16" x14ac:dyDescent="0.25">
      <c r="B95" s="11" t="s">
        <v>73</v>
      </c>
      <c r="C95" s="11" t="s">
        <v>21</v>
      </c>
      <c r="D95" s="3" t="s">
        <v>9</v>
      </c>
      <c r="E95" s="6" t="s">
        <v>143</v>
      </c>
      <c r="F95" s="4">
        <v>5000</v>
      </c>
      <c r="G95" s="35">
        <v>46142</v>
      </c>
      <c r="H95" s="35">
        <v>46203</v>
      </c>
      <c r="I95" s="26">
        <v>1666.6666666666667</v>
      </c>
      <c r="J95" s="39" t="s">
        <v>347</v>
      </c>
      <c r="K95" s="39" t="s">
        <v>354</v>
      </c>
      <c r="L95" s="39" t="s">
        <v>356</v>
      </c>
      <c r="M95" s="36">
        <v>5000</v>
      </c>
      <c r="N95" s="38">
        <v>46142</v>
      </c>
      <c r="O95" s="38">
        <v>46203</v>
      </c>
      <c r="P95" s="6"/>
    </row>
    <row r="96" spans="2:16" x14ac:dyDescent="0.25">
      <c r="B96" s="11" t="s">
        <v>73</v>
      </c>
      <c r="C96" s="11" t="s">
        <v>21</v>
      </c>
      <c r="D96" s="3" t="s">
        <v>58</v>
      </c>
      <c r="E96" s="6" t="s">
        <v>182</v>
      </c>
      <c r="F96" s="4">
        <v>40000</v>
      </c>
      <c r="G96" s="35">
        <v>46234</v>
      </c>
      <c r="H96" s="35">
        <v>46295</v>
      </c>
      <c r="I96" s="26">
        <v>13333.333333333334</v>
      </c>
      <c r="J96" s="39" t="s">
        <v>347</v>
      </c>
      <c r="K96" s="39" t="s">
        <v>354</v>
      </c>
      <c r="L96" s="39" t="s">
        <v>356</v>
      </c>
      <c r="M96" s="36">
        <v>40000</v>
      </c>
      <c r="N96" s="38">
        <v>46234</v>
      </c>
      <c r="O96" s="38">
        <v>46295</v>
      </c>
      <c r="P96" s="6"/>
    </row>
    <row r="97" spans="2:16" x14ac:dyDescent="0.25">
      <c r="B97" s="11" t="s">
        <v>73</v>
      </c>
      <c r="C97" s="11" t="s">
        <v>21</v>
      </c>
      <c r="D97" s="3" t="s">
        <v>58</v>
      </c>
      <c r="E97" s="6" t="s">
        <v>183</v>
      </c>
      <c r="F97" s="4">
        <v>15000</v>
      </c>
      <c r="G97" s="35">
        <v>46234</v>
      </c>
      <c r="H97" s="35">
        <v>46295</v>
      </c>
      <c r="I97" s="26">
        <v>5000</v>
      </c>
      <c r="J97" s="39" t="s">
        <v>347</v>
      </c>
      <c r="K97" s="39" t="s">
        <v>354</v>
      </c>
      <c r="L97" s="39" t="s">
        <v>356</v>
      </c>
      <c r="M97" s="36">
        <v>15000</v>
      </c>
      <c r="N97" s="38">
        <v>46234</v>
      </c>
      <c r="O97" s="38">
        <v>46295</v>
      </c>
      <c r="P97" s="6"/>
    </row>
    <row r="98" spans="2:16" x14ac:dyDescent="0.25">
      <c r="B98" s="11" t="s">
        <v>77</v>
      </c>
      <c r="C98" s="11" t="s">
        <v>21</v>
      </c>
      <c r="D98" s="3" t="s">
        <v>26</v>
      </c>
      <c r="E98" s="6" t="s">
        <v>27</v>
      </c>
      <c r="F98" s="4">
        <v>20000</v>
      </c>
      <c r="G98" s="35">
        <v>46053</v>
      </c>
      <c r="H98" s="35">
        <v>46112</v>
      </c>
      <c r="I98" s="26">
        <v>6666.666666666667</v>
      </c>
      <c r="J98" s="39" t="s">
        <v>347</v>
      </c>
      <c r="K98" s="39" t="s">
        <v>353</v>
      </c>
      <c r="L98" s="39" t="s">
        <v>356</v>
      </c>
      <c r="M98" s="36">
        <v>20000</v>
      </c>
      <c r="N98" s="38">
        <v>46053</v>
      </c>
      <c r="O98" s="38">
        <v>46112</v>
      </c>
      <c r="P98" s="6"/>
    </row>
    <row r="99" spans="2:16" x14ac:dyDescent="0.25">
      <c r="B99" s="11" t="s">
        <v>77</v>
      </c>
      <c r="C99" s="11" t="s">
        <v>21</v>
      </c>
      <c r="D99" s="3" t="s">
        <v>54</v>
      </c>
      <c r="E99" s="6" t="s">
        <v>144</v>
      </c>
      <c r="F99" s="4">
        <v>75000</v>
      </c>
      <c r="G99" s="35">
        <v>46142</v>
      </c>
      <c r="H99" s="35">
        <v>46203</v>
      </c>
      <c r="I99" s="26">
        <v>25000</v>
      </c>
      <c r="J99" s="39" t="s">
        <v>347</v>
      </c>
      <c r="K99" s="39" t="s">
        <v>354</v>
      </c>
      <c r="L99" s="39" t="s">
        <v>356</v>
      </c>
      <c r="M99" s="36">
        <v>75000</v>
      </c>
      <c r="N99" s="38">
        <v>46142</v>
      </c>
      <c r="O99" s="38">
        <v>46203</v>
      </c>
      <c r="P99" s="6"/>
    </row>
    <row r="100" spans="2:16" x14ac:dyDescent="0.25">
      <c r="B100" s="11" t="s">
        <v>77</v>
      </c>
      <c r="C100" s="11" t="s">
        <v>21</v>
      </c>
      <c r="D100" s="3" t="s">
        <v>18</v>
      </c>
      <c r="E100" s="6" t="s">
        <v>184</v>
      </c>
      <c r="F100" s="4">
        <v>10000</v>
      </c>
      <c r="G100" s="35">
        <v>46234</v>
      </c>
      <c r="H100" s="35">
        <v>46295</v>
      </c>
      <c r="I100" s="26">
        <v>3333.3333333333335</v>
      </c>
      <c r="J100" s="39" t="s">
        <v>347</v>
      </c>
      <c r="K100" s="39" t="s">
        <v>354</v>
      </c>
      <c r="L100" s="39" t="s">
        <v>356</v>
      </c>
      <c r="M100" s="36">
        <v>10000</v>
      </c>
      <c r="N100" s="38">
        <v>46234</v>
      </c>
      <c r="O100" s="38">
        <v>46295</v>
      </c>
      <c r="P100" s="6"/>
    </row>
    <row r="101" spans="2:16" x14ac:dyDescent="0.25">
      <c r="B101" s="11" t="s">
        <v>77</v>
      </c>
      <c r="C101" s="11" t="s">
        <v>21</v>
      </c>
      <c r="D101" s="3" t="s">
        <v>18</v>
      </c>
      <c r="E101" s="6" t="s">
        <v>223</v>
      </c>
      <c r="F101" s="4">
        <v>15000</v>
      </c>
      <c r="G101" s="35">
        <v>46326</v>
      </c>
      <c r="H101" s="35">
        <v>46387</v>
      </c>
      <c r="I101" s="26">
        <v>5000</v>
      </c>
      <c r="J101" s="39" t="s">
        <v>347</v>
      </c>
      <c r="K101" s="39" t="s">
        <v>354</v>
      </c>
      <c r="L101" s="39" t="s">
        <v>356</v>
      </c>
      <c r="M101" s="36">
        <v>15000</v>
      </c>
      <c r="N101" s="38">
        <v>46326</v>
      </c>
      <c r="O101" s="38">
        <v>46387</v>
      </c>
      <c r="P101" s="6"/>
    </row>
    <row r="102" spans="2:16" x14ac:dyDescent="0.25">
      <c r="B102" s="11" t="s">
        <v>77</v>
      </c>
      <c r="C102" s="11" t="s">
        <v>21</v>
      </c>
      <c r="D102" s="3" t="s">
        <v>18</v>
      </c>
      <c r="E102" s="6" t="s">
        <v>233</v>
      </c>
      <c r="F102" s="4">
        <v>150000</v>
      </c>
      <c r="G102" s="35">
        <v>46418</v>
      </c>
      <c r="H102" s="35">
        <v>46568</v>
      </c>
      <c r="I102" s="26">
        <v>25000</v>
      </c>
      <c r="J102" s="39" t="s">
        <v>347</v>
      </c>
      <c r="K102" s="39" t="s">
        <v>354</v>
      </c>
      <c r="L102" s="39" t="s">
        <v>356</v>
      </c>
      <c r="M102" s="36">
        <v>150000</v>
      </c>
      <c r="N102" s="38">
        <v>46295</v>
      </c>
      <c r="O102" s="38"/>
      <c r="P102" s="6"/>
    </row>
    <row r="103" spans="2:16" x14ac:dyDescent="0.25">
      <c r="B103" s="11" t="s">
        <v>78</v>
      </c>
      <c r="C103" s="11" t="s">
        <v>21</v>
      </c>
      <c r="D103" s="3" t="s">
        <v>79</v>
      </c>
      <c r="E103" s="6" t="s">
        <v>80</v>
      </c>
      <c r="F103" s="4">
        <v>252000</v>
      </c>
      <c r="G103" s="35">
        <v>46053</v>
      </c>
      <c r="H103" s="35">
        <v>46203</v>
      </c>
      <c r="I103" s="26">
        <v>42000</v>
      </c>
      <c r="J103" s="39" t="s">
        <v>347</v>
      </c>
      <c r="K103" s="39" t="s">
        <v>354</v>
      </c>
      <c r="L103" s="39" t="s">
        <v>356</v>
      </c>
      <c r="M103" s="36">
        <v>252000</v>
      </c>
      <c r="N103" s="38">
        <v>46053</v>
      </c>
      <c r="O103" s="38">
        <v>46203</v>
      </c>
      <c r="P103" s="6"/>
    </row>
    <row r="104" spans="2:16" x14ac:dyDescent="0.25">
      <c r="B104" s="11" t="s">
        <v>78</v>
      </c>
      <c r="C104" s="11" t="s">
        <v>21</v>
      </c>
      <c r="D104" s="3" t="s">
        <v>79</v>
      </c>
      <c r="E104" s="6" t="s">
        <v>363</v>
      </c>
      <c r="F104" s="4">
        <v>266000</v>
      </c>
      <c r="G104" s="35">
        <v>46418</v>
      </c>
      <c r="H104" s="35">
        <v>46568</v>
      </c>
      <c r="I104" s="26">
        <v>44333.333333333336</v>
      </c>
      <c r="J104" s="39" t="s">
        <v>347</v>
      </c>
      <c r="K104" s="39" t="s">
        <v>354</v>
      </c>
      <c r="L104" s="39" t="s">
        <v>356</v>
      </c>
      <c r="M104" s="36">
        <v>266000</v>
      </c>
      <c r="N104" s="38">
        <v>46418</v>
      </c>
      <c r="O104" s="38">
        <v>46568</v>
      </c>
      <c r="P104" s="6"/>
    </row>
    <row r="105" spans="2:16" x14ac:dyDescent="0.25">
      <c r="B105" s="11" t="s">
        <v>81</v>
      </c>
      <c r="C105" s="11" t="s">
        <v>21</v>
      </c>
      <c r="D105" s="3" t="s">
        <v>26</v>
      </c>
      <c r="E105" s="6" t="s">
        <v>27</v>
      </c>
      <c r="F105" s="4">
        <v>15000</v>
      </c>
      <c r="G105" s="35">
        <v>46053</v>
      </c>
      <c r="H105" s="35">
        <v>46112</v>
      </c>
      <c r="I105" s="26">
        <v>5000</v>
      </c>
      <c r="J105" s="39" t="s">
        <v>347</v>
      </c>
      <c r="K105" s="39" t="s">
        <v>353</v>
      </c>
      <c r="L105" s="39" t="s">
        <v>356</v>
      </c>
      <c r="M105" s="36">
        <v>15000</v>
      </c>
      <c r="N105" s="38">
        <v>46053</v>
      </c>
      <c r="O105" s="38">
        <v>46112</v>
      </c>
      <c r="P105" s="6"/>
    </row>
    <row r="106" spans="2:16" x14ac:dyDescent="0.25">
      <c r="B106" s="11" t="s">
        <v>81</v>
      </c>
      <c r="C106" s="11" t="s">
        <v>21</v>
      </c>
      <c r="D106" s="3" t="s">
        <v>22</v>
      </c>
      <c r="E106" s="6" t="s">
        <v>69</v>
      </c>
      <c r="F106" s="4">
        <v>0</v>
      </c>
      <c r="G106" s="35">
        <v>46053</v>
      </c>
      <c r="H106" s="35">
        <v>46112</v>
      </c>
      <c r="I106" s="26">
        <v>0</v>
      </c>
      <c r="J106" s="39" t="s">
        <v>347</v>
      </c>
      <c r="K106" s="39" t="s">
        <v>354</v>
      </c>
      <c r="L106" s="39" t="s">
        <v>356</v>
      </c>
      <c r="M106" s="36">
        <v>0</v>
      </c>
      <c r="N106" s="38">
        <v>46053</v>
      </c>
      <c r="O106" s="38">
        <v>46112</v>
      </c>
      <c r="P106" s="6"/>
    </row>
    <row r="107" spans="2:16" x14ac:dyDescent="0.25">
      <c r="B107" s="11" t="s">
        <v>81</v>
      </c>
      <c r="C107" s="11" t="s">
        <v>21</v>
      </c>
      <c r="D107" s="3" t="s">
        <v>22</v>
      </c>
      <c r="E107" s="6" t="s">
        <v>82</v>
      </c>
      <c r="F107" s="4">
        <v>0</v>
      </c>
      <c r="G107" s="35">
        <v>46053</v>
      </c>
      <c r="H107" s="35">
        <v>46112</v>
      </c>
      <c r="I107" s="26">
        <v>0</v>
      </c>
      <c r="J107" s="39" t="s">
        <v>347</v>
      </c>
      <c r="K107" s="39" t="s">
        <v>354</v>
      </c>
      <c r="L107" s="39" t="s">
        <v>356</v>
      </c>
      <c r="M107" s="36">
        <v>0</v>
      </c>
      <c r="N107" s="38">
        <v>46053</v>
      </c>
      <c r="O107" s="38">
        <v>46112</v>
      </c>
      <c r="P107" s="6"/>
    </row>
    <row r="108" spans="2:16" x14ac:dyDescent="0.25">
      <c r="B108" s="11" t="s">
        <v>81</v>
      </c>
      <c r="C108" s="11" t="s">
        <v>21</v>
      </c>
      <c r="D108" s="3" t="s">
        <v>58</v>
      </c>
      <c r="E108" s="6" t="s">
        <v>83</v>
      </c>
      <c r="F108" s="4">
        <v>40000</v>
      </c>
      <c r="G108" s="35">
        <v>46053</v>
      </c>
      <c r="H108" s="35">
        <v>46112</v>
      </c>
      <c r="I108" s="26">
        <v>13333.333333333334</v>
      </c>
      <c r="J108" s="39" t="s">
        <v>347</v>
      </c>
      <c r="K108" s="39" t="s">
        <v>354</v>
      </c>
      <c r="L108" s="39" t="s">
        <v>356</v>
      </c>
      <c r="M108" s="36">
        <v>40000</v>
      </c>
      <c r="N108" s="38">
        <v>46053</v>
      </c>
      <c r="O108" s="38">
        <v>46112</v>
      </c>
      <c r="P108" s="6"/>
    </row>
    <row r="109" spans="2:16" x14ac:dyDescent="0.25">
      <c r="B109" s="11" t="s">
        <v>81</v>
      </c>
      <c r="C109" s="11" t="s">
        <v>21</v>
      </c>
      <c r="D109" s="3" t="s">
        <v>9</v>
      </c>
      <c r="E109" s="6" t="s">
        <v>145</v>
      </c>
      <c r="F109" s="4">
        <v>10000</v>
      </c>
      <c r="G109" s="35">
        <v>46142</v>
      </c>
      <c r="H109" s="35">
        <v>46203</v>
      </c>
      <c r="I109" s="26">
        <v>3333.3333333333335</v>
      </c>
      <c r="J109" s="39" t="s">
        <v>347</v>
      </c>
      <c r="K109" s="39" t="s">
        <v>353</v>
      </c>
      <c r="L109" s="39" t="s">
        <v>356</v>
      </c>
      <c r="M109" s="36">
        <v>10000</v>
      </c>
      <c r="N109" s="38">
        <v>46142</v>
      </c>
      <c r="O109" s="38">
        <v>46203</v>
      </c>
      <c r="P109" s="6"/>
    </row>
    <row r="110" spans="2:16" x14ac:dyDescent="0.25">
      <c r="B110" s="11" t="s">
        <v>81</v>
      </c>
      <c r="C110" s="11" t="s">
        <v>21</v>
      </c>
      <c r="D110" s="3" t="s">
        <v>9</v>
      </c>
      <c r="E110" s="6" t="s">
        <v>185</v>
      </c>
      <c r="F110" s="4">
        <v>12000</v>
      </c>
      <c r="G110" s="35">
        <v>46234</v>
      </c>
      <c r="H110" s="35">
        <v>46295</v>
      </c>
      <c r="I110" s="26">
        <v>4000</v>
      </c>
      <c r="J110" s="39" t="s">
        <v>347</v>
      </c>
      <c r="K110" s="39" t="s">
        <v>353</v>
      </c>
      <c r="L110" s="39" t="s">
        <v>357</v>
      </c>
      <c r="M110" s="36">
        <v>12000</v>
      </c>
      <c r="N110" s="38">
        <v>46234</v>
      </c>
      <c r="O110" s="38">
        <v>46295</v>
      </c>
      <c r="P110" s="6"/>
    </row>
    <row r="111" spans="2:16" x14ac:dyDescent="0.25">
      <c r="B111" s="11" t="s">
        <v>81</v>
      </c>
      <c r="C111" s="11" t="s">
        <v>21</v>
      </c>
      <c r="D111" s="3" t="s">
        <v>18</v>
      </c>
      <c r="E111" s="6" t="s">
        <v>186</v>
      </c>
      <c r="F111" s="4">
        <v>10000</v>
      </c>
      <c r="G111" s="35">
        <v>46234</v>
      </c>
      <c r="H111" s="35">
        <v>46295</v>
      </c>
      <c r="I111" s="26">
        <v>3333.3333333333335</v>
      </c>
      <c r="J111" s="39" t="s">
        <v>347</v>
      </c>
      <c r="K111" s="39" t="s">
        <v>354</v>
      </c>
      <c r="L111" s="39" t="s">
        <v>356</v>
      </c>
      <c r="M111" s="36">
        <v>10000</v>
      </c>
      <c r="N111" s="38">
        <v>46234</v>
      </c>
      <c r="O111" s="38">
        <v>46295</v>
      </c>
      <c r="P111" s="6" t="s">
        <v>364</v>
      </c>
    </row>
    <row r="112" spans="2:16" x14ac:dyDescent="0.25">
      <c r="B112" s="11" t="s">
        <v>81</v>
      </c>
      <c r="C112" s="11" t="s">
        <v>21</v>
      </c>
      <c r="D112" s="3" t="s">
        <v>17</v>
      </c>
      <c r="E112" s="6" t="s">
        <v>187</v>
      </c>
      <c r="F112" s="4">
        <v>15000</v>
      </c>
      <c r="G112" s="35">
        <v>46234</v>
      </c>
      <c r="H112" s="35">
        <v>46295</v>
      </c>
      <c r="I112" s="26">
        <v>5000</v>
      </c>
      <c r="J112" s="39" t="s">
        <v>347</v>
      </c>
      <c r="K112" s="39" t="s">
        <v>354</v>
      </c>
      <c r="L112" s="39" t="s">
        <v>356</v>
      </c>
      <c r="M112" s="36">
        <v>15000</v>
      </c>
      <c r="N112" s="38">
        <v>46234</v>
      </c>
      <c r="O112" s="38">
        <v>46295</v>
      </c>
      <c r="P112" s="6"/>
    </row>
    <row r="113" spans="2:16" x14ac:dyDescent="0.25">
      <c r="B113" s="11" t="s">
        <v>81</v>
      </c>
      <c r="C113" s="11" t="s">
        <v>21</v>
      </c>
      <c r="D113" s="3" t="s">
        <v>58</v>
      </c>
      <c r="E113" s="6" t="s">
        <v>224</v>
      </c>
      <c r="F113" s="4">
        <v>100000</v>
      </c>
      <c r="G113" s="35">
        <v>46326</v>
      </c>
      <c r="H113" s="35">
        <v>46387</v>
      </c>
      <c r="I113" s="26">
        <v>33333.333333333336</v>
      </c>
      <c r="J113" s="39" t="s">
        <v>347</v>
      </c>
      <c r="K113" s="39" t="s">
        <v>354</v>
      </c>
      <c r="L113" s="39" t="s">
        <v>356</v>
      </c>
      <c r="M113" s="36">
        <v>150000</v>
      </c>
      <c r="N113" s="38">
        <v>46326</v>
      </c>
      <c r="O113" s="38">
        <v>46387</v>
      </c>
      <c r="P113" s="6"/>
    </row>
    <row r="114" spans="2:16" x14ac:dyDescent="0.25">
      <c r="B114" s="11" t="s">
        <v>81</v>
      </c>
      <c r="C114" s="11" t="s">
        <v>21</v>
      </c>
      <c r="D114" s="3" t="s">
        <v>9</v>
      </c>
      <c r="E114" s="6" t="s">
        <v>225</v>
      </c>
      <c r="F114" s="4">
        <v>15000</v>
      </c>
      <c r="G114" s="35">
        <v>46326</v>
      </c>
      <c r="H114" s="35">
        <v>46387</v>
      </c>
      <c r="I114" s="26">
        <v>5000</v>
      </c>
      <c r="J114" s="39" t="s">
        <v>347</v>
      </c>
      <c r="K114" s="39" t="s">
        <v>354</v>
      </c>
      <c r="L114" s="39" t="s">
        <v>356</v>
      </c>
      <c r="M114" s="36">
        <v>15000</v>
      </c>
      <c r="N114" s="38">
        <v>46326</v>
      </c>
      <c r="O114" s="38">
        <v>46387</v>
      </c>
      <c r="P114" s="6"/>
    </row>
    <row r="115" spans="2:16" x14ac:dyDescent="0.25">
      <c r="B115" s="11" t="s">
        <v>84</v>
      </c>
      <c r="C115" s="11" t="s">
        <v>21</v>
      </c>
      <c r="D115" s="3" t="s">
        <v>26</v>
      </c>
      <c r="E115" s="6" t="s">
        <v>85</v>
      </c>
      <c r="F115" s="4">
        <v>60000</v>
      </c>
      <c r="G115" s="35">
        <v>46053</v>
      </c>
      <c r="H115" s="35">
        <v>46112</v>
      </c>
      <c r="I115" s="26">
        <v>20000</v>
      </c>
      <c r="J115" s="39" t="s">
        <v>347</v>
      </c>
      <c r="K115" s="39" t="s">
        <v>353</v>
      </c>
      <c r="L115" s="39" t="s">
        <v>356</v>
      </c>
      <c r="M115" s="36">
        <v>60000</v>
      </c>
      <c r="N115" s="38">
        <v>46053</v>
      </c>
      <c r="O115" s="38">
        <v>46112</v>
      </c>
      <c r="P115" s="6"/>
    </row>
    <row r="116" spans="2:16" x14ac:dyDescent="0.25">
      <c r="B116" s="11" t="s">
        <v>84</v>
      </c>
      <c r="C116" s="11" t="s">
        <v>21</v>
      </c>
      <c r="D116" s="3" t="s">
        <v>9</v>
      </c>
      <c r="E116" s="6" t="s">
        <v>29</v>
      </c>
      <c r="F116" s="4">
        <v>8000</v>
      </c>
      <c r="G116" s="35">
        <v>46053</v>
      </c>
      <c r="H116" s="35">
        <v>46112</v>
      </c>
      <c r="I116" s="26">
        <v>2666.6666666666665</v>
      </c>
      <c r="J116" s="39" t="s">
        <v>346</v>
      </c>
      <c r="K116" s="39"/>
      <c r="L116" s="39"/>
      <c r="M116" s="36">
        <v>8000</v>
      </c>
      <c r="N116" s="38">
        <v>46053</v>
      </c>
      <c r="O116" s="38">
        <v>46112</v>
      </c>
      <c r="P116" s="6"/>
    </row>
    <row r="117" spans="2:16" x14ac:dyDescent="0.25">
      <c r="B117" s="11" t="s">
        <v>84</v>
      </c>
      <c r="C117" s="11" t="s">
        <v>21</v>
      </c>
      <c r="D117" s="3" t="s">
        <v>9</v>
      </c>
      <c r="E117" s="6" t="s">
        <v>86</v>
      </c>
      <c r="F117" s="4">
        <v>12000</v>
      </c>
      <c r="G117" s="35">
        <v>46053</v>
      </c>
      <c r="H117" s="35">
        <v>46112</v>
      </c>
      <c r="I117" s="26">
        <v>4000</v>
      </c>
      <c r="J117" s="39" t="s">
        <v>347</v>
      </c>
      <c r="K117" s="39" t="s">
        <v>353</v>
      </c>
      <c r="L117" s="39" t="s">
        <v>357</v>
      </c>
      <c r="M117" s="36">
        <v>12000</v>
      </c>
      <c r="N117" s="38">
        <v>46053</v>
      </c>
      <c r="O117" s="38">
        <v>46112</v>
      </c>
      <c r="P117" s="6"/>
    </row>
    <row r="118" spans="2:16" x14ac:dyDescent="0.25">
      <c r="B118" s="11" t="s">
        <v>84</v>
      </c>
      <c r="C118" s="11" t="s">
        <v>21</v>
      </c>
      <c r="D118" s="3" t="s">
        <v>24</v>
      </c>
      <c r="E118" s="6" t="s">
        <v>25</v>
      </c>
      <c r="F118" s="4">
        <v>15000</v>
      </c>
      <c r="G118" s="35">
        <v>46142</v>
      </c>
      <c r="H118" s="35">
        <v>46203</v>
      </c>
      <c r="I118" s="26">
        <v>5000</v>
      </c>
      <c r="J118" s="41" t="s">
        <v>349</v>
      </c>
      <c r="K118" s="41"/>
      <c r="L118" s="41"/>
      <c r="M118" s="36">
        <v>15000</v>
      </c>
      <c r="N118" s="38">
        <v>46142</v>
      </c>
      <c r="O118" s="38">
        <v>46203</v>
      </c>
      <c r="P118" s="6"/>
    </row>
    <row r="119" spans="2:16" x14ac:dyDescent="0.25">
      <c r="B119" s="11" t="s">
        <v>84</v>
      </c>
      <c r="C119" s="11" t="s">
        <v>21</v>
      </c>
      <c r="D119" s="3" t="s">
        <v>54</v>
      </c>
      <c r="E119" s="6" t="s">
        <v>188</v>
      </c>
      <c r="F119" s="4">
        <v>40000</v>
      </c>
      <c r="G119" s="35">
        <v>46234</v>
      </c>
      <c r="H119" s="35">
        <v>46295</v>
      </c>
      <c r="I119" s="26">
        <v>13333.333333333334</v>
      </c>
      <c r="J119" s="41" t="s">
        <v>349</v>
      </c>
      <c r="K119" s="39"/>
      <c r="L119" s="39"/>
      <c r="M119" s="36">
        <v>40000</v>
      </c>
      <c r="N119" s="38">
        <v>46234</v>
      </c>
      <c r="O119" s="38">
        <v>46295</v>
      </c>
      <c r="P119" s="6"/>
    </row>
    <row r="120" spans="2:16" x14ac:dyDescent="0.25">
      <c r="B120" s="11" t="s">
        <v>84</v>
      </c>
      <c r="C120" s="11" t="s">
        <v>21</v>
      </c>
      <c r="D120" s="3" t="s">
        <v>38</v>
      </c>
      <c r="E120" s="6" t="s">
        <v>189</v>
      </c>
      <c r="F120" s="4">
        <v>10000</v>
      </c>
      <c r="G120" s="35">
        <v>46234</v>
      </c>
      <c r="H120" s="35">
        <v>46295</v>
      </c>
      <c r="I120" s="26">
        <v>3333.3333333333335</v>
      </c>
      <c r="J120" s="39" t="s">
        <v>347</v>
      </c>
      <c r="K120" s="39" t="s">
        <v>353</v>
      </c>
      <c r="L120" s="39" t="s">
        <v>356</v>
      </c>
      <c r="M120" s="36">
        <v>10000</v>
      </c>
      <c r="N120" s="38">
        <v>46234</v>
      </c>
      <c r="O120" s="38">
        <v>46295</v>
      </c>
      <c r="P120" s="6"/>
    </row>
    <row r="121" spans="2:16" x14ac:dyDescent="0.25">
      <c r="B121" s="11" t="s">
        <v>84</v>
      </c>
      <c r="C121" s="11" t="s">
        <v>21</v>
      </c>
      <c r="D121" s="3" t="s">
        <v>74</v>
      </c>
      <c r="E121" s="6" t="s">
        <v>214</v>
      </c>
      <c r="F121" s="4">
        <v>30000</v>
      </c>
      <c r="G121" s="35">
        <v>46295</v>
      </c>
      <c r="H121" s="35">
        <v>46356</v>
      </c>
      <c r="I121" s="26">
        <v>10000</v>
      </c>
      <c r="J121" s="39" t="s">
        <v>347</v>
      </c>
      <c r="K121" s="39" t="s">
        <v>353</v>
      </c>
      <c r="L121" s="39" t="s">
        <v>356</v>
      </c>
      <c r="M121" s="36">
        <v>30000</v>
      </c>
      <c r="N121" s="38">
        <v>46295</v>
      </c>
      <c r="O121" s="38">
        <v>46356</v>
      </c>
      <c r="P121" s="6"/>
    </row>
    <row r="122" spans="2:16" x14ac:dyDescent="0.25">
      <c r="B122" s="11" t="s">
        <v>84</v>
      </c>
      <c r="C122" s="11" t="s">
        <v>21</v>
      </c>
      <c r="D122" s="3" t="s">
        <v>58</v>
      </c>
      <c r="E122" s="6" t="s">
        <v>226</v>
      </c>
      <c r="F122" s="4">
        <v>8000</v>
      </c>
      <c r="G122" s="35">
        <v>46326</v>
      </c>
      <c r="H122" s="35">
        <v>46387</v>
      </c>
      <c r="I122" s="26">
        <v>2666.6666666666665</v>
      </c>
      <c r="J122" s="39" t="s">
        <v>347</v>
      </c>
      <c r="K122" s="39" t="s">
        <v>353</v>
      </c>
      <c r="L122" s="39" t="s">
        <v>356</v>
      </c>
      <c r="M122" s="36">
        <v>8000</v>
      </c>
      <c r="N122" s="38">
        <v>46326</v>
      </c>
      <c r="O122" s="38">
        <v>46387</v>
      </c>
      <c r="P122" s="6"/>
    </row>
    <row r="123" spans="2:16" x14ac:dyDescent="0.25">
      <c r="B123" s="11" t="s">
        <v>84</v>
      </c>
      <c r="C123" s="11" t="s">
        <v>21</v>
      </c>
      <c r="D123" s="3" t="s">
        <v>18</v>
      </c>
      <c r="E123" s="6" t="s">
        <v>227</v>
      </c>
      <c r="F123" s="4">
        <v>6000</v>
      </c>
      <c r="G123" s="35">
        <v>46326</v>
      </c>
      <c r="H123" s="35">
        <v>46387</v>
      </c>
      <c r="I123" s="26">
        <v>2000</v>
      </c>
      <c r="J123" s="39" t="s">
        <v>347</v>
      </c>
      <c r="K123" s="39" t="s">
        <v>354</v>
      </c>
      <c r="L123" s="39" t="s">
        <v>356</v>
      </c>
      <c r="M123" s="36">
        <v>20000</v>
      </c>
      <c r="N123" s="38">
        <v>46326</v>
      </c>
      <c r="O123" s="38">
        <v>46387</v>
      </c>
      <c r="P123" s="6" t="s">
        <v>365</v>
      </c>
    </row>
    <row r="124" spans="2:16" x14ac:dyDescent="0.25">
      <c r="B124" s="11" t="s">
        <v>84</v>
      </c>
      <c r="C124" s="11" t="s">
        <v>21</v>
      </c>
      <c r="D124" s="3" t="s">
        <v>18</v>
      </c>
      <c r="E124" s="6" t="s">
        <v>366</v>
      </c>
      <c r="F124" s="4"/>
      <c r="G124" s="35"/>
      <c r="H124" s="35"/>
      <c r="I124" s="26"/>
      <c r="J124" s="39" t="s">
        <v>347</v>
      </c>
      <c r="K124" s="39" t="s">
        <v>354</v>
      </c>
      <c r="L124" s="39" t="s">
        <v>356</v>
      </c>
      <c r="M124" s="36">
        <v>40000</v>
      </c>
      <c r="N124" s="38">
        <v>46234</v>
      </c>
      <c r="O124" s="38"/>
      <c r="P124" s="6"/>
    </row>
    <row r="125" spans="2:16" x14ac:dyDescent="0.25">
      <c r="B125" s="11" t="s">
        <v>87</v>
      </c>
      <c r="C125" s="11" t="s">
        <v>21</v>
      </c>
      <c r="D125" s="3" t="s">
        <v>26</v>
      </c>
      <c r="E125" s="6" t="s">
        <v>27</v>
      </c>
      <c r="F125" s="4">
        <v>50000</v>
      </c>
      <c r="G125" s="35">
        <v>46053</v>
      </c>
      <c r="H125" s="35">
        <v>46112</v>
      </c>
      <c r="I125" s="26">
        <v>16666.666666666668</v>
      </c>
      <c r="J125" s="39" t="s">
        <v>347</v>
      </c>
      <c r="K125" s="39" t="s">
        <v>353</v>
      </c>
      <c r="L125" s="39" t="s">
        <v>356</v>
      </c>
      <c r="M125" s="36">
        <v>50000</v>
      </c>
      <c r="N125" s="38">
        <v>46053</v>
      </c>
      <c r="O125" s="38">
        <v>46112</v>
      </c>
      <c r="P125" s="6"/>
    </row>
    <row r="126" spans="2:16" x14ac:dyDescent="0.25">
      <c r="B126" s="11" t="s">
        <v>87</v>
      </c>
      <c r="C126" s="11" t="s">
        <v>21</v>
      </c>
      <c r="D126" s="3" t="s">
        <v>63</v>
      </c>
      <c r="E126" s="6" t="s">
        <v>367</v>
      </c>
      <c r="F126" s="4">
        <v>15000</v>
      </c>
      <c r="G126" s="35">
        <v>46053</v>
      </c>
      <c r="H126" s="35">
        <v>46112</v>
      </c>
      <c r="I126" s="26">
        <v>5000</v>
      </c>
      <c r="J126" s="39" t="s">
        <v>347</v>
      </c>
      <c r="K126" s="39" t="s">
        <v>354</v>
      </c>
      <c r="L126" s="39" t="s">
        <v>356</v>
      </c>
      <c r="M126" s="36">
        <v>15000</v>
      </c>
      <c r="N126" s="38">
        <v>46053</v>
      </c>
      <c r="O126" s="38">
        <v>46112</v>
      </c>
      <c r="P126" s="6" t="s">
        <v>368</v>
      </c>
    </row>
    <row r="127" spans="2:16" x14ac:dyDescent="0.25">
      <c r="B127" s="11" t="s">
        <v>87</v>
      </c>
      <c r="C127" s="11" t="s">
        <v>21</v>
      </c>
      <c r="D127" s="3" t="s">
        <v>63</v>
      </c>
      <c r="E127" s="6" t="s">
        <v>190</v>
      </c>
      <c r="F127" s="4">
        <v>40000</v>
      </c>
      <c r="G127" s="35">
        <v>46234</v>
      </c>
      <c r="H127" s="35">
        <v>46295</v>
      </c>
      <c r="I127" s="26">
        <v>13333.333333333334</v>
      </c>
      <c r="J127" s="39" t="s">
        <v>347</v>
      </c>
      <c r="K127" s="39" t="s">
        <v>354</v>
      </c>
      <c r="L127" s="39" t="s">
        <v>356</v>
      </c>
      <c r="M127" s="36">
        <v>100000</v>
      </c>
      <c r="N127" s="38">
        <v>46234</v>
      </c>
      <c r="O127" s="38">
        <v>46295</v>
      </c>
      <c r="P127" s="6"/>
    </row>
    <row r="128" spans="2:16" x14ac:dyDescent="0.25">
      <c r="B128" s="11" t="s">
        <v>87</v>
      </c>
      <c r="C128" s="11" t="s">
        <v>21</v>
      </c>
      <c r="D128" s="3" t="s">
        <v>38</v>
      </c>
      <c r="E128" s="6" t="s">
        <v>191</v>
      </c>
      <c r="F128" s="4">
        <v>10000</v>
      </c>
      <c r="G128" s="35">
        <v>46234</v>
      </c>
      <c r="H128" s="35">
        <v>46295</v>
      </c>
      <c r="I128" s="26">
        <v>3333.3333333333335</v>
      </c>
      <c r="J128" s="39" t="s">
        <v>349</v>
      </c>
      <c r="K128" s="39"/>
      <c r="L128" s="39"/>
      <c r="M128" s="36">
        <v>10000</v>
      </c>
      <c r="N128" s="38">
        <v>46234</v>
      </c>
      <c r="O128" s="38">
        <v>46295</v>
      </c>
      <c r="P128" s="6"/>
    </row>
    <row r="129" spans="2:16" x14ac:dyDescent="0.25">
      <c r="B129" s="11" t="s">
        <v>87</v>
      </c>
      <c r="C129" s="11" t="s">
        <v>21</v>
      </c>
      <c r="D129" s="3" t="s">
        <v>58</v>
      </c>
      <c r="E129" s="6" t="s">
        <v>228</v>
      </c>
      <c r="F129" s="4">
        <v>100000</v>
      </c>
      <c r="G129" s="35">
        <v>46326</v>
      </c>
      <c r="H129" s="35">
        <v>46387</v>
      </c>
      <c r="I129" s="26">
        <v>33333.333333333336</v>
      </c>
      <c r="J129" s="39" t="s">
        <v>347</v>
      </c>
      <c r="K129" s="39"/>
      <c r="L129" s="39"/>
      <c r="M129" s="36">
        <v>50000</v>
      </c>
      <c r="N129" s="38">
        <v>46234</v>
      </c>
      <c r="O129" s="38"/>
      <c r="P129" s="6"/>
    </row>
    <row r="130" spans="2:16" x14ac:dyDescent="0.25">
      <c r="B130" s="11" t="s">
        <v>90</v>
      </c>
      <c r="C130" s="11" t="s">
        <v>8</v>
      </c>
      <c r="D130" s="3" t="s">
        <v>9</v>
      </c>
      <c r="E130" s="6" t="s">
        <v>91</v>
      </c>
      <c r="F130" s="4">
        <v>3000</v>
      </c>
      <c r="G130" s="35">
        <v>46053</v>
      </c>
      <c r="H130" s="35">
        <v>46112</v>
      </c>
      <c r="I130" s="26">
        <v>1000</v>
      </c>
      <c r="J130" s="39" t="s">
        <v>346</v>
      </c>
      <c r="K130" s="39"/>
      <c r="L130" s="39"/>
      <c r="M130" s="36">
        <v>3000</v>
      </c>
      <c r="N130" s="38">
        <v>46053</v>
      </c>
      <c r="O130" s="38">
        <v>46112</v>
      </c>
      <c r="P130" s="6"/>
    </row>
    <row r="131" spans="2:16" x14ac:dyDescent="0.25">
      <c r="B131" s="11" t="s">
        <v>90</v>
      </c>
      <c r="C131" s="11" t="s">
        <v>8</v>
      </c>
      <c r="D131" s="3" t="s">
        <v>92</v>
      </c>
      <c r="E131" s="6" t="s">
        <v>93</v>
      </c>
      <c r="F131" s="4">
        <v>120000</v>
      </c>
      <c r="G131" s="35">
        <v>46053</v>
      </c>
      <c r="H131" s="35">
        <v>46387</v>
      </c>
      <c r="I131" s="26">
        <v>10000</v>
      </c>
      <c r="J131" s="39" t="s">
        <v>349</v>
      </c>
      <c r="K131" s="39"/>
      <c r="L131" s="39"/>
      <c r="M131" s="36">
        <v>120000</v>
      </c>
      <c r="N131" s="38">
        <v>46053</v>
      </c>
      <c r="O131" s="38">
        <v>46387</v>
      </c>
      <c r="P131" s="6"/>
    </row>
    <row r="132" spans="2:16" x14ac:dyDescent="0.25">
      <c r="B132" s="11" t="s">
        <v>90</v>
      </c>
      <c r="C132" s="11" t="s">
        <v>8</v>
      </c>
      <c r="D132" s="3" t="s">
        <v>92</v>
      </c>
      <c r="E132" s="6" t="s">
        <v>94</v>
      </c>
      <c r="F132" s="4">
        <v>140000</v>
      </c>
      <c r="G132" s="35">
        <v>46053</v>
      </c>
      <c r="H132" s="35">
        <v>46387</v>
      </c>
      <c r="I132" s="26">
        <v>11666.666666666666</v>
      </c>
      <c r="J132" s="39" t="s">
        <v>349</v>
      </c>
      <c r="K132" s="39"/>
      <c r="L132" s="39"/>
      <c r="M132" s="36">
        <v>140000</v>
      </c>
      <c r="N132" s="38">
        <v>46053</v>
      </c>
      <c r="O132" s="38">
        <v>46387</v>
      </c>
      <c r="P132" s="6"/>
    </row>
    <row r="133" spans="2:16" x14ac:dyDescent="0.25">
      <c r="B133" s="11" t="s">
        <v>90</v>
      </c>
      <c r="C133" s="11" t="s">
        <v>8</v>
      </c>
      <c r="D133" s="3" t="s">
        <v>18</v>
      </c>
      <c r="E133" s="6" t="s">
        <v>146</v>
      </c>
      <c r="F133" s="4">
        <v>50000</v>
      </c>
      <c r="G133" s="35">
        <v>46142</v>
      </c>
      <c r="H133" s="35">
        <v>46203</v>
      </c>
      <c r="I133" s="26">
        <v>16666.666666666668</v>
      </c>
      <c r="J133" s="39" t="s">
        <v>349</v>
      </c>
      <c r="K133" s="39"/>
      <c r="L133" s="39"/>
      <c r="M133" s="36">
        <v>50000</v>
      </c>
      <c r="N133" s="38">
        <v>46142</v>
      </c>
      <c r="O133" s="38">
        <v>46203</v>
      </c>
      <c r="P133" s="6"/>
    </row>
    <row r="134" spans="2:16" x14ac:dyDescent="0.25">
      <c r="B134" s="11" t="s">
        <v>90</v>
      </c>
      <c r="C134" s="11" t="s">
        <v>8</v>
      </c>
      <c r="D134" s="3" t="s">
        <v>24</v>
      </c>
      <c r="E134" s="6" t="s">
        <v>25</v>
      </c>
      <c r="F134" s="4">
        <v>15000</v>
      </c>
      <c r="G134" s="35">
        <v>46142</v>
      </c>
      <c r="H134" s="35">
        <v>46203</v>
      </c>
      <c r="I134" s="26">
        <v>5000</v>
      </c>
      <c r="J134" s="41" t="s">
        <v>349</v>
      </c>
      <c r="K134" s="41"/>
      <c r="L134" s="41"/>
      <c r="M134" s="36">
        <v>15000</v>
      </c>
      <c r="N134" s="38">
        <v>46142</v>
      </c>
      <c r="O134" s="38">
        <v>46203</v>
      </c>
      <c r="P134" s="6"/>
    </row>
    <row r="135" spans="2:16" x14ac:dyDescent="0.25">
      <c r="B135" s="11" t="s">
        <v>90</v>
      </c>
      <c r="C135" s="11" t="s">
        <v>8</v>
      </c>
      <c r="D135" s="3" t="s">
        <v>32</v>
      </c>
      <c r="E135" s="6" t="s">
        <v>162</v>
      </c>
      <c r="F135" s="4">
        <v>40000</v>
      </c>
      <c r="G135" s="35">
        <v>46173</v>
      </c>
      <c r="H135" s="35">
        <v>46234</v>
      </c>
      <c r="I135" s="26">
        <v>13333.333333333334</v>
      </c>
      <c r="J135" s="41" t="s">
        <v>349</v>
      </c>
      <c r="K135" s="39"/>
      <c r="L135" s="39"/>
      <c r="M135" s="36">
        <v>40000</v>
      </c>
      <c r="N135" s="38">
        <v>46173</v>
      </c>
      <c r="O135" s="38">
        <v>46234</v>
      </c>
      <c r="P135" s="6"/>
    </row>
    <row r="136" spans="2:16" x14ac:dyDescent="0.25">
      <c r="B136" s="11" t="s">
        <v>90</v>
      </c>
      <c r="C136" s="11" t="s">
        <v>8</v>
      </c>
      <c r="D136" s="3" t="s">
        <v>32</v>
      </c>
      <c r="E136" s="6" t="s">
        <v>162</v>
      </c>
      <c r="F136" s="4">
        <v>40000</v>
      </c>
      <c r="G136" s="35">
        <v>46538</v>
      </c>
      <c r="H136" s="35">
        <v>46599</v>
      </c>
      <c r="I136" s="26">
        <v>13333.333333333334</v>
      </c>
      <c r="J136" s="41" t="s">
        <v>349</v>
      </c>
      <c r="K136" s="39"/>
      <c r="L136" s="39"/>
      <c r="M136" s="36">
        <v>40000</v>
      </c>
      <c r="N136" s="38">
        <v>46538</v>
      </c>
      <c r="O136" s="38">
        <v>46599</v>
      </c>
      <c r="P136" s="6"/>
    </row>
    <row r="137" spans="2:16" x14ac:dyDescent="0.25">
      <c r="B137" s="11" t="s">
        <v>90</v>
      </c>
      <c r="C137" s="11" t="s">
        <v>8</v>
      </c>
      <c r="D137" s="3" t="s">
        <v>32</v>
      </c>
      <c r="E137" s="6" t="s">
        <v>162</v>
      </c>
      <c r="F137" s="4">
        <v>40000</v>
      </c>
      <c r="G137" s="35">
        <v>46904</v>
      </c>
      <c r="H137" s="35">
        <v>46965</v>
      </c>
      <c r="I137" s="26">
        <v>13333.333333333334</v>
      </c>
      <c r="J137" s="41" t="s">
        <v>349</v>
      </c>
      <c r="K137" s="39"/>
      <c r="L137" s="39"/>
      <c r="M137" s="36">
        <v>40000</v>
      </c>
      <c r="N137" s="38">
        <v>46904</v>
      </c>
      <c r="O137" s="38">
        <v>46965</v>
      </c>
      <c r="P137" s="6"/>
    </row>
    <row r="138" spans="2:16" x14ac:dyDescent="0.25">
      <c r="B138" s="11" t="s">
        <v>90</v>
      </c>
      <c r="C138" s="11" t="s">
        <v>8</v>
      </c>
      <c r="D138" s="3" t="s">
        <v>32</v>
      </c>
      <c r="E138" s="6" t="s">
        <v>237</v>
      </c>
      <c r="F138" s="4">
        <v>30000</v>
      </c>
      <c r="G138" s="35">
        <v>47269</v>
      </c>
      <c r="H138" s="35">
        <v>47330</v>
      </c>
      <c r="I138" s="26">
        <v>10000</v>
      </c>
      <c r="J138" s="41" t="s">
        <v>349</v>
      </c>
      <c r="K138" s="39"/>
      <c r="L138" s="39"/>
      <c r="M138" s="36">
        <v>30000</v>
      </c>
      <c r="N138" s="38">
        <v>47269</v>
      </c>
      <c r="O138" s="38">
        <v>47330</v>
      </c>
      <c r="P138" s="6"/>
    </row>
    <row r="139" spans="2:16" x14ac:dyDescent="0.25">
      <c r="B139" s="11" t="s">
        <v>95</v>
      </c>
      <c r="C139" s="11" t="s">
        <v>8</v>
      </c>
      <c r="D139" s="3" t="s">
        <v>9</v>
      </c>
      <c r="E139" s="6" t="s">
        <v>86</v>
      </c>
      <c r="F139" s="4">
        <v>12000</v>
      </c>
      <c r="G139" s="35">
        <v>46053</v>
      </c>
      <c r="H139" s="35">
        <v>46112</v>
      </c>
      <c r="I139" s="26">
        <v>4000</v>
      </c>
      <c r="J139" s="39" t="s">
        <v>347</v>
      </c>
      <c r="K139" s="39" t="s">
        <v>353</v>
      </c>
      <c r="L139" s="39" t="s">
        <v>357</v>
      </c>
      <c r="M139" s="36">
        <v>12000</v>
      </c>
      <c r="N139" s="38">
        <v>46053</v>
      </c>
      <c r="O139" s="38">
        <v>46112</v>
      </c>
      <c r="P139" s="6"/>
    </row>
    <row r="140" spans="2:16" x14ac:dyDescent="0.25">
      <c r="B140" s="11" t="s">
        <v>96</v>
      </c>
      <c r="C140" s="11" t="s">
        <v>8</v>
      </c>
      <c r="D140" s="3" t="s">
        <v>9</v>
      </c>
      <c r="E140" s="6" t="s">
        <v>10</v>
      </c>
      <c r="F140" s="4">
        <v>10000</v>
      </c>
      <c r="G140" s="35">
        <v>46053</v>
      </c>
      <c r="H140" s="35">
        <v>46112</v>
      </c>
      <c r="I140" s="26">
        <v>3333.3333333333335</v>
      </c>
      <c r="J140" s="39" t="s">
        <v>347</v>
      </c>
      <c r="K140" s="39" t="s">
        <v>353</v>
      </c>
      <c r="L140" s="39" t="s">
        <v>356</v>
      </c>
      <c r="M140" s="36">
        <v>10000</v>
      </c>
      <c r="N140" s="38">
        <v>46053</v>
      </c>
      <c r="O140" s="38">
        <v>46112</v>
      </c>
      <c r="P140" s="6"/>
    </row>
    <row r="141" spans="2:16" x14ac:dyDescent="0.25">
      <c r="B141" s="11" t="s">
        <v>96</v>
      </c>
      <c r="C141" s="11" t="s">
        <v>8</v>
      </c>
      <c r="D141" s="3" t="s">
        <v>22</v>
      </c>
      <c r="E141" s="6" t="s">
        <v>229</v>
      </c>
      <c r="F141" s="4">
        <v>1300000</v>
      </c>
      <c r="G141" s="35">
        <v>46326</v>
      </c>
      <c r="H141" s="35">
        <v>46387</v>
      </c>
      <c r="I141" s="26">
        <v>433333.33333333331</v>
      </c>
      <c r="J141" s="39" t="s">
        <v>347</v>
      </c>
      <c r="K141" s="39" t="s">
        <v>354</v>
      </c>
      <c r="L141" s="39" t="s">
        <v>356</v>
      </c>
      <c r="M141" s="36">
        <v>1300000</v>
      </c>
      <c r="N141" s="38">
        <v>46326</v>
      </c>
      <c r="O141" s="38">
        <v>46387</v>
      </c>
      <c r="P141" s="6"/>
    </row>
    <row r="142" spans="2:16" x14ac:dyDescent="0.25">
      <c r="B142" s="11" t="s">
        <v>96</v>
      </c>
      <c r="C142" s="11" t="s">
        <v>8</v>
      </c>
      <c r="D142" s="3" t="s">
        <v>12</v>
      </c>
      <c r="E142" s="6" t="s">
        <v>68</v>
      </c>
      <c r="F142" s="4">
        <v>50000</v>
      </c>
      <c r="G142" s="35">
        <v>46326</v>
      </c>
      <c r="H142" s="35">
        <v>46387</v>
      </c>
      <c r="I142" s="26">
        <v>16666.666666666668</v>
      </c>
      <c r="J142" s="39" t="s">
        <v>347</v>
      </c>
      <c r="K142" s="39" t="s">
        <v>354</v>
      </c>
      <c r="L142" s="39" t="s">
        <v>356</v>
      </c>
      <c r="M142" s="36">
        <v>50000</v>
      </c>
      <c r="N142" s="38">
        <v>46326</v>
      </c>
      <c r="O142" s="38">
        <v>46387</v>
      </c>
      <c r="P142" s="6"/>
    </row>
    <row r="143" spans="2:16" x14ac:dyDescent="0.25">
      <c r="B143" s="11" t="s">
        <v>89</v>
      </c>
      <c r="C143" s="11" t="s">
        <v>8</v>
      </c>
      <c r="D143" s="3" t="s">
        <v>26</v>
      </c>
      <c r="E143" s="6" t="s">
        <v>27</v>
      </c>
      <c r="F143" s="4">
        <v>75000</v>
      </c>
      <c r="G143" s="35">
        <v>46053</v>
      </c>
      <c r="H143" s="35">
        <v>46112</v>
      </c>
      <c r="I143" s="26">
        <v>25000</v>
      </c>
      <c r="J143" s="39" t="s">
        <v>347</v>
      </c>
      <c r="K143" s="39" t="s">
        <v>353</v>
      </c>
      <c r="L143" s="39" t="s">
        <v>356</v>
      </c>
      <c r="M143" s="36">
        <v>75000</v>
      </c>
      <c r="N143" s="38">
        <v>46053</v>
      </c>
      <c r="O143" s="38">
        <v>46112</v>
      </c>
      <c r="P143" s="6"/>
    </row>
    <row r="144" spans="2:16" x14ac:dyDescent="0.25">
      <c r="B144" s="11" t="s">
        <v>97</v>
      </c>
      <c r="C144" s="11" t="s">
        <v>8</v>
      </c>
      <c r="D144" s="3" t="s">
        <v>18</v>
      </c>
      <c r="E144" s="6" t="s">
        <v>98</v>
      </c>
      <c r="F144" s="4">
        <v>1000</v>
      </c>
      <c r="G144" s="35">
        <v>46053</v>
      </c>
      <c r="H144" s="35">
        <v>46112</v>
      </c>
      <c r="I144" s="26">
        <v>333.33333333333331</v>
      </c>
      <c r="J144" s="39" t="s">
        <v>347</v>
      </c>
      <c r="K144" s="39" t="s">
        <v>354</v>
      </c>
      <c r="L144" s="39" t="s">
        <v>357</v>
      </c>
      <c r="M144" s="36">
        <v>1000</v>
      </c>
      <c r="N144" s="38">
        <v>46053</v>
      </c>
      <c r="O144" s="38">
        <v>46112</v>
      </c>
      <c r="P144" s="6"/>
    </row>
    <row r="145" spans="2:16" x14ac:dyDescent="0.25">
      <c r="B145" s="11" t="s">
        <v>97</v>
      </c>
      <c r="C145" s="11" t="s">
        <v>8</v>
      </c>
      <c r="D145" s="3" t="s">
        <v>22</v>
      </c>
      <c r="E145" s="6" t="s">
        <v>99</v>
      </c>
      <c r="F145" s="4">
        <v>9000</v>
      </c>
      <c r="G145" s="35">
        <v>46053</v>
      </c>
      <c r="H145" s="35">
        <v>46112</v>
      </c>
      <c r="I145" s="26">
        <v>3000</v>
      </c>
      <c r="J145" s="39" t="s">
        <v>347</v>
      </c>
      <c r="K145" s="39" t="s">
        <v>354</v>
      </c>
      <c r="L145" s="39" t="s">
        <v>356</v>
      </c>
      <c r="M145" s="36">
        <v>9000</v>
      </c>
      <c r="N145" s="38">
        <v>46053</v>
      </c>
      <c r="O145" s="38">
        <v>46112</v>
      </c>
      <c r="P145" s="6"/>
    </row>
    <row r="146" spans="2:16" x14ac:dyDescent="0.25">
      <c r="B146" s="11" t="s">
        <v>97</v>
      </c>
      <c r="C146" s="11" t="s">
        <v>8</v>
      </c>
      <c r="D146" s="3" t="s">
        <v>24</v>
      </c>
      <c r="E146" s="6" t="s">
        <v>25</v>
      </c>
      <c r="F146" s="4">
        <v>7500</v>
      </c>
      <c r="G146" s="35">
        <v>46053</v>
      </c>
      <c r="H146" s="35">
        <v>46112</v>
      </c>
      <c r="I146" s="26">
        <v>2500</v>
      </c>
      <c r="J146" s="41" t="s">
        <v>349</v>
      </c>
      <c r="K146" s="41"/>
      <c r="L146" s="41"/>
      <c r="M146" s="36">
        <v>7500</v>
      </c>
      <c r="N146" s="38">
        <v>46053</v>
      </c>
      <c r="O146" s="38">
        <v>46112</v>
      </c>
      <c r="P146" s="6"/>
    </row>
    <row r="147" spans="2:16" x14ac:dyDescent="0.25">
      <c r="B147" s="11" t="s">
        <v>97</v>
      </c>
      <c r="C147" s="11" t="s">
        <v>8</v>
      </c>
      <c r="D147" s="3" t="s">
        <v>18</v>
      </c>
      <c r="E147" s="6" t="s">
        <v>100</v>
      </c>
      <c r="F147" s="4">
        <v>8000</v>
      </c>
      <c r="G147" s="35">
        <v>46053</v>
      </c>
      <c r="H147" s="35">
        <v>46112</v>
      </c>
      <c r="I147" s="26">
        <v>2666.6666666666665</v>
      </c>
      <c r="J147" s="39" t="s">
        <v>346</v>
      </c>
      <c r="K147" s="39"/>
      <c r="L147" s="39"/>
      <c r="M147" s="36">
        <v>8000</v>
      </c>
      <c r="N147" s="38">
        <v>46053</v>
      </c>
      <c r="O147" s="38">
        <v>46112</v>
      </c>
      <c r="P147" s="6"/>
    </row>
    <row r="148" spans="2:16" x14ac:dyDescent="0.25">
      <c r="B148" s="11" t="s">
        <v>97</v>
      </c>
      <c r="C148" s="11" t="s">
        <v>8</v>
      </c>
      <c r="D148" s="3" t="s">
        <v>18</v>
      </c>
      <c r="E148" s="6" t="s">
        <v>101</v>
      </c>
      <c r="F148" s="4">
        <v>5000</v>
      </c>
      <c r="G148" s="35">
        <v>46053</v>
      </c>
      <c r="H148" s="35">
        <v>46112</v>
      </c>
      <c r="I148" s="26">
        <v>1666.6666666666667</v>
      </c>
      <c r="J148" s="39" t="s">
        <v>347</v>
      </c>
      <c r="K148" s="39" t="s">
        <v>354</v>
      </c>
      <c r="L148" s="39" t="s">
        <v>356</v>
      </c>
      <c r="M148" s="36">
        <v>5000</v>
      </c>
      <c r="N148" s="38">
        <v>46053</v>
      </c>
      <c r="O148" s="38">
        <v>46112</v>
      </c>
      <c r="P148" s="6"/>
    </row>
    <row r="149" spans="2:16" x14ac:dyDescent="0.25">
      <c r="B149" s="11" t="s">
        <v>97</v>
      </c>
      <c r="C149" s="11" t="s">
        <v>8</v>
      </c>
      <c r="D149" s="3" t="s">
        <v>18</v>
      </c>
      <c r="E149" s="6" t="s">
        <v>147</v>
      </c>
      <c r="F149" s="4">
        <v>20000</v>
      </c>
      <c r="G149" s="35">
        <v>46142</v>
      </c>
      <c r="H149" s="35">
        <v>46203</v>
      </c>
      <c r="I149" s="26">
        <v>6666.666666666667</v>
      </c>
      <c r="J149" s="39" t="s">
        <v>347</v>
      </c>
      <c r="K149" s="39" t="s">
        <v>354</v>
      </c>
      <c r="L149" s="39" t="s">
        <v>356</v>
      </c>
      <c r="M149" s="36">
        <v>20000</v>
      </c>
      <c r="N149" s="38">
        <v>46142</v>
      </c>
      <c r="O149" s="38">
        <v>46203</v>
      </c>
      <c r="P149" s="6"/>
    </row>
    <row r="150" spans="2:16" x14ac:dyDescent="0.25">
      <c r="B150" s="11" t="s">
        <v>97</v>
      </c>
      <c r="C150" s="11" t="s">
        <v>8</v>
      </c>
      <c r="D150" s="3" t="s">
        <v>38</v>
      </c>
      <c r="E150" s="6" t="s">
        <v>38</v>
      </c>
      <c r="F150" s="4">
        <v>15000</v>
      </c>
      <c r="G150" s="35">
        <v>46142</v>
      </c>
      <c r="H150" s="35">
        <v>46203</v>
      </c>
      <c r="I150" s="26">
        <v>5000</v>
      </c>
      <c r="J150" s="39" t="s">
        <v>347</v>
      </c>
      <c r="K150" s="39" t="s">
        <v>354</v>
      </c>
      <c r="L150" s="39" t="s">
        <v>356</v>
      </c>
      <c r="M150" s="36">
        <v>15000</v>
      </c>
      <c r="N150" s="38">
        <v>46142</v>
      </c>
      <c r="O150" s="38">
        <v>46203</v>
      </c>
      <c r="P150" s="6"/>
    </row>
    <row r="151" spans="2:16" x14ac:dyDescent="0.25">
      <c r="B151" s="11" t="s">
        <v>97</v>
      </c>
      <c r="C151" s="11" t="s">
        <v>8</v>
      </c>
      <c r="D151" s="3" t="s">
        <v>26</v>
      </c>
      <c r="E151" s="6" t="s">
        <v>27</v>
      </c>
      <c r="F151" s="4">
        <v>25000</v>
      </c>
      <c r="G151" s="35">
        <v>46142</v>
      </c>
      <c r="H151" s="35">
        <v>46203</v>
      </c>
      <c r="I151" s="26">
        <v>8333.3333333333339</v>
      </c>
      <c r="J151" s="39" t="s">
        <v>347</v>
      </c>
      <c r="K151" s="39" t="s">
        <v>353</v>
      </c>
      <c r="L151" s="39" t="s">
        <v>356</v>
      </c>
      <c r="M151" s="36">
        <v>25000</v>
      </c>
      <c r="N151" s="38">
        <v>46142</v>
      </c>
      <c r="O151" s="38">
        <v>46203</v>
      </c>
      <c r="P151" s="6"/>
    </row>
    <row r="152" spans="2:16" x14ac:dyDescent="0.25">
      <c r="B152" s="11" t="s">
        <v>102</v>
      </c>
      <c r="C152" s="11" t="s">
        <v>8</v>
      </c>
      <c r="D152" s="3" t="s">
        <v>26</v>
      </c>
      <c r="E152" s="6" t="s">
        <v>27</v>
      </c>
      <c r="F152" s="4">
        <v>20000</v>
      </c>
      <c r="G152" s="35">
        <v>46053</v>
      </c>
      <c r="H152" s="35">
        <v>46112</v>
      </c>
      <c r="I152" s="26">
        <v>6666.666666666667</v>
      </c>
      <c r="J152" s="39" t="s">
        <v>347</v>
      </c>
      <c r="K152" s="39" t="s">
        <v>353</v>
      </c>
      <c r="L152" s="39" t="s">
        <v>356</v>
      </c>
      <c r="M152" s="36">
        <v>20000</v>
      </c>
      <c r="N152" s="38">
        <v>46053</v>
      </c>
      <c r="O152" s="38">
        <v>46112</v>
      </c>
      <c r="P152" s="6"/>
    </row>
    <row r="153" spans="2:16" x14ac:dyDescent="0.25">
      <c r="B153" s="11" t="s">
        <v>102</v>
      </c>
      <c r="C153" s="11" t="s">
        <v>8</v>
      </c>
      <c r="D153" s="3" t="s">
        <v>9</v>
      </c>
      <c r="E153" s="6" t="s">
        <v>148</v>
      </c>
      <c r="F153" s="4">
        <v>10000</v>
      </c>
      <c r="G153" s="35">
        <v>46142</v>
      </c>
      <c r="H153" s="35">
        <v>46203</v>
      </c>
      <c r="I153" s="26">
        <v>3333.3333333333335</v>
      </c>
      <c r="J153" s="39" t="s">
        <v>347</v>
      </c>
      <c r="K153" s="39" t="s">
        <v>353</v>
      </c>
      <c r="L153" s="39" t="s">
        <v>356</v>
      </c>
      <c r="M153" s="36">
        <v>10000</v>
      </c>
      <c r="N153" s="38">
        <v>46142</v>
      </c>
      <c r="O153" s="38">
        <v>46203</v>
      </c>
      <c r="P153" s="6"/>
    </row>
    <row r="154" spans="2:16" x14ac:dyDescent="0.25">
      <c r="B154" s="11" t="s">
        <v>102</v>
      </c>
      <c r="C154" s="11" t="s">
        <v>8</v>
      </c>
      <c r="D154" s="3" t="s">
        <v>18</v>
      </c>
      <c r="E154" s="6" t="s">
        <v>230</v>
      </c>
      <c r="F154" s="4">
        <v>40000</v>
      </c>
      <c r="G154" s="35">
        <v>46326</v>
      </c>
      <c r="H154" s="35">
        <v>46387</v>
      </c>
      <c r="I154" s="26">
        <v>13333.333333333334</v>
      </c>
      <c r="J154" s="39" t="s">
        <v>347</v>
      </c>
      <c r="K154" s="39" t="s">
        <v>354</v>
      </c>
      <c r="L154" s="39" t="s">
        <v>356</v>
      </c>
      <c r="M154" s="36">
        <v>40000</v>
      </c>
      <c r="N154" s="38">
        <v>46326</v>
      </c>
      <c r="O154" s="38">
        <v>46387</v>
      </c>
      <c r="P154" s="6"/>
    </row>
    <row r="155" spans="2:16" x14ac:dyDescent="0.25">
      <c r="B155" s="11" t="s">
        <v>103</v>
      </c>
      <c r="C155" s="11" t="s">
        <v>8</v>
      </c>
      <c r="D155" s="3" t="s">
        <v>26</v>
      </c>
      <c r="E155" s="6" t="s">
        <v>104</v>
      </c>
      <c r="F155" s="4">
        <v>30000</v>
      </c>
      <c r="G155" s="35">
        <v>46053</v>
      </c>
      <c r="H155" s="35">
        <v>46112</v>
      </c>
      <c r="I155" s="26">
        <v>10000</v>
      </c>
      <c r="J155" s="39" t="s">
        <v>347</v>
      </c>
      <c r="K155" s="39" t="s">
        <v>353</v>
      </c>
      <c r="L155" s="39" t="s">
        <v>356</v>
      </c>
      <c r="M155" s="36">
        <v>30000</v>
      </c>
      <c r="N155" s="38">
        <v>46053</v>
      </c>
      <c r="O155" s="38">
        <v>46112</v>
      </c>
      <c r="P155" s="6"/>
    </row>
    <row r="156" spans="2:16" x14ac:dyDescent="0.25">
      <c r="B156" s="11" t="s">
        <v>103</v>
      </c>
      <c r="C156" s="11" t="s">
        <v>8</v>
      </c>
      <c r="D156" s="3" t="s">
        <v>9</v>
      </c>
      <c r="E156" s="6" t="s">
        <v>105</v>
      </c>
      <c r="F156" s="4">
        <v>20000</v>
      </c>
      <c r="G156" s="35">
        <v>46053</v>
      </c>
      <c r="H156" s="35">
        <v>46112</v>
      </c>
      <c r="I156" s="26">
        <v>6666.666666666667</v>
      </c>
      <c r="J156" s="39" t="s">
        <v>346</v>
      </c>
      <c r="K156" s="39"/>
      <c r="L156" s="39"/>
      <c r="M156" s="36">
        <v>20000</v>
      </c>
      <c r="N156" s="38">
        <v>46053</v>
      </c>
      <c r="O156" s="38">
        <v>46112</v>
      </c>
      <c r="P156" s="6"/>
    </row>
    <row r="157" spans="2:16" x14ac:dyDescent="0.25">
      <c r="B157" s="11" t="s">
        <v>103</v>
      </c>
      <c r="C157" s="11" t="s">
        <v>8</v>
      </c>
      <c r="D157" s="3" t="s">
        <v>24</v>
      </c>
      <c r="E157" s="6" t="s">
        <v>76</v>
      </c>
      <c r="F157" s="4">
        <v>7500</v>
      </c>
      <c r="G157" s="35">
        <v>46142</v>
      </c>
      <c r="H157" s="35">
        <v>46203</v>
      </c>
      <c r="I157" s="26">
        <v>2500</v>
      </c>
      <c r="J157" s="41" t="s">
        <v>349</v>
      </c>
      <c r="K157" s="41"/>
      <c r="L157" s="41"/>
      <c r="M157" s="36">
        <v>7500</v>
      </c>
      <c r="N157" s="38">
        <v>46142</v>
      </c>
      <c r="O157" s="38">
        <v>46203</v>
      </c>
      <c r="P157" s="6"/>
    </row>
    <row r="158" spans="2:16" x14ac:dyDescent="0.25">
      <c r="B158" s="11" t="s">
        <v>7</v>
      </c>
      <c r="C158" s="11" t="s">
        <v>8</v>
      </c>
      <c r="D158" s="3" t="s">
        <v>9</v>
      </c>
      <c r="E158" s="3" t="s">
        <v>10</v>
      </c>
      <c r="F158" s="4">
        <v>10000</v>
      </c>
      <c r="G158" s="35">
        <v>45961</v>
      </c>
      <c r="H158" s="35">
        <v>46022</v>
      </c>
      <c r="I158" s="26">
        <v>3333.3333333333335</v>
      </c>
      <c r="J158" s="39" t="s">
        <v>346</v>
      </c>
      <c r="K158" s="39"/>
      <c r="L158" s="39"/>
      <c r="M158" s="36">
        <v>10000</v>
      </c>
      <c r="N158" s="38">
        <v>45961</v>
      </c>
      <c r="O158" s="38">
        <v>46022</v>
      </c>
      <c r="P158" s="3"/>
    </row>
    <row r="159" spans="2:16" x14ac:dyDescent="0.25">
      <c r="B159" s="11" t="s">
        <v>7</v>
      </c>
      <c r="C159" s="11" t="s">
        <v>8</v>
      </c>
      <c r="D159" s="3" t="s">
        <v>26</v>
      </c>
      <c r="E159" s="6" t="s">
        <v>27</v>
      </c>
      <c r="F159" s="4">
        <v>20000</v>
      </c>
      <c r="G159" s="35">
        <v>46053</v>
      </c>
      <c r="H159" s="35">
        <v>46112</v>
      </c>
      <c r="I159" s="26">
        <v>6666.666666666667</v>
      </c>
      <c r="J159" s="39" t="s">
        <v>347</v>
      </c>
      <c r="K159" s="39" t="s">
        <v>353</v>
      </c>
      <c r="L159" s="39" t="s">
        <v>356</v>
      </c>
      <c r="M159" s="36">
        <v>20000</v>
      </c>
      <c r="N159" s="38">
        <v>46053</v>
      </c>
      <c r="O159" s="38">
        <v>46112</v>
      </c>
      <c r="P159" s="6"/>
    </row>
    <row r="160" spans="2:16" x14ac:dyDescent="0.25">
      <c r="B160" s="11" t="s">
        <v>7</v>
      </c>
      <c r="C160" s="11" t="s">
        <v>8</v>
      </c>
      <c r="D160" s="3" t="s">
        <v>18</v>
      </c>
      <c r="E160" s="6" t="s">
        <v>100</v>
      </c>
      <c r="F160" s="4">
        <v>8000</v>
      </c>
      <c r="G160" s="35">
        <v>46053</v>
      </c>
      <c r="H160" s="35">
        <v>46112</v>
      </c>
      <c r="I160" s="26">
        <v>2666.6666666666665</v>
      </c>
      <c r="J160" s="39" t="s">
        <v>346</v>
      </c>
      <c r="K160" s="39"/>
      <c r="L160" s="39"/>
      <c r="M160" s="36">
        <v>8000</v>
      </c>
      <c r="N160" s="38">
        <v>46053</v>
      </c>
      <c r="O160" s="38">
        <v>46112</v>
      </c>
      <c r="P160" s="6"/>
    </row>
    <row r="161" spans="2:16" x14ac:dyDescent="0.25">
      <c r="B161" s="11" t="s">
        <v>7</v>
      </c>
      <c r="C161" s="11" t="s">
        <v>8</v>
      </c>
      <c r="D161" s="3" t="s">
        <v>9</v>
      </c>
      <c r="E161" s="6" t="s">
        <v>149</v>
      </c>
      <c r="F161" s="4">
        <v>20000</v>
      </c>
      <c r="G161" s="35">
        <v>46142</v>
      </c>
      <c r="H161" s="35">
        <v>46203</v>
      </c>
      <c r="I161" s="26">
        <v>6666.666666666667</v>
      </c>
      <c r="J161" s="39" t="s">
        <v>347</v>
      </c>
      <c r="K161" s="39" t="s">
        <v>354</v>
      </c>
      <c r="L161" s="39" t="s">
        <v>356</v>
      </c>
      <c r="M161" s="36">
        <v>20000</v>
      </c>
      <c r="N161" s="38">
        <v>46142</v>
      </c>
      <c r="O161" s="38">
        <v>46203</v>
      </c>
      <c r="P161" s="6"/>
    </row>
    <row r="162" spans="2:16" x14ac:dyDescent="0.25">
      <c r="B162" s="11" t="s">
        <v>7</v>
      </c>
      <c r="C162" s="11" t="s">
        <v>8</v>
      </c>
      <c r="D162" s="3" t="s">
        <v>22</v>
      </c>
      <c r="E162" s="6" t="s">
        <v>150</v>
      </c>
      <c r="F162" s="4">
        <v>477000</v>
      </c>
      <c r="G162" s="35">
        <v>46142</v>
      </c>
      <c r="H162" s="35">
        <v>46326</v>
      </c>
      <c r="I162" s="26">
        <v>68142.857142857145</v>
      </c>
      <c r="J162" s="39" t="s">
        <v>347</v>
      </c>
      <c r="K162" s="39" t="s">
        <v>354</v>
      </c>
      <c r="L162" s="39" t="s">
        <v>356</v>
      </c>
      <c r="M162" s="36">
        <v>477000</v>
      </c>
      <c r="N162" s="38">
        <v>46142</v>
      </c>
      <c r="O162" s="38">
        <v>46326</v>
      </c>
      <c r="P162" s="6"/>
    </row>
    <row r="163" spans="2:16" x14ac:dyDescent="0.25">
      <c r="B163" s="11" t="s">
        <v>7</v>
      </c>
      <c r="C163" s="11" t="s">
        <v>8</v>
      </c>
      <c r="D163" s="3" t="s">
        <v>12</v>
      </c>
      <c r="E163" s="6" t="s">
        <v>68</v>
      </c>
      <c r="F163" s="4">
        <v>60000</v>
      </c>
      <c r="G163" s="35">
        <v>46142</v>
      </c>
      <c r="H163" s="35">
        <v>46203</v>
      </c>
      <c r="I163" s="26">
        <v>20000</v>
      </c>
      <c r="J163" s="39" t="s">
        <v>347</v>
      </c>
      <c r="K163" s="39" t="s">
        <v>354</v>
      </c>
      <c r="L163" s="39" t="s">
        <v>356</v>
      </c>
      <c r="M163" s="36">
        <v>60000</v>
      </c>
      <c r="N163" s="38">
        <v>46142</v>
      </c>
      <c r="O163" s="38">
        <v>46203</v>
      </c>
      <c r="P163" s="6"/>
    </row>
    <row r="164" spans="2:16" x14ac:dyDescent="0.25">
      <c r="B164" s="11" t="s">
        <v>7</v>
      </c>
      <c r="C164" s="11" t="s">
        <v>8</v>
      </c>
      <c r="D164" s="3" t="s">
        <v>17</v>
      </c>
      <c r="E164" s="6"/>
      <c r="F164" s="4"/>
      <c r="G164" s="35"/>
      <c r="H164" s="35"/>
      <c r="I164" s="26"/>
      <c r="J164" s="39" t="s">
        <v>348</v>
      </c>
      <c r="K164" s="39" t="s">
        <v>354</v>
      </c>
      <c r="L164" s="39" t="s">
        <v>356</v>
      </c>
      <c r="M164" s="36">
        <v>25000</v>
      </c>
      <c r="N164" s="38">
        <v>46142</v>
      </c>
      <c r="O164" s="38">
        <v>46203</v>
      </c>
      <c r="P164" s="6"/>
    </row>
    <row r="165" spans="2:16" x14ac:dyDescent="0.25">
      <c r="B165" s="11" t="s">
        <v>106</v>
      </c>
      <c r="C165" s="11" t="s">
        <v>8</v>
      </c>
      <c r="D165" s="3" t="s">
        <v>24</v>
      </c>
      <c r="E165" s="6" t="s">
        <v>24</v>
      </c>
      <c r="F165" s="4">
        <v>8000</v>
      </c>
      <c r="G165" s="35">
        <v>46053</v>
      </c>
      <c r="H165" s="35">
        <v>46112</v>
      </c>
      <c r="I165" s="26">
        <v>2666.6666666666665</v>
      </c>
      <c r="J165" s="41" t="s">
        <v>349</v>
      </c>
      <c r="K165" s="41"/>
      <c r="L165" s="41"/>
      <c r="M165" s="36">
        <v>8000</v>
      </c>
      <c r="N165" s="38">
        <v>46053</v>
      </c>
      <c r="O165" s="38">
        <v>46112</v>
      </c>
      <c r="P165" s="6"/>
    </row>
    <row r="166" spans="2:16" x14ac:dyDescent="0.25">
      <c r="B166" s="11" t="s">
        <v>106</v>
      </c>
      <c r="C166" s="11" t="s">
        <v>8</v>
      </c>
      <c r="D166" s="3" t="s">
        <v>26</v>
      </c>
      <c r="E166" s="6" t="s">
        <v>27</v>
      </c>
      <c r="F166" s="4">
        <v>10000</v>
      </c>
      <c r="G166" s="35">
        <v>46053</v>
      </c>
      <c r="H166" s="35">
        <v>46112</v>
      </c>
      <c r="I166" s="26">
        <v>3333.3333333333335</v>
      </c>
      <c r="J166" s="39" t="s">
        <v>347</v>
      </c>
      <c r="K166" s="39" t="s">
        <v>353</v>
      </c>
      <c r="L166" s="39" t="s">
        <v>356</v>
      </c>
      <c r="M166" s="36">
        <v>10000</v>
      </c>
      <c r="N166" s="38">
        <v>46053</v>
      </c>
      <c r="O166" s="38">
        <v>46112</v>
      </c>
      <c r="P166" s="6"/>
    </row>
    <row r="167" spans="2:16" x14ac:dyDescent="0.25">
      <c r="B167" s="11" t="s">
        <v>106</v>
      </c>
      <c r="C167" s="11" t="s">
        <v>8</v>
      </c>
      <c r="D167" s="3" t="s">
        <v>18</v>
      </c>
      <c r="E167" s="6" t="s">
        <v>193</v>
      </c>
      <c r="F167" s="4">
        <v>8000</v>
      </c>
      <c r="G167" s="35">
        <v>46234</v>
      </c>
      <c r="H167" s="35">
        <v>46295</v>
      </c>
      <c r="I167" s="26">
        <v>2666.6666666666665</v>
      </c>
      <c r="J167" s="39" t="s">
        <v>349</v>
      </c>
      <c r="K167" s="39"/>
      <c r="L167" s="39"/>
      <c r="M167" s="36">
        <v>8000</v>
      </c>
      <c r="N167" s="38">
        <v>46234</v>
      </c>
      <c r="O167" s="38">
        <v>46295</v>
      </c>
      <c r="P167" s="6"/>
    </row>
    <row r="168" spans="2:16" x14ac:dyDescent="0.25">
      <c r="B168" s="11" t="s">
        <v>106</v>
      </c>
      <c r="C168" s="11" t="s">
        <v>8</v>
      </c>
      <c r="D168" s="3" t="s">
        <v>74</v>
      </c>
      <c r="E168" s="6" t="s">
        <v>369</v>
      </c>
      <c r="F168" s="4"/>
      <c r="G168" s="35"/>
      <c r="H168" s="35"/>
      <c r="I168" s="26"/>
      <c r="J168" s="39" t="s">
        <v>348</v>
      </c>
      <c r="K168" s="39"/>
      <c r="L168" s="39"/>
      <c r="M168" s="36">
        <v>8000</v>
      </c>
      <c r="N168" s="38">
        <v>46234</v>
      </c>
      <c r="O168" s="38">
        <v>46295</v>
      </c>
      <c r="P168" s="6"/>
    </row>
    <row r="169" spans="2:16" x14ac:dyDescent="0.25">
      <c r="B169" s="11" t="s">
        <v>88</v>
      </c>
      <c r="C169" s="11" t="s">
        <v>8</v>
      </c>
      <c r="D169" s="3" t="s">
        <v>26</v>
      </c>
      <c r="E169" s="6" t="s">
        <v>27</v>
      </c>
      <c r="F169" s="4">
        <v>25000</v>
      </c>
      <c r="G169" s="35">
        <v>46053</v>
      </c>
      <c r="H169" s="35">
        <v>46112</v>
      </c>
      <c r="I169" s="26">
        <v>8333.3333333333339</v>
      </c>
      <c r="J169" s="39" t="s">
        <v>347</v>
      </c>
      <c r="K169" s="39" t="s">
        <v>353</v>
      </c>
      <c r="L169" s="39" t="s">
        <v>356</v>
      </c>
      <c r="M169" s="36">
        <v>25000</v>
      </c>
      <c r="N169" s="38">
        <v>46053</v>
      </c>
      <c r="O169" s="38">
        <v>46112</v>
      </c>
      <c r="P169" s="6"/>
    </row>
    <row r="170" spans="2:16" x14ac:dyDescent="0.25">
      <c r="B170" s="11" t="s">
        <v>88</v>
      </c>
      <c r="C170" s="11" t="s">
        <v>8</v>
      </c>
      <c r="D170" s="3" t="s">
        <v>24</v>
      </c>
      <c r="E170" s="6" t="s">
        <v>24</v>
      </c>
      <c r="F170" s="4">
        <v>8000</v>
      </c>
      <c r="G170" s="35">
        <v>46053</v>
      </c>
      <c r="H170" s="35">
        <v>46112</v>
      </c>
      <c r="I170" s="26">
        <v>2666.6666666666665</v>
      </c>
      <c r="J170" s="41" t="s">
        <v>349</v>
      </c>
      <c r="K170" s="41"/>
      <c r="L170" s="41"/>
      <c r="M170" s="36">
        <v>8000</v>
      </c>
      <c r="N170" s="38">
        <v>46053</v>
      </c>
      <c r="O170" s="38">
        <v>46112</v>
      </c>
      <c r="P170" s="6"/>
    </row>
    <row r="171" spans="2:16" x14ac:dyDescent="0.25">
      <c r="B171" s="11" t="s">
        <v>88</v>
      </c>
      <c r="C171" s="11" t="s">
        <v>8</v>
      </c>
      <c r="D171" s="3" t="s">
        <v>9</v>
      </c>
      <c r="E171" s="6" t="s">
        <v>192</v>
      </c>
      <c r="F171" s="4">
        <v>50000</v>
      </c>
      <c r="G171" s="35">
        <v>46234</v>
      </c>
      <c r="H171" s="35">
        <v>46295</v>
      </c>
      <c r="I171" s="26">
        <v>16666.666666666668</v>
      </c>
      <c r="J171" s="39" t="s">
        <v>349</v>
      </c>
      <c r="K171" s="39"/>
      <c r="L171" s="39"/>
      <c r="M171" s="36">
        <v>50000</v>
      </c>
      <c r="N171" s="38">
        <v>46234</v>
      </c>
      <c r="O171" s="38">
        <v>46295</v>
      </c>
      <c r="P171" s="6"/>
    </row>
    <row r="172" spans="2:16" x14ac:dyDescent="0.25">
      <c r="B172" s="11" t="s">
        <v>151</v>
      </c>
      <c r="C172" s="11" t="s">
        <v>8</v>
      </c>
      <c r="D172" s="3" t="s">
        <v>24</v>
      </c>
      <c r="E172" s="6" t="s">
        <v>24</v>
      </c>
      <c r="F172" s="4">
        <v>15000</v>
      </c>
      <c r="G172" s="35">
        <v>46142</v>
      </c>
      <c r="H172" s="35">
        <v>46203</v>
      </c>
      <c r="I172" s="26">
        <v>5000</v>
      </c>
      <c r="J172" s="41" t="s">
        <v>349</v>
      </c>
      <c r="K172" s="41"/>
      <c r="L172" s="41"/>
      <c r="M172" s="36">
        <v>15000</v>
      </c>
      <c r="N172" s="38">
        <v>46142</v>
      </c>
      <c r="O172" s="38">
        <v>46203</v>
      </c>
      <c r="P172" s="6"/>
    </row>
    <row r="173" spans="2:16" x14ac:dyDescent="0.25">
      <c r="B173" s="11" t="s">
        <v>151</v>
      </c>
      <c r="C173" s="11" t="s">
        <v>8</v>
      </c>
      <c r="D173" s="3" t="s">
        <v>17</v>
      </c>
      <c r="E173" s="6" t="s">
        <v>17</v>
      </c>
      <c r="F173" s="4">
        <v>5000</v>
      </c>
      <c r="G173" s="35">
        <v>46203</v>
      </c>
      <c r="H173" s="35">
        <v>46265</v>
      </c>
      <c r="I173" s="26">
        <v>1666.6666666666667</v>
      </c>
      <c r="J173" s="39" t="s">
        <v>347</v>
      </c>
      <c r="K173" s="39" t="s">
        <v>354</v>
      </c>
      <c r="L173" s="39" t="s">
        <v>356</v>
      </c>
      <c r="M173" s="36">
        <v>5000</v>
      </c>
      <c r="N173" s="38">
        <v>46203</v>
      </c>
      <c r="O173" s="38">
        <v>46265</v>
      </c>
      <c r="P173" s="6"/>
    </row>
    <row r="174" spans="2:16" x14ac:dyDescent="0.25">
      <c r="B174" s="11" t="s">
        <v>151</v>
      </c>
      <c r="C174" s="11" t="s">
        <v>8</v>
      </c>
      <c r="D174" s="3" t="s">
        <v>22</v>
      </c>
      <c r="E174" s="6" t="s">
        <v>194</v>
      </c>
      <c r="F174" s="4">
        <v>30000</v>
      </c>
      <c r="G174" s="35">
        <v>46234</v>
      </c>
      <c r="H174" s="35">
        <v>46295</v>
      </c>
      <c r="I174" s="26">
        <v>10000</v>
      </c>
      <c r="J174" s="39" t="s">
        <v>346</v>
      </c>
      <c r="K174" s="39"/>
      <c r="L174" s="39"/>
      <c r="M174" s="36">
        <v>30000</v>
      </c>
      <c r="N174" s="38">
        <v>46234</v>
      </c>
      <c r="O174" s="38">
        <v>46295</v>
      </c>
      <c r="P174" s="6"/>
    </row>
    <row r="175" spans="2:16" x14ac:dyDescent="0.25">
      <c r="B175" s="11" t="s">
        <v>151</v>
      </c>
      <c r="C175" s="11" t="s">
        <v>8</v>
      </c>
      <c r="D175" s="3" t="s">
        <v>9</v>
      </c>
      <c r="E175" s="6" t="s">
        <v>10</v>
      </c>
      <c r="F175" s="4">
        <v>10000</v>
      </c>
      <c r="G175" s="35">
        <v>46234</v>
      </c>
      <c r="H175" s="35">
        <v>46295</v>
      </c>
      <c r="I175" s="26">
        <v>3333.3333333333335</v>
      </c>
      <c r="J175" s="39" t="s">
        <v>347</v>
      </c>
      <c r="K175" s="39" t="s">
        <v>353</v>
      </c>
      <c r="L175" s="39" t="s">
        <v>356</v>
      </c>
      <c r="M175" s="36">
        <v>10000</v>
      </c>
      <c r="N175" s="38">
        <v>46234</v>
      </c>
      <c r="O175" s="38">
        <v>46295</v>
      </c>
      <c r="P175" s="6"/>
    </row>
    <row r="176" spans="2:16" x14ac:dyDescent="0.25">
      <c r="B176" s="11" t="s">
        <v>151</v>
      </c>
      <c r="C176" s="11" t="s">
        <v>8</v>
      </c>
      <c r="D176" s="3" t="s">
        <v>18</v>
      </c>
      <c r="E176" s="6" t="s">
        <v>195</v>
      </c>
      <c r="F176" s="4">
        <v>5000</v>
      </c>
      <c r="G176" s="35">
        <v>46234</v>
      </c>
      <c r="H176" s="35">
        <v>46295</v>
      </c>
      <c r="I176" s="26">
        <v>1666.6666666666667</v>
      </c>
      <c r="J176" s="39" t="s">
        <v>347</v>
      </c>
      <c r="K176" s="39" t="s">
        <v>353</v>
      </c>
      <c r="L176" s="39" t="s">
        <v>357</v>
      </c>
      <c r="M176" s="36">
        <v>5000</v>
      </c>
      <c r="N176" s="38">
        <v>46234</v>
      </c>
      <c r="O176" s="38">
        <v>46295</v>
      </c>
      <c r="P176" s="6"/>
    </row>
    <row r="177" spans="2:16" x14ac:dyDescent="0.25">
      <c r="B177" s="11" t="s">
        <v>151</v>
      </c>
      <c r="C177" s="11" t="s">
        <v>8</v>
      </c>
      <c r="D177" s="3" t="s">
        <v>18</v>
      </c>
      <c r="E177" s="6" t="s">
        <v>196</v>
      </c>
      <c r="F177" s="4">
        <v>10000</v>
      </c>
      <c r="G177" s="35">
        <v>46234</v>
      </c>
      <c r="H177" s="35">
        <v>46295</v>
      </c>
      <c r="I177" s="26">
        <v>3333.3333333333335</v>
      </c>
      <c r="J177" s="39" t="s">
        <v>347</v>
      </c>
      <c r="K177" s="39" t="s">
        <v>354</v>
      </c>
      <c r="L177" s="39" t="s">
        <v>356</v>
      </c>
      <c r="M177" s="36">
        <v>10000</v>
      </c>
      <c r="N177" s="38">
        <v>46234</v>
      </c>
      <c r="O177" s="38">
        <v>46295</v>
      </c>
      <c r="P177" s="6"/>
    </row>
    <row r="178" spans="2:16" x14ac:dyDescent="0.25">
      <c r="B178" s="11" t="s">
        <v>151</v>
      </c>
      <c r="C178" s="11" t="s">
        <v>8</v>
      </c>
      <c r="D178" s="3" t="s">
        <v>58</v>
      </c>
      <c r="E178" s="6" t="s">
        <v>215</v>
      </c>
      <c r="F178" s="4">
        <v>30000</v>
      </c>
      <c r="G178" s="35">
        <v>46295</v>
      </c>
      <c r="H178" s="35">
        <v>46356</v>
      </c>
      <c r="I178" s="26">
        <v>10000</v>
      </c>
      <c r="J178" s="39" t="s">
        <v>349</v>
      </c>
      <c r="K178" s="39"/>
      <c r="L178" s="39"/>
      <c r="M178" s="36">
        <v>30000</v>
      </c>
      <c r="N178" s="38">
        <v>46295</v>
      </c>
      <c r="O178" s="38">
        <v>46356</v>
      </c>
      <c r="P178" s="6"/>
    </row>
    <row r="179" spans="2:16" x14ac:dyDescent="0.25">
      <c r="B179" s="11" t="s">
        <v>151</v>
      </c>
      <c r="C179" s="11" t="s">
        <v>8</v>
      </c>
      <c r="D179" s="3" t="s">
        <v>54</v>
      </c>
      <c r="E179" s="6" t="s">
        <v>216</v>
      </c>
      <c r="F179" s="4">
        <v>95000</v>
      </c>
      <c r="G179" s="35">
        <v>46295</v>
      </c>
      <c r="H179" s="35">
        <v>46356</v>
      </c>
      <c r="I179" s="26">
        <v>31666.666666666668</v>
      </c>
      <c r="J179" s="39" t="s">
        <v>346</v>
      </c>
      <c r="K179" s="39"/>
      <c r="L179" s="39"/>
      <c r="M179" s="36">
        <v>95000</v>
      </c>
      <c r="N179" s="38">
        <v>46295</v>
      </c>
      <c r="O179" s="38">
        <v>46356</v>
      </c>
      <c r="P179" s="6"/>
    </row>
    <row r="180" spans="2:16" x14ac:dyDescent="0.25">
      <c r="B180" s="11" t="s">
        <v>107</v>
      </c>
      <c r="C180" s="11" t="s">
        <v>8</v>
      </c>
      <c r="D180" s="3" t="s">
        <v>18</v>
      </c>
      <c r="E180" s="6" t="s">
        <v>108</v>
      </c>
      <c r="F180" s="4">
        <v>6000</v>
      </c>
      <c r="G180" s="35">
        <v>46053</v>
      </c>
      <c r="H180" s="35">
        <v>46112</v>
      </c>
      <c r="I180" s="26">
        <v>2000</v>
      </c>
      <c r="J180" s="39" t="s">
        <v>347</v>
      </c>
      <c r="K180" s="39" t="s">
        <v>353</v>
      </c>
      <c r="L180" s="39" t="s">
        <v>357</v>
      </c>
      <c r="M180" s="36">
        <v>6000</v>
      </c>
      <c r="N180" s="38">
        <v>46053</v>
      </c>
      <c r="O180" s="38">
        <v>46112</v>
      </c>
      <c r="P180" s="6"/>
    </row>
    <row r="181" spans="2:16" x14ac:dyDescent="0.25">
      <c r="B181" s="11" t="s">
        <v>107</v>
      </c>
      <c r="C181" s="11" t="s">
        <v>8</v>
      </c>
      <c r="D181" s="3" t="s">
        <v>17</v>
      </c>
      <c r="E181" s="6" t="s">
        <v>109</v>
      </c>
      <c r="F181" s="4">
        <v>7000</v>
      </c>
      <c r="G181" s="35">
        <v>46053</v>
      </c>
      <c r="H181" s="35">
        <v>46112</v>
      </c>
      <c r="I181" s="26">
        <v>2333.3333333333335</v>
      </c>
      <c r="J181" s="39" t="s">
        <v>347</v>
      </c>
      <c r="K181" s="39" t="s">
        <v>353</v>
      </c>
      <c r="L181" s="39" t="s">
        <v>356</v>
      </c>
      <c r="M181" s="36">
        <v>7000</v>
      </c>
      <c r="N181" s="38">
        <v>46053</v>
      </c>
      <c r="O181" s="38">
        <v>46112</v>
      </c>
      <c r="P181" s="6"/>
    </row>
    <row r="182" spans="2:16" x14ac:dyDescent="0.25">
      <c r="B182" s="11" t="s">
        <v>107</v>
      </c>
      <c r="C182" s="11" t="s">
        <v>8</v>
      </c>
      <c r="D182" s="3" t="s">
        <v>26</v>
      </c>
      <c r="E182" s="6" t="s">
        <v>85</v>
      </c>
      <c r="F182" s="4">
        <v>20000</v>
      </c>
      <c r="G182" s="35">
        <v>46142</v>
      </c>
      <c r="H182" s="35">
        <v>46203</v>
      </c>
      <c r="I182" s="26">
        <v>6666.666666666667</v>
      </c>
      <c r="J182" s="39" t="s">
        <v>347</v>
      </c>
      <c r="K182" s="39" t="s">
        <v>353</v>
      </c>
      <c r="L182" s="39" t="s">
        <v>356</v>
      </c>
      <c r="M182" s="36">
        <v>20000</v>
      </c>
      <c r="N182" s="38">
        <v>46142</v>
      </c>
      <c r="O182" s="38">
        <v>46203</v>
      </c>
      <c r="P182" s="6"/>
    </row>
    <row r="183" spans="2:16" x14ac:dyDescent="0.25">
      <c r="B183" s="11" t="s">
        <v>107</v>
      </c>
      <c r="C183" s="11" t="s">
        <v>8</v>
      </c>
      <c r="D183" s="3" t="s">
        <v>18</v>
      </c>
      <c r="E183" s="6" t="s">
        <v>152</v>
      </c>
      <c r="F183" s="4">
        <v>5000</v>
      </c>
      <c r="G183" s="35">
        <v>46142</v>
      </c>
      <c r="H183" s="35">
        <v>46203</v>
      </c>
      <c r="I183" s="26">
        <v>1666.6666666666667</v>
      </c>
      <c r="J183" s="39" t="s">
        <v>347</v>
      </c>
      <c r="K183" s="39" t="s">
        <v>354</v>
      </c>
      <c r="L183" s="39" t="s">
        <v>356</v>
      </c>
      <c r="M183" s="36">
        <v>5000</v>
      </c>
      <c r="N183" s="38">
        <v>46142</v>
      </c>
      <c r="O183" s="38">
        <v>46203</v>
      </c>
      <c r="P183" s="6"/>
    </row>
    <row r="184" spans="2:16" x14ac:dyDescent="0.25">
      <c r="B184" s="11" t="s">
        <v>107</v>
      </c>
      <c r="C184" s="11" t="s">
        <v>8</v>
      </c>
      <c r="D184" s="3" t="s">
        <v>18</v>
      </c>
      <c r="E184" s="6" t="s">
        <v>197</v>
      </c>
      <c r="F184" s="4">
        <v>15000</v>
      </c>
      <c r="G184" s="35">
        <v>46234</v>
      </c>
      <c r="H184" s="35">
        <v>46295</v>
      </c>
      <c r="I184" s="26">
        <v>5000</v>
      </c>
      <c r="J184" s="39" t="s">
        <v>347</v>
      </c>
      <c r="K184" s="39" t="s">
        <v>354</v>
      </c>
      <c r="L184" s="39" t="s">
        <v>356</v>
      </c>
      <c r="M184" s="36">
        <v>15000</v>
      </c>
      <c r="N184" s="38">
        <v>46234</v>
      </c>
      <c r="O184" s="38">
        <v>46295</v>
      </c>
      <c r="P184" s="6"/>
    </row>
    <row r="185" spans="2:16" x14ac:dyDescent="0.25">
      <c r="B185" s="11" t="s">
        <v>110</v>
      </c>
      <c r="C185" s="11" t="s">
        <v>8</v>
      </c>
      <c r="D185" s="3" t="s">
        <v>22</v>
      </c>
      <c r="E185" s="6" t="s">
        <v>111</v>
      </c>
      <c r="F185" s="4">
        <v>5000</v>
      </c>
      <c r="G185" s="35">
        <v>46053</v>
      </c>
      <c r="H185" s="35">
        <v>46112</v>
      </c>
      <c r="I185" s="26">
        <v>1666.6666666666667</v>
      </c>
      <c r="J185" s="39" t="s">
        <v>347</v>
      </c>
      <c r="K185" s="39" t="s">
        <v>353</v>
      </c>
      <c r="L185" s="39" t="s">
        <v>356</v>
      </c>
      <c r="M185" s="36">
        <v>5000</v>
      </c>
      <c r="N185" s="38">
        <v>46053</v>
      </c>
      <c r="O185" s="38">
        <v>46112</v>
      </c>
      <c r="P185" s="6"/>
    </row>
    <row r="186" spans="2:16" x14ac:dyDescent="0.25">
      <c r="B186" s="11" t="s">
        <v>110</v>
      </c>
      <c r="C186" s="11" t="s">
        <v>8</v>
      </c>
      <c r="D186" s="3" t="s">
        <v>18</v>
      </c>
      <c r="E186" s="6" t="s">
        <v>112</v>
      </c>
      <c r="F186" s="4">
        <v>6000</v>
      </c>
      <c r="G186" s="35">
        <v>46053</v>
      </c>
      <c r="H186" s="35">
        <v>46112</v>
      </c>
      <c r="I186" s="26">
        <v>2000</v>
      </c>
      <c r="J186" s="39" t="s">
        <v>346</v>
      </c>
      <c r="K186" s="39"/>
      <c r="L186" s="39"/>
      <c r="M186" s="36">
        <v>6000</v>
      </c>
      <c r="N186" s="38">
        <v>46053</v>
      </c>
      <c r="O186" s="38">
        <v>46112</v>
      </c>
      <c r="P186" s="6"/>
    </row>
    <row r="187" spans="2:16" x14ac:dyDescent="0.25">
      <c r="B187" s="11" t="s">
        <v>110</v>
      </c>
      <c r="C187" s="11" t="s">
        <v>8</v>
      </c>
      <c r="D187" s="3" t="s">
        <v>24</v>
      </c>
      <c r="E187" s="6" t="s">
        <v>24</v>
      </c>
      <c r="F187" s="4">
        <v>10000</v>
      </c>
      <c r="G187" s="35">
        <v>46142</v>
      </c>
      <c r="H187" s="35">
        <v>46203</v>
      </c>
      <c r="I187" s="26">
        <v>3333.3333333333335</v>
      </c>
      <c r="J187" s="41" t="s">
        <v>349</v>
      </c>
      <c r="K187" s="41"/>
      <c r="L187" s="41"/>
      <c r="M187" s="36">
        <v>10000</v>
      </c>
      <c r="N187" s="38">
        <v>46142</v>
      </c>
      <c r="O187" s="38">
        <v>46203</v>
      </c>
      <c r="P187" s="6"/>
    </row>
    <row r="188" spans="2:16" x14ac:dyDescent="0.25">
      <c r="B188" s="11" t="s">
        <v>110</v>
      </c>
      <c r="C188" s="11" t="s">
        <v>8</v>
      </c>
      <c r="D188" s="3" t="s">
        <v>26</v>
      </c>
      <c r="E188" s="6" t="s">
        <v>153</v>
      </c>
      <c r="F188" s="4">
        <v>40000</v>
      </c>
      <c r="G188" s="35">
        <v>46142</v>
      </c>
      <c r="H188" s="35">
        <v>46203</v>
      </c>
      <c r="I188" s="26">
        <v>13333.333333333334</v>
      </c>
      <c r="J188" s="39" t="s">
        <v>347</v>
      </c>
      <c r="K188" s="39" t="s">
        <v>353</v>
      </c>
      <c r="L188" s="39" t="s">
        <v>356</v>
      </c>
      <c r="M188" s="36">
        <v>40000</v>
      </c>
      <c r="N188" s="38">
        <v>46142</v>
      </c>
      <c r="O188" s="38">
        <v>46203</v>
      </c>
      <c r="P188" s="6"/>
    </row>
    <row r="189" spans="2:16" x14ac:dyDescent="0.25">
      <c r="B189" s="11" t="s">
        <v>110</v>
      </c>
      <c r="C189" s="11" t="s">
        <v>8</v>
      </c>
      <c r="D189" s="3" t="s">
        <v>22</v>
      </c>
      <c r="E189" s="6" t="s">
        <v>154</v>
      </c>
      <c r="F189" s="4">
        <v>1500</v>
      </c>
      <c r="G189" s="35">
        <v>46142</v>
      </c>
      <c r="H189" s="35">
        <v>46203</v>
      </c>
      <c r="I189" s="26">
        <v>500</v>
      </c>
      <c r="J189" s="39" t="s">
        <v>347</v>
      </c>
      <c r="K189" s="39" t="s">
        <v>353</v>
      </c>
      <c r="L189" s="39" t="s">
        <v>356</v>
      </c>
      <c r="M189" s="36">
        <v>1500</v>
      </c>
      <c r="N189" s="38">
        <v>46142</v>
      </c>
      <c r="O189" s="38">
        <v>46203</v>
      </c>
      <c r="P189" s="6"/>
    </row>
    <row r="190" spans="2:16" x14ac:dyDescent="0.25">
      <c r="B190" s="11" t="s">
        <v>110</v>
      </c>
      <c r="C190" s="11" t="s">
        <v>8</v>
      </c>
      <c r="D190" s="3" t="s">
        <v>17</v>
      </c>
      <c r="E190" s="6" t="s">
        <v>234</v>
      </c>
      <c r="F190" s="4">
        <v>50000</v>
      </c>
      <c r="G190" s="35">
        <v>46418</v>
      </c>
      <c r="H190" s="35">
        <v>46477</v>
      </c>
      <c r="I190" s="26">
        <v>16666.666666666668</v>
      </c>
      <c r="J190" s="39" t="s">
        <v>347</v>
      </c>
      <c r="K190" s="39" t="s">
        <v>353</v>
      </c>
      <c r="L190" s="39" t="s">
        <v>356</v>
      </c>
      <c r="M190" s="36">
        <v>50000</v>
      </c>
      <c r="N190" s="38">
        <v>46418</v>
      </c>
      <c r="O190" s="38">
        <v>46477</v>
      </c>
      <c r="P190" s="6" t="s">
        <v>370</v>
      </c>
    </row>
    <row r="191" spans="2:16" x14ac:dyDescent="0.25">
      <c r="B191" s="11" t="s">
        <v>110</v>
      </c>
      <c r="C191" s="11" t="s">
        <v>8</v>
      </c>
      <c r="D191" s="3" t="s">
        <v>58</v>
      </c>
      <c r="E191" s="6" t="s">
        <v>58</v>
      </c>
      <c r="F191" s="4">
        <v>250000</v>
      </c>
      <c r="G191" s="35">
        <v>46599</v>
      </c>
      <c r="H191" s="35">
        <v>46660</v>
      </c>
      <c r="I191" s="26">
        <v>83333.333333333328</v>
      </c>
      <c r="J191" s="39" t="s">
        <v>347</v>
      </c>
      <c r="K191" s="39" t="s">
        <v>353</v>
      </c>
      <c r="L191" s="39" t="s">
        <v>356</v>
      </c>
      <c r="M191" s="36">
        <v>250000</v>
      </c>
      <c r="N191" s="38">
        <v>46599</v>
      </c>
      <c r="O191" s="38">
        <v>46660</v>
      </c>
      <c r="P191" s="6"/>
    </row>
    <row r="192" spans="2:16" x14ac:dyDescent="0.25">
      <c r="B192" s="11" t="s">
        <v>113</v>
      </c>
      <c r="C192" s="11" t="s">
        <v>8</v>
      </c>
      <c r="D192" s="3" t="s">
        <v>24</v>
      </c>
      <c r="E192" s="6" t="s">
        <v>24</v>
      </c>
      <c r="F192" s="4">
        <v>7500</v>
      </c>
      <c r="G192" s="35">
        <v>46053</v>
      </c>
      <c r="H192" s="35">
        <v>46112</v>
      </c>
      <c r="I192" s="26">
        <v>2500</v>
      </c>
      <c r="J192" s="41" t="s">
        <v>349</v>
      </c>
      <c r="K192" s="41"/>
      <c r="L192" s="41"/>
      <c r="M192" s="36">
        <v>7500</v>
      </c>
      <c r="N192" s="38">
        <v>46053</v>
      </c>
      <c r="O192" s="38">
        <v>46112</v>
      </c>
      <c r="P192" s="6"/>
    </row>
    <row r="193" spans="2:16" x14ac:dyDescent="0.25">
      <c r="B193" s="11" t="s">
        <v>113</v>
      </c>
      <c r="C193" s="11" t="s">
        <v>8</v>
      </c>
      <c r="D193" s="3" t="s">
        <v>9</v>
      </c>
      <c r="E193" s="6" t="s">
        <v>86</v>
      </c>
      <c r="F193" s="4">
        <v>12000</v>
      </c>
      <c r="G193" s="35">
        <v>46053</v>
      </c>
      <c r="H193" s="35">
        <v>46112</v>
      </c>
      <c r="I193" s="26">
        <v>4000</v>
      </c>
      <c r="J193" s="39" t="s">
        <v>347</v>
      </c>
      <c r="K193" s="39" t="s">
        <v>353</v>
      </c>
      <c r="L193" s="39" t="s">
        <v>357</v>
      </c>
      <c r="M193" s="36">
        <v>12000</v>
      </c>
      <c r="N193" s="38">
        <v>46053</v>
      </c>
      <c r="O193" s="38">
        <v>46112</v>
      </c>
      <c r="P193" s="6"/>
    </row>
    <row r="194" spans="2:16" x14ac:dyDescent="0.25">
      <c r="B194" s="11" t="s">
        <v>11</v>
      </c>
      <c r="C194" s="11" t="s">
        <v>8</v>
      </c>
      <c r="D194" s="3" t="s">
        <v>12</v>
      </c>
      <c r="E194" s="6" t="s">
        <v>13</v>
      </c>
      <c r="F194" s="4">
        <v>10000</v>
      </c>
      <c r="G194" s="35">
        <v>45961</v>
      </c>
      <c r="H194" s="35">
        <v>46022</v>
      </c>
      <c r="I194" s="26">
        <v>3333.3333333333335</v>
      </c>
      <c r="J194" s="39" t="s">
        <v>346</v>
      </c>
      <c r="K194" s="39"/>
      <c r="L194" s="39"/>
      <c r="M194" s="36">
        <v>10000</v>
      </c>
      <c r="N194" s="38">
        <v>45961</v>
      </c>
      <c r="O194" s="38">
        <v>46022</v>
      </c>
      <c r="P194" s="6"/>
    </row>
    <row r="195" spans="2:16" x14ac:dyDescent="0.25">
      <c r="B195" s="11" t="s">
        <v>11</v>
      </c>
      <c r="C195" s="11" t="s">
        <v>8</v>
      </c>
      <c r="D195" s="3" t="s">
        <v>12</v>
      </c>
      <c r="E195" s="6" t="s">
        <v>14</v>
      </c>
      <c r="F195" s="4">
        <v>10000</v>
      </c>
      <c r="G195" s="35">
        <v>45961</v>
      </c>
      <c r="H195" s="35">
        <v>46022</v>
      </c>
      <c r="I195" s="26">
        <v>3333.3333333333335</v>
      </c>
      <c r="J195" s="39" t="s">
        <v>346</v>
      </c>
      <c r="K195" s="39"/>
      <c r="L195" s="39"/>
      <c r="M195" s="36">
        <v>10000</v>
      </c>
      <c r="N195" s="38">
        <v>45961</v>
      </c>
      <c r="O195" s="38">
        <v>46022</v>
      </c>
      <c r="P195" s="6"/>
    </row>
    <row r="196" spans="2:16" x14ac:dyDescent="0.25">
      <c r="B196" s="11" t="s">
        <v>11</v>
      </c>
      <c r="C196" s="11" t="s">
        <v>8</v>
      </c>
      <c r="D196" s="3" t="s">
        <v>12</v>
      </c>
      <c r="E196" s="6" t="s">
        <v>15</v>
      </c>
      <c r="F196" s="4">
        <v>8000</v>
      </c>
      <c r="G196" s="35">
        <v>45961</v>
      </c>
      <c r="H196" s="35">
        <v>46022</v>
      </c>
      <c r="I196" s="26">
        <v>2666.6666666666665</v>
      </c>
      <c r="J196" s="39" t="s">
        <v>347</v>
      </c>
      <c r="K196" s="39" t="s">
        <v>353</v>
      </c>
      <c r="L196" s="39" t="s">
        <v>356</v>
      </c>
      <c r="M196" s="36">
        <v>8000</v>
      </c>
      <c r="N196" s="38">
        <v>45961</v>
      </c>
      <c r="O196" s="38">
        <v>46022</v>
      </c>
      <c r="P196" s="6"/>
    </row>
    <row r="197" spans="2:16" x14ac:dyDescent="0.25">
      <c r="B197" s="11" t="s">
        <v>11</v>
      </c>
      <c r="C197" s="11" t="s">
        <v>8</v>
      </c>
      <c r="D197" s="3" t="s">
        <v>24</v>
      </c>
      <c r="E197" s="6" t="s">
        <v>24</v>
      </c>
      <c r="F197" s="4">
        <v>8000</v>
      </c>
      <c r="G197" s="35">
        <v>46053</v>
      </c>
      <c r="H197" s="35">
        <v>46112</v>
      </c>
      <c r="I197" s="26">
        <v>2666.6666666666665</v>
      </c>
      <c r="J197" s="41" t="s">
        <v>349</v>
      </c>
      <c r="K197" s="41"/>
      <c r="L197" s="41"/>
      <c r="M197" s="36">
        <v>8000</v>
      </c>
      <c r="N197" s="38">
        <v>46053</v>
      </c>
      <c r="O197" s="38">
        <v>46112</v>
      </c>
      <c r="P197" s="6"/>
    </row>
    <row r="198" spans="2:16" x14ac:dyDescent="0.25">
      <c r="B198" s="11" t="s">
        <v>11</v>
      </c>
      <c r="C198" s="11" t="s">
        <v>8</v>
      </c>
      <c r="D198" s="3" t="s">
        <v>9</v>
      </c>
      <c r="E198" s="6" t="s">
        <v>10</v>
      </c>
      <c r="F198" s="4">
        <v>10000</v>
      </c>
      <c r="G198" s="35">
        <v>46081</v>
      </c>
      <c r="H198" s="35">
        <v>46142</v>
      </c>
      <c r="I198" s="26">
        <v>3333.3333333333335</v>
      </c>
      <c r="J198" s="39" t="s">
        <v>347</v>
      </c>
      <c r="K198" s="39" t="s">
        <v>353</v>
      </c>
      <c r="L198" s="39" t="s">
        <v>356</v>
      </c>
      <c r="M198" s="36">
        <v>10000</v>
      </c>
      <c r="N198" s="38">
        <v>46081</v>
      </c>
      <c r="O198" s="38">
        <v>46142</v>
      </c>
      <c r="P198" s="6"/>
    </row>
    <row r="199" spans="2:16" x14ac:dyDescent="0.25">
      <c r="B199" s="11" t="s">
        <v>155</v>
      </c>
      <c r="C199" s="11" t="s">
        <v>8</v>
      </c>
      <c r="D199" s="3" t="s">
        <v>17</v>
      </c>
      <c r="E199" s="6" t="s">
        <v>156</v>
      </c>
      <c r="F199" s="4">
        <v>10000</v>
      </c>
      <c r="G199" s="35">
        <v>46142</v>
      </c>
      <c r="H199" s="35">
        <v>46203</v>
      </c>
      <c r="I199" s="26">
        <v>3333.3333333333335</v>
      </c>
      <c r="J199" s="39" t="s">
        <v>347</v>
      </c>
      <c r="K199" s="39" t="s">
        <v>354</v>
      </c>
      <c r="L199" s="39" t="s">
        <v>356</v>
      </c>
      <c r="M199" s="36">
        <v>10000</v>
      </c>
      <c r="N199" s="38">
        <v>46142</v>
      </c>
      <c r="O199" s="38">
        <v>46203</v>
      </c>
      <c r="P199" s="6"/>
    </row>
    <row r="200" spans="2:16" x14ac:dyDescent="0.25">
      <c r="B200" s="11" t="s">
        <v>155</v>
      </c>
      <c r="C200" s="11" t="s">
        <v>8</v>
      </c>
      <c r="D200" s="3" t="s">
        <v>9</v>
      </c>
      <c r="E200" s="6" t="s">
        <v>198</v>
      </c>
      <c r="F200" s="4">
        <v>15000</v>
      </c>
      <c r="G200" s="35">
        <v>46234</v>
      </c>
      <c r="H200" s="35">
        <v>46295</v>
      </c>
      <c r="I200" s="26">
        <v>5000</v>
      </c>
      <c r="J200" s="39" t="s">
        <v>347</v>
      </c>
      <c r="K200" s="39" t="s">
        <v>354</v>
      </c>
      <c r="L200" s="39" t="s">
        <v>356</v>
      </c>
      <c r="M200" s="36">
        <v>15000</v>
      </c>
      <c r="N200" s="38">
        <v>46234</v>
      </c>
      <c r="O200" s="38">
        <v>46295</v>
      </c>
      <c r="P200" s="6"/>
    </row>
    <row r="201" spans="2:16" x14ac:dyDescent="0.25">
      <c r="B201" s="11" t="s">
        <v>155</v>
      </c>
      <c r="C201" s="11" t="s">
        <v>8</v>
      </c>
      <c r="D201" s="3" t="s">
        <v>24</v>
      </c>
      <c r="E201" s="6" t="s">
        <v>25</v>
      </c>
      <c r="F201" s="4">
        <v>7500</v>
      </c>
      <c r="G201" s="35">
        <v>46234</v>
      </c>
      <c r="H201" s="35">
        <v>46295</v>
      </c>
      <c r="I201" s="26">
        <v>2500</v>
      </c>
      <c r="J201" s="41" t="s">
        <v>349</v>
      </c>
      <c r="K201" s="41"/>
      <c r="L201" s="41"/>
      <c r="M201" s="36">
        <v>7500</v>
      </c>
      <c r="N201" s="38">
        <v>46234</v>
      </c>
      <c r="O201" s="38">
        <v>46295</v>
      </c>
      <c r="P201" s="6"/>
    </row>
    <row r="202" spans="2:16" x14ac:dyDescent="0.25">
      <c r="B202" s="11" t="s">
        <v>155</v>
      </c>
      <c r="C202" s="11" t="s">
        <v>8</v>
      </c>
      <c r="D202" s="3" t="s">
        <v>58</v>
      </c>
      <c r="E202" s="6" t="s">
        <v>59</v>
      </c>
      <c r="F202" s="4">
        <v>1500</v>
      </c>
      <c r="G202" s="35">
        <v>46326</v>
      </c>
      <c r="H202" s="35">
        <v>46387</v>
      </c>
      <c r="I202" s="26">
        <v>500</v>
      </c>
      <c r="J202" s="39" t="s">
        <v>347</v>
      </c>
      <c r="K202" s="39" t="s">
        <v>353</v>
      </c>
      <c r="L202" s="39" t="s">
        <v>356</v>
      </c>
      <c r="M202" s="36">
        <v>5000</v>
      </c>
      <c r="N202" s="38">
        <v>46326</v>
      </c>
      <c r="O202" s="38">
        <v>46387</v>
      </c>
      <c r="P202" s="6"/>
    </row>
    <row r="203" spans="2:16" x14ac:dyDescent="0.25">
      <c r="B203" s="11" t="s">
        <v>157</v>
      </c>
      <c r="C203" s="11" t="s">
        <v>8</v>
      </c>
      <c r="D203" s="3" t="s">
        <v>26</v>
      </c>
      <c r="E203" s="6" t="s">
        <v>153</v>
      </c>
      <c r="F203" s="4">
        <v>20000</v>
      </c>
      <c r="G203" s="35">
        <v>46142</v>
      </c>
      <c r="H203" s="35">
        <v>46203</v>
      </c>
      <c r="I203" s="26">
        <v>6666.666666666667</v>
      </c>
      <c r="J203" s="39" t="s">
        <v>347</v>
      </c>
      <c r="K203" s="39" t="s">
        <v>353</v>
      </c>
      <c r="L203" s="39" t="s">
        <v>356</v>
      </c>
      <c r="M203" s="36">
        <v>20000</v>
      </c>
      <c r="N203" s="38">
        <v>46142</v>
      </c>
      <c r="O203" s="38">
        <v>46203</v>
      </c>
      <c r="P203" s="6"/>
    </row>
    <row r="204" spans="2:16" x14ac:dyDescent="0.25">
      <c r="B204" s="11" t="s">
        <v>157</v>
      </c>
      <c r="C204" s="11" t="s">
        <v>8</v>
      </c>
      <c r="D204" s="3" t="s">
        <v>18</v>
      </c>
      <c r="E204" s="6" t="s">
        <v>199</v>
      </c>
      <c r="F204" s="4">
        <v>10000</v>
      </c>
      <c r="G204" s="35">
        <v>46234</v>
      </c>
      <c r="H204" s="35">
        <v>46295</v>
      </c>
      <c r="I204" s="26">
        <v>3333.3333333333335</v>
      </c>
      <c r="J204" s="39" t="s">
        <v>347</v>
      </c>
      <c r="K204" s="39" t="s">
        <v>354</v>
      </c>
      <c r="L204" s="39" t="s">
        <v>356</v>
      </c>
      <c r="M204" s="36">
        <v>10000</v>
      </c>
      <c r="N204" s="38">
        <v>46234</v>
      </c>
      <c r="O204" s="38">
        <v>46295</v>
      </c>
      <c r="P204" s="6"/>
    </row>
    <row r="205" spans="2:16" x14ac:dyDescent="0.25">
      <c r="B205" s="11" t="s">
        <v>16</v>
      </c>
      <c r="C205" s="11" t="s">
        <v>8</v>
      </c>
      <c r="D205" s="3" t="s">
        <v>17</v>
      </c>
      <c r="E205" s="6" t="s">
        <v>17</v>
      </c>
      <c r="F205" s="4">
        <v>35000</v>
      </c>
      <c r="G205" s="35">
        <v>45991</v>
      </c>
      <c r="H205" s="35">
        <v>46022</v>
      </c>
      <c r="I205" s="26">
        <v>17500</v>
      </c>
      <c r="J205" s="39" t="s">
        <v>346</v>
      </c>
      <c r="K205" s="39"/>
      <c r="L205" s="39"/>
      <c r="M205" s="36">
        <v>35000</v>
      </c>
      <c r="N205" s="38">
        <v>45991</v>
      </c>
      <c r="O205" s="38">
        <v>46022</v>
      </c>
      <c r="P205" s="6"/>
    </row>
    <row r="206" spans="2:16" x14ac:dyDescent="0.25">
      <c r="B206" s="11" t="s">
        <v>16</v>
      </c>
      <c r="C206" s="11" t="s">
        <v>8</v>
      </c>
      <c r="D206" s="3" t="s">
        <v>18</v>
      </c>
      <c r="E206" s="6" t="s">
        <v>19</v>
      </c>
      <c r="F206" s="4">
        <v>7000</v>
      </c>
      <c r="G206" s="35">
        <v>45991</v>
      </c>
      <c r="H206" s="35">
        <v>46022</v>
      </c>
      <c r="I206" s="26">
        <v>3500</v>
      </c>
      <c r="J206" s="39" t="s">
        <v>346</v>
      </c>
      <c r="K206" s="39"/>
      <c r="L206" s="39"/>
      <c r="M206" s="36">
        <v>7000</v>
      </c>
      <c r="N206" s="38">
        <v>45991</v>
      </c>
      <c r="O206" s="38">
        <v>46022</v>
      </c>
      <c r="P206" s="6"/>
    </row>
    <row r="207" spans="2:16" x14ac:dyDescent="0.25">
      <c r="B207" s="11" t="s">
        <v>16</v>
      </c>
      <c r="C207" s="11" t="s">
        <v>8</v>
      </c>
      <c r="D207" s="3" t="s">
        <v>18</v>
      </c>
      <c r="E207" s="6" t="s">
        <v>200</v>
      </c>
      <c r="F207" s="4">
        <v>20000</v>
      </c>
      <c r="G207" s="35">
        <v>46234</v>
      </c>
      <c r="H207" s="35">
        <v>46295</v>
      </c>
      <c r="I207" s="26">
        <v>6666.666666666667</v>
      </c>
      <c r="J207" s="39" t="s">
        <v>347</v>
      </c>
      <c r="K207" s="39" t="s">
        <v>354</v>
      </c>
      <c r="L207" s="39" t="s">
        <v>356</v>
      </c>
      <c r="M207" s="36">
        <v>20000</v>
      </c>
      <c r="N207" s="38">
        <v>46234</v>
      </c>
      <c r="O207" s="38">
        <v>46295</v>
      </c>
      <c r="P207" s="6"/>
    </row>
    <row r="208" spans="2:16" x14ac:dyDescent="0.25">
      <c r="B208" s="11" t="s">
        <v>16</v>
      </c>
      <c r="C208" s="11" t="s">
        <v>8</v>
      </c>
      <c r="D208" s="3" t="s">
        <v>18</v>
      </c>
      <c r="E208" s="6" t="s">
        <v>201</v>
      </c>
      <c r="F208" s="4">
        <v>10000</v>
      </c>
      <c r="G208" s="35">
        <v>46234</v>
      </c>
      <c r="H208" s="35">
        <v>46295</v>
      </c>
      <c r="I208" s="26">
        <v>3333.3333333333335</v>
      </c>
      <c r="J208" s="39" t="s">
        <v>347</v>
      </c>
      <c r="K208" s="39" t="s">
        <v>354</v>
      </c>
      <c r="L208" s="39" t="s">
        <v>356</v>
      </c>
      <c r="M208" s="36">
        <v>10000</v>
      </c>
      <c r="N208" s="38">
        <v>46234</v>
      </c>
      <c r="O208" s="38">
        <v>46295</v>
      </c>
      <c r="P208" s="6"/>
    </row>
    <row r="209" spans="2:16" x14ac:dyDescent="0.25">
      <c r="B209" s="11" t="s">
        <v>16</v>
      </c>
      <c r="C209" s="11" t="s">
        <v>8</v>
      </c>
      <c r="D209" s="3" t="s">
        <v>58</v>
      </c>
      <c r="E209" s="6" t="s">
        <v>215</v>
      </c>
      <c r="F209" s="4">
        <v>200000</v>
      </c>
      <c r="G209" s="35">
        <v>46599</v>
      </c>
      <c r="H209" s="35">
        <v>46630</v>
      </c>
      <c r="I209" s="26">
        <v>100000</v>
      </c>
      <c r="J209" s="39" t="s">
        <v>347</v>
      </c>
      <c r="K209" s="39" t="s">
        <v>353</v>
      </c>
      <c r="L209" s="39" t="s">
        <v>356</v>
      </c>
      <c r="M209" s="36">
        <v>200000</v>
      </c>
      <c r="N209" s="38">
        <v>46599</v>
      </c>
      <c r="O209" s="38">
        <v>46630</v>
      </c>
      <c r="P209" s="6"/>
    </row>
    <row r="210" spans="2:16" x14ac:dyDescent="0.25">
      <c r="B210" s="11" t="s">
        <v>165</v>
      </c>
      <c r="C210" s="11" t="s">
        <v>8</v>
      </c>
      <c r="D210" s="3" t="s">
        <v>18</v>
      </c>
      <c r="E210" s="6" t="s">
        <v>166</v>
      </c>
      <c r="F210" s="4">
        <v>8000</v>
      </c>
      <c r="G210" s="35">
        <v>46203</v>
      </c>
      <c r="H210" s="35">
        <v>46265</v>
      </c>
      <c r="I210" s="26">
        <v>2666.6666666666665</v>
      </c>
      <c r="J210" s="39" t="s">
        <v>347</v>
      </c>
      <c r="K210" s="39" t="s">
        <v>354</v>
      </c>
      <c r="L210" s="39" t="s">
        <v>356</v>
      </c>
      <c r="M210" s="36">
        <v>8000</v>
      </c>
      <c r="N210" s="38">
        <v>46203</v>
      </c>
      <c r="O210" s="38">
        <v>46265</v>
      </c>
      <c r="P210" s="6"/>
    </row>
    <row r="211" spans="2:16" x14ac:dyDescent="0.25">
      <c r="B211" s="11" t="s">
        <v>165</v>
      </c>
      <c r="C211" s="11" t="s">
        <v>8</v>
      </c>
      <c r="D211" s="3" t="s">
        <v>58</v>
      </c>
      <c r="E211" s="6" t="s">
        <v>215</v>
      </c>
      <c r="F211" s="4">
        <v>200000</v>
      </c>
      <c r="G211" s="35">
        <v>46660</v>
      </c>
      <c r="H211" s="35">
        <v>46721</v>
      </c>
      <c r="I211" s="26">
        <v>66666.666666666672</v>
      </c>
      <c r="J211" s="39" t="s">
        <v>347</v>
      </c>
      <c r="K211" s="39" t="s">
        <v>353</v>
      </c>
      <c r="L211" s="39" t="s">
        <v>356</v>
      </c>
      <c r="M211" s="36">
        <v>200000</v>
      </c>
      <c r="N211" s="38">
        <v>46660</v>
      </c>
      <c r="O211" s="38">
        <v>46721</v>
      </c>
      <c r="P211" s="6"/>
    </row>
    <row r="212" spans="2:16" x14ac:dyDescent="0.25">
      <c r="B212" s="11" t="s">
        <v>202</v>
      </c>
      <c r="C212" s="11" t="s">
        <v>115</v>
      </c>
      <c r="D212" s="3" t="s">
        <v>9</v>
      </c>
      <c r="E212" s="6" t="s">
        <v>203</v>
      </c>
      <c r="F212" s="4">
        <v>200000</v>
      </c>
      <c r="G212" s="35">
        <v>46234</v>
      </c>
      <c r="H212" s="35">
        <v>46295</v>
      </c>
      <c r="I212" s="26">
        <v>66666.666666666672</v>
      </c>
      <c r="J212" s="39" t="s">
        <v>349</v>
      </c>
      <c r="K212" s="39"/>
      <c r="L212" s="39"/>
      <c r="M212" s="36">
        <v>200000</v>
      </c>
      <c r="N212" s="38">
        <v>46234</v>
      </c>
      <c r="O212" s="38">
        <v>46295</v>
      </c>
      <c r="P212" s="6"/>
    </row>
    <row r="213" spans="2:16" x14ac:dyDescent="0.25">
      <c r="B213" s="11" t="s">
        <v>117</v>
      </c>
      <c r="C213" s="11" t="s">
        <v>115</v>
      </c>
      <c r="D213" s="3" t="s">
        <v>24</v>
      </c>
      <c r="E213" s="6" t="s">
        <v>118</v>
      </c>
      <c r="F213" s="4">
        <v>7500</v>
      </c>
      <c r="G213" s="35">
        <v>46053</v>
      </c>
      <c r="H213" s="35">
        <v>46112</v>
      </c>
      <c r="I213" s="26">
        <v>2500</v>
      </c>
      <c r="J213" s="41" t="s">
        <v>349</v>
      </c>
      <c r="K213" s="41"/>
      <c r="L213" s="41"/>
      <c r="M213" s="36">
        <v>7500</v>
      </c>
      <c r="N213" s="38">
        <v>46053</v>
      </c>
      <c r="O213" s="38">
        <v>46112</v>
      </c>
      <c r="P213" s="6"/>
    </row>
    <row r="214" spans="2:16" x14ac:dyDescent="0.25">
      <c r="B214" s="11" t="s">
        <v>117</v>
      </c>
      <c r="C214" s="11" t="s">
        <v>115</v>
      </c>
      <c r="D214" s="3" t="s">
        <v>26</v>
      </c>
      <c r="E214" s="6" t="s">
        <v>153</v>
      </c>
      <c r="F214" s="4">
        <v>10000</v>
      </c>
      <c r="G214" s="35">
        <v>46142</v>
      </c>
      <c r="H214" s="35">
        <v>46203</v>
      </c>
      <c r="I214" s="26">
        <v>3333.3333333333335</v>
      </c>
      <c r="J214" s="39" t="s">
        <v>349</v>
      </c>
      <c r="K214" s="39"/>
      <c r="L214" s="39"/>
      <c r="M214" s="36">
        <v>10000</v>
      </c>
      <c r="N214" s="38">
        <v>46142</v>
      </c>
      <c r="O214" s="38">
        <v>46203</v>
      </c>
      <c r="P214" s="6"/>
    </row>
    <row r="215" spans="2:16" x14ac:dyDescent="0.25">
      <c r="B215" s="11" t="s">
        <v>117</v>
      </c>
      <c r="C215" s="11" t="s">
        <v>115</v>
      </c>
      <c r="D215" s="3" t="s">
        <v>17</v>
      </c>
      <c r="E215" s="6" t="s">
        <v>371</v>
      </c>
      <c r="F215" s="4">
        <v>10000</v>
      </c>
      <c r="G215" s="35">
        <v>46142</v>
      </c>
      <c r="H215" s="35">
        <v>46203</v>
      </c>
      <c r="I215" s="26">
        <v>3333.3333333333335</v>
      </c>
      <c r="J215" s="39" t="s">
        <v>347</v>
      </c>
      <c r="K215" s="39" t="s">
        <v>354</v>
      </c>
      <c r="L215" s="39" t="s">
        <v>356</v>
      </c>
      <c r="M215" s="36">
        <v>10000</v>
      </c>
      <c r="N215" s="38">
        <v>46142</v>
      </c>
      <c r="O215" s="38">
        <v>46203</v>
      </c>
      <c r="P215" s="6"/>
    </row>
    <row r="216" spans="2:16" x14ac:dyDescent="0.25">
      <c r="B216" s="11" t="s">
        <v>117</v>
      </c>
      <c r="C216" s="11" t="s">
        <v>115</v>
      </c>
      <c r="D216" s="3" t="s">
        <v>9</v>
      </c>
      <c r="E216" s="6" t="s">
        <v>204</v>
      </c>
      <c r="F216" s="4">
        <v>12000</v>
      </c>
      <c r="G216" s="35">
        <v>46234</v>
      </c>
      <c r="H216" s="35">
        <v>46295</v>
      </c>
      <c r="I216" s="26">
        <v>4000</v>
      </c>
      <c r="J216" s="39" t="s">
        <v>347</v>
      </c>
      <c r="K216" s="39" t="s">
        <v>353</v>
      </c>
      <c r="L216" s="39" t="s">
        <v>357</v>
      </c>
      <c r="M216" s="36">
        <v>12000</v>
      </c>
      <c r="N216" s="38">
        <v>46234</v>
      </c>
      <c r="O216" s="38">
        <v>46295</v>
      </c>
      <c r="P216" s="6"/>
    </row>
    <row r="217" spans="2:16" x14ac:dyDescent="0.25">
      <c r="B217" s="11" t="s">
        <v>117</v>
      </c>
      <c r="C217" s="11" t="s">
        <v>115</v>
      </c>
      <c r="D217" s="3" t="s">
        <v>9</v>
      </c>
      <c r="E217" s="6" t="s">
        <v>120</v>
      </c>
      <c r="F217" s="4">
        <v>10000</v>
      </c>
      <c r="G217" s="35">
        <v>46234</v>
      </c>
      <c r="H217" s="35">
        <v>46295</v>
      </c>
      <c r="I217" s="26">
        <v>3333.3333333333335</v>
      </c>
      <c r="J217" s="39" t="s">
        <v>347</v>
      </c>
      <c r="K217" s="39" t="s">
        <v>354</v>
      </c>
      <c r="L217" s="39" t="s">
        <v>356</v>
      </c>
      <c r="M217" s="36">
        <v>10000</v>
      </c>
      <c r="N217" s="38">
        <v>46234</v>
      </c>
      <c r="O217" s="38">
        <v>46295</v>
      </c>
      <c r="P217" s="6"/>
    </row>
    <row r="218" spans="2:16" x14ac:dyDescent="0.25">
      <c r="B218" s="11" t="s">
        <v>117</v>
      </c>
      <c r="C218" s="11" t="s">
        <v>115</v>
      </c>
      <c r="D218" s="3" t="s">
        <v>18</v>
      </c>
      <c r="E218" s="6" t="s">
        <v>132</v>
      </c>
      <c r="F218" s="4">
        <v>50000</v>
      </c>
      <c r="G218" s="35">
        <v>46418</v>
      </c>
      <c r="H218" s="35">
        <v>46477</v>
      </c>
      <c r="I218" s="26">
        <v>16666.666666666668</v>
      </c>
      <c r="J218" s="39" t="s">
        <v>347</v>
      </c>
      <c r="K218" s="39" t="s">
        <v>354</v>
      </c>
      <c r="L218" s="39" t="s">
        <v>356</v>
      </c>
      <c r="M218" s="36">
        <v>50000</v>
      </c>
      <c r="N218" s="38">
        <v>46418</v>
      </c>
      <c r="O218" s="38">
        <v>46477</v>
      </c>
      <c r="P218" s="6"/>
    </row>
    <row r="219" spans="2:16" x14ac:dyDescent="0.25">
      <c r="B219" s="11" t="s">
        <v>119</v>
      </c>
      <c r="C219" s="11" t="s">
        <v>115</v>
      </c>
      <c r="D219" s="3" t="s">
        <v>18</v>
      </c>
      <c r="E219" s="6" t="s">
        <v>120</v>
      </c>
      <c r="F219" s="4">
        <v>10000</v>
      </c>
      <c r="G219" s="35">
        <v>46053</v>
      </c>
      <c r="H219" s="35">
        <v>46112</v>
      </c>
      <c r="I219" s="26">
        <v>3333.3333333333335</v>
      </c>
      <c r="J219" s="39" t="s">
        <v>347</v>
      </c>
      <c r="K219" s="39" t="s">
        <v>354</v>
      </c>
      <c r="L219" s="39" t="s">
        <v>356</v>
      </c>
      <c r="M219" s="36">
        <v>10000</v>
      </c>
      <c r="N219" s="38">
        <v>46053</v>
      </c>
      <c r="O219" s="38">
        <v>46112</v>
      </c>
      <c r="P219" s="6"/>
    </row>
    <row r="220" spans="2:16" x14ac:dyDescent="0.25">
      <c r="B220" s="11" t="s">
        <v>119</v>
      </c>
      <c r="C220" s="11" t="s">
        <v>115</v>
      </c>
      <c r="D220" s="3" t="s">
        <v>17</v>
      </c>
      <c r="E220" s="6" t="s">
        <v>159</v>
      </c>
      <c r="F220" s="4">
        <v>10000</v>
      </c>
      <c r="G220" s="35">
        <v>46142</v>
      </c>
      <c r="H220" s="35">
        <v>46203</v>
      </c>
      <c r="I220" s="26">
        <v>3333.3333333333335</v>
      </c>
      <c r="J220" s="39" t="s">
        <v>347</v>
      </c>
      <c r="K220" s="39" t="s">
        <v>354</v>
      </c>
      <c r="L220" s="39" t="s">
        <v>356</v>
      </c>
      <c r="M220" s="36">
        <v>10000</v>
      </c>
      <c r="N220" s="38">
        <v>46142</v>
      </c>
      <c r="O220" s="38">
        <v>46203</v>
      </c>
      <c r="P220" s="6"/>
    </row>
    <row r="221" spans="2:16" x14ac:dyDescent="0.25">
      <c r="B221" s="11" t="s">
        <v>119</v>
      </c>
      <c r="C221" s="11" t="s">
        <v>115</v>
      </c>
      <c r="D221" s="3" t="s">
        <v>24</v>
      </c>
      <c r="E221" s="6" t="s">
        <v>205</v>
      </c>
      <c r="F221" s="4">
        <v>7500</v>
      </c>
      <c r="G221" s="35">
        <v>46234</v>
      </c>
      <c r="H221" s="35">
        <v>46295</v>
      </c>
      <c r="I221" s="26">
        <v>2500</v>
      </c>
      <c r="J221" s="41" t="s">
        <v>349</v>
      </c>
      <c r="K221" s="41"/>
      <c r="L221" s="41"/>
      <c r="M221" s="36">
        <v>7500</v>
      </c>
      <c r="N221" s="38">
        <v>46234</v>
      </c>
      <c r="O221" s="38">
        <v>46295</v>
      </c>
      <c r="P221" s="6"/>
    </row>
    <row r="222" spans="2:16" x14ac:dyDescent="0.25">
      <c r="B222" s="11" t="s">
        <v>121</v>
      </c>
      <c r="C222" s="11" t="s">
        <v>115</v>
      </c>
      <c r="D222" s="3" t="s">
        <v>24</v>
      </c>
      <c r="E222" s="6" t="s">
        <v>25</v>
      </c>
      <c r="F222" s="4">
        <v>7500</v>
      </c>
      <c r="G222" s="35">
        <v>46053</v>
      </c>
      <c r="H222" s="35">
        <v>46112</v>
      </c>
      <c r="I222" s="26">
        <v>2500</v>
      </c>
      <c r="J222" s="41" t="s">
        <v>349</v>
      </c>
      <c r="K222" s="41"/>
      <c r="L222" s="41"/>
      <c r="M222" s="36">
        <v>7500</v>
      </c>
      <c r="N222" s="38">
        <v>46053</v>
      </c>
      <c r="O222" s="38">
        <v>46112</v>
      </c>
      <c r="P222" s="6"/>
    </row>
    <row r="223" spans="2:16" x14ac:dyDescent="0.25">
      <c r="B223" s="11" t="s">
        <v>121</v>
      </c>
      <c r="C223" s="11" t="s">
        <v>115</v>
      </c>
      <c r="D223" s="3" t="s">
        <v>9</v>
      </c>
      <c r="E223" s="6" t="s">
        <v>160</v>
      </c>
      <c r="F223" s="4">
        <v>15000</v>
      </c>
      <c r="G223" s="35">
        <v>46142</v>
      </c>
      <c r="H223" s="35">
        <v>46203</v>
      </c>
      <c r="I223" s="26">
        <v>5000</v>
      </c>
      <c r="J223" s="39" t="s">
        <v>347</v>
      </c>
      <c r="K223" s="39" t="s">
        <v>354</v>
      </c>
      <c r="L223" s="39" t="s">
        <v>356</v>
      </c>
      <c r="M223" s="36">
        <v>15000</v>
      </c>
      <c r="N223" s="38">
        <v>46142</v>
      </c>
      <c r="O223" s="38">
        <v>46203</v>
      </c>
      <c r="P223" s="6"/>
    </row>
    <row r="224" spans="2:16" x14ac:dyDescent="0.25">
      <c r="B224" s="11" t="s">
        <v>167</v>
      </c>
      <c r="C224" s="11" t="s">
        <v>115</v>
      </c>
      <c r="D224" s="3" t="s">
        <v>26</v>
      </c>
      <c r="E224" s="6" t="s">
        <v>85</v>
      </c>
      <c r="F224" s="4">
        <v>20000</v>
      </c>
      <c r="G224" s="35">
        <v>46203</v>
      </c>
      <c r="H224" s="35">
        <v>46265</v>
      </c>
      <c r="I224" s="26">
        <v>6666.666666666667</v>
      </c>
      <c r="J224" s="39" t="s">
        <v>349</v>
      </c>
      <c r="K224" s="39"/>
      <c r="L224" s="39"/>
      <c r="M224" s="36">
        <v>20000</v>
      </c>
      <c r="N224" s="38">
        <v>46203</v>
      </c>
      <c r="O224" s="38">
        <v>46265</v>
      </c>
      <c r="P224" s="6"/>
    </row>
    <row r="225" spans="2:16" x14ac:dyDescent="0.25">
      <c r="B225" s="11" t="s">
        <v>167</v>
      </c>
      <c r="C225" s="11" t="s">
        <v>115</v>
      </c>
      <c r="D225" s="3" t="s">
        <v>9</v>
      </c>
      <c r="E225" s="6" t="s">
        <v>160</v>
      </c>
      <c r="F225" s="4">
        <v>0</v>
      </c>
      <c r="G225" s="35">
        <v>46295</v>
      </c>
      <c r="H225" s="35">
        <v>46356</v>
      </c>
      <c r="I225" s="26">
        <v>0</v>
      </c>
      <c r="J225" s="39" t="s">
        <v>347</v>
      </c>
      <c r="K225" s="39" t="s">
        <v>354</v>
      </c>
      <c r="L225" s="39" t="s">
        <v>356</v>
      </c>
      <c r="M225" s="36">
        <v>15000</v>
      </c>
      <c r="N225" s="38">
        <v>46295</v>
      </c>
      <c r="O225" s="38">
        <v>46356</v>
      </c>
      <c r="P225" s="6"/>
    </row>
    <row r="226" spans="2:16" x14ac:dyDescent="0.25">
      <c r="B226" s="11" t="s">
        <v>122</v>
      </c>
      <c r="C226" s="11" t="s">
        <v>115</v>
      </c>
      <c r="D226" s="3" t="s">
        <v>24</v>
      </c>
      <c r="E226" s="6" t="s">
        <v>123</v>
      </c>
      <c r="F226" s="4">
        <v>7500</v>
      </c>
      <c r="G226" s="35">
        <v>46053</v>
      </c>
      <c r="H226" s="35">
        <v>46112</v>
      </c>
      <c r="I226" s="26">
        <v>2500</v>
      </c>
      <c r="J226" s="41" t="s">
        <v>349</v>
      </c>
      <c r="K226" s="41"/>
      <c r="L226" s="41"/>
      <c r="M226" s="36">
        <v>7500</v>
      </c>
      <c r="N226" s="38">
        <v>46053</v>
      </c>
      <c r="O226" s="38">
        <v>46112</v>
      </c>
      <c r="P226" s="6"/>
    </row>
    <row r="227" spans="2:16" x14ac:dyDescent="0.25">
      <c r="B227" s="11" t="s">
        <v>122</v>
      </c>
      <c r="C227" s="11" t="s">
        <v>115</v>
      </c>
      <c r="D227" s="3" t="s">
        <v>22</v>
      </c>
      <c r="E227" s="6" t="s">
        <v>124</v>
      </c>
      <c r="F227" s="4">
        <v>50000</v>
      </c>
      <c r="G227" s="35">
        <v>46053</v>
      </c>
      <c r="H227" s="35">
        <v>46112</v>
      </c>
      <c r="I227" s="26">
        <v>16666.666666666668</v>
      </c>
      <c r="J227" s="39" t="s">
        <v>346</v>
      </c>
      <c r="K227" s="39"/>
      <c r="L227" s="39"/>
      <c r="M227" s="36">
        <v>50000</v>
      </c>
      <c r="N227" s="38">
        <v>46053</v>
      </c>
      <c r="O227" s="38">
        <v>46112</v>
      </c>
      <c r="P227" s="6"/>
    </row>
    <row r="228" spans="2:16" x14ac:dyDescent="0.25">
      <c r="B228" s="11" t="s">
        <v>122</v>
      </c>
      <c r="C228" s="11" t="s">
        <v>115</v>
      </c>
      <c r="D228" s="3" t="s">
        <v>58</v>
      </c>
      <c r="E228" s="6" t="s">
        <v>161</v>
      </c>
      <c r="F228" s="4">
        <v>5000</v>
      </c>
      <c r="G228" s="35">
        <v>46142</v>
      </c>
      <c r="H228" s="35">
        <v>46203</v>
      </c>
      <c r="I228" s="26">
        <v>1666.6666666666667</v>
      </c>
      <c r="J228" s="39" t="s">
        <v>347</v>
      </c>
      <c r="K228" s="39" t="s">
        <v>353</v>
      </c>
      <c r="L228" s="39" t="s">
        <v>356</v>
      </c>
      <c r="M228" s="36">
        <v>5000</v>
      </c>
      <c r="N228" s="38">
        <v>46142</v>
      </c>
      <c r="O228" s="38">
        <v>46203</v>
      </c>
      <c r="P228" s="6"/>
    </row>
    <row r="229" spans="2:16" x14ac:dyDescent="0.25">
      <c r="B229" s="11" t="s">
        <v>122</v>
      </c>
      <c r="C229" s="11" t="s">
        <v>115</v>
      </c>
      <c r="D229" s="3" t="s">
        <v>18</v>
      </c>
      <c r="E229" s="6" t="s">
        <v>160</v>
      </c>
      <c r="F229" s="4">
        <v>10000</v>
      </c>
      <c r="G229" s="35">
        <v>46234</v>
      </c>
      <c r="H229" s="35">
        <v>46295</v>
      </c>
      <c r="I229" s="26">
        <v>3333.3333333333335</v>
      </c>
      <c r="J229" s="39" t="s">
        <v>347</v>
      </c>
      <c r="K229" s="39" t="s">
        <v>354</v>
      </c>
      <c r="L229" s="39" t="s">
        <v>356</v>
      </c>
      <c r="M229" s="36">
        <v>10000</v>
      </c>
      <c r="N229" s="38">
        <v>46234</v>
      </c>
      <c r="O229" s="38">
        <v>46295</v>
      </c>
      <c r="P229" s="6"/>
    </row>
    <row r="230" spans="2:16" x14ac:dyDescent="0.25">
      <c r="B230" s="11" t="s">
        <v>122</v>
      </c>
      <c r="C230" s="11" t="s">
        <v>115</v>
      </c>
      <c r="D230" s="3" t="s">
        <v>9</v>
      </c>
      <c r="E230" s="6" t="s">
        <v>206</v>
      </c>
      <c r="F230" s="4">
        <v>8000</v>
      </c>
      <c r="G230" s="35">
        <v>46234</v>
      </c>
      <c r="H230" s="35">
        <v>46295</v>
      </c>
      <c r="I230" s="26">
        <v>2666.6666666666665</v>
      </c>
      <c r="J230" s="39" t="s">
        <v>347</v>
      </c>
      <c r="K230" s="39" t="s">
        <v>353</v>
      </c>
      <c r="L230" s="39" t="s">
        <v>357</v>
      </c>
      <c r="M230" s="36">
        <v>8000</v>
      </c>
      <c r="N230" s="38">
        <v>46234</v>
      </c>
      <c r="O230" s="38">
        <v>46295</v>
      </c>
      <c r="P230" s="6"/>
    </row>
    <row r="231" spans="2:16" x14ac:dyDescent="0.25">
      <c r="B231" s="11" t="s">
        <v>114</v>
      </c>
      <c r="C231" s="11" t="s">
        <v>115</v>
      </c>
      <c r="D231" s="3" t="s">
        <v>63</v>
      </c>
      <c r="E231" s="6" t="s">
        <v>116</v>
      </c>
      <c r="F231" s="4">
        <v>30000</v>
      </c>
      <c r="G231" s="35">
        <v>46053</v>
      </c>
      <c r="H231" s="35">
        <v>46112</v>
      </c>
      <c r="I231" s="26">
        <v>10000</v>
      </c>
      <c r="J231" s="39" t="s">
        <v>349</v>
      </c>
      <c r="K231" s="39"/>
      <c r="L231" s="39"/>
      <c r="M231" s="36">
        <v>30000</v>
      </c>
      <c r="N231" s="38">
        <v>46053</v>
      </c>
      <c r="O231" s="38">
        <v>46112</v>
      </c>
      <c r="P231" s="6"/>
    </row>
    <row r="232" spans="2:16" x14ac:dyDescent="0.25">
      <c r="B232" s="11" t="s">
        <v>125</v>
      </c>
      <c r="C232" s="11" t="s">
        <v>115</v>
      </c>
      <c r="D232" s="3" t="s">
        <v>24</v>
      </c>
      <c r="E232" s="6" t="s">
        <v>126</v>
      </c>
      <c r="F232" s="4">
        <v>1500</v>
      </c>
      <c r="G232" s="35">
        <v>46053</v>
      </c>
      <c r="H232" s="35">
        <v>46112</v>
      </c>
      <c r="I232" s="26">
        <v>500</v>
      </c>
      <c r="J232" s="41" t="s">
        <v>349</v>
      </c>
      <c r="K232" s="41"/>
      <c r="L232" s="41"/>
      <c r="M232" s="36">
        <v>1500</v>
      </c>
      <c r="N232" s="38">
        <v>46053</v>
      </c>
      <c r="O232" s="38">
        <v>46112</v>
      </c>
      <c r="P232" s="6"/>
    </row>
    <row r="233" spans="2:16" x14ac:dyDescent="0.25">
      <c r="B233" s="11" t="s">
        <v>125</v>
      </c>
      <c r="C233" s="11" t="s">
        <v>115</v>
      </c>
      <c r="D233" s="3" t="s">
        <v>9</v>
      </c>
      <c r="E233" s="6" t="s">
        <v>207</v>
      </c>
      <c r="F233" s="4">
        <v>15000</v>
      </c>
      <c r="G233" s="35">
        <v>46234</v>
      </c>
      <c r="H233" s="35">
        <v>46295</v>
      </c>
      <c r="I233" s="26">
        <v>5000</v>
      </c>
      <c r="J233" s="39" t="s">
        <v>347</v>
      </c>
      <c r="K233" s="39" t="s">
        <v>354</v>
      </c>
      <c r="L233" s="39" t="s">
        <v>356</v>
      </c>
      <c r="M233" s="36">
        <v>15000</v>
      </c>
      <c r="N233" s="38">
        <v>46234</v>
      </c>
      <c r="O233" s="38">
        <v>46295</v>
      </c>
      <c r="P233" s="6"/>
    </row>
    <row r="234" spans="2:16" x14ac:dyDescent="0.25">
      <c r="B234" s="11" t="s">
        <v>125</v>
      </c>
      <c r="C234" s="11" t="s">
        <v>115</v>
      </c>
      <c r="D234" s="3" t="s">
        <v>9</v>
      </c>
      <c r="E234" s="6" t="s">
        <v>208</v>
      </c>
      <c r="F234" s="4">
        <v>15000</v>
      </c>
      <c r="G234" s="35">
        <v>46234</v>
      </c>
      <c r="H234" s="35">
        <v>46295</v>
      </c>
      <c r="I234" s="26">
        <v>5000</v>
      </c>
      <c r="J234" s="39" t="s">
        <v>347</v>
      </c>
      <c r="K234" s="39" t="s">
        <v>354</v>
      </c>
      <c r="L234" s="39" t="s">
        <v>356</v>
      </c>
      <c r="M234" s="36">
        <v>15000</v>
      </c>
      <c r="N234" s="38">
        <v>46234</v>
      </c>
      <c r="O234" s="38">
        <v>46295</v>
      </c>
      <c r="P234" s="6"/>
    </row>
    <row r="235" spans="2:16" x14ac:dyDescent="0.25">
      <c r="B235" s="11" t="s">
        <v>125</v>
      </c>
      <c r="C235" s="11" t="s">
        <v>115</v>
      </c>
      <c r="D235" s="3" t="s">
        <v>38</v>
      </c>
      <c r="E235" s="6" t="s">
        <v>209</v>
      </c>
      <c r="F235" s="4">
        <v>15000</v>
      </c>
      <c r="G235" s="35">
        <v>46234</v>
      </c>
      <c r="H235" s="35">
        <v>46295</v>
      </c>
      <c r="I235" s="26">
        <v>5000</v>
      </c>
      <c r="J235" s="39" t="s">
        <v>347</v>
      </c>
      <c r="K235" s="39" t="s">
        <v>354</v>
      </c>
      <c r="L235" s="39" t="s">
        <v>356</v>
      </c>
      <c r="M235" s="36">
        <v>15000</v>
      </c>
      <c r="N235" s="38">
        <v>46234</v>
      </c>
      <c r="O235" s="38">
        <v>46295</v>
      </c>
      <c r="P235" s="6"/>
    </row>
    <row r="236" spans="2:16" x14ac:dyDescent="0.25">
      <c r="B236" s="11" t="s">
        <v>125</v>
      </c>
      <c r="C236" s="11" t="s">
        <v>115</v>
      </c>
      <c r="D236" s="3" t="s">
        <v>18</v>
      </c>
      <c r="E236" s="6" t="s">
        <v>210</v>
      </c>
      <c r="F236" s="4">
        <v>6000</v>
      </c>
      <c r="G236" s="35">
        <v>46234</v>
      </c>
      <c r="H236" s="35">
        <v>46295</v>
      </c>
      <c r="I236" s="26">
        <v>2000</v>
      </c>
      <c r="J236" s="39" t="s">
        <v>349</v>
      </c>
      <c r="K236" s="39"/>
      <c r="L236" s="39"/>
      <c r="M236" s="36">
        <v>150000</v>
      </c>
      <c r="N236" s="38">
        <v>46326</v>
      </c>
      <c r="O236" s="38">
        <v>46295</v>
      </c>
      <c r="P236" s="6" t="s">
        <v>372</v>
      </c>
    </row>
    <row r="237" spans="2:16" x14ac:dyDescent="0.25">
      <c r="B237" s="11" t="s">
        <v>125</v>
      </c>
      <c r="C237" s="11" t="s">
        <v>115</v>
      </c>
      <c r="D237" s="3" t="s">
        <v>32</v>
      </c>
      <c r="E237" s="6" t="s">
        <v>236</v>
      </c>
      <c r="F237" s="4">
        <v>120000</v>
      </c>
      <c r="G237" s="35">
        <v>46477</v>
      </c>
      <c r="H237" s="35">
        <v>46538</v>
      </c>
      <c r="I237" s="26">
        <v>40000</v>
      </c>
      <c r="J237" s="39" t="s">
        <v>347</v>
      </c>
      <c r="K237" s="39" t="s">
        <v>354</v>
      </c>
      <c r="L237" s="39" t="s">
        <v>356</v>
      </c>
      <c r="M237" s="36">
        <v>120000</v>
      </c>
      <c r="N237" s="38">
        <v>46477</v>
      </c>
      <c r="O237" s="38">
        <v>46538</v>
      </c>
      <c r="P237" s="6"/>
    </row>
    <row r="238" spans="2:16" x14ac:dyDescent="0.25">
      <c r="B238" s="11" t="s">
        <v>217</v>
      </c>
      <c r="C238" s="11" t="s">
        <v>115</v>
      </c>
      <c r="D238" s="3" t="s">
        <v>9</v>
      </c>
      <c r="E238" s="6" t="s">
        <v>10</v>
      </c>
      <c r="F238" s="4">
        <v>10000</v>
      </c>
      <c r="G238" s="35">
        <v>46295</v>
      </c>
      <c r="H238" s="35">
        <v>46356</v>
      </c>
      <c r="I238" s="26">
        <v>3333.3333333333335</v>
      </c>
      <c r="J238" s="39" t="s">
        <v>347</v>
      </c>
      <c r="K238" s="39" t="s">
        <v>353</v>
      </c>
      <c r="L238" s="39" t="s">
        <v>356</v>
      </c>
      <c r="M238" s="36">
        <v>10000</v>
      </c>
      <c r="N238" s="38">
        <v>46295</v>
      </c>
      <c r="O238" s="38">
        <v>46356</v>
      </c>
      <c r="P238" s="6"/>
    </row>
    <row r="239" spans="2:16" x14ac:dyDescent="0.25">
      <c r="B239" s="11" t="s">
        <v>217</v>
      </c>
      <c r="C239" s="11" t="s">
        <v>115</v>
      </c>
      <c r="D239" s="3" t="s">
        <v>38</v>
      </c>
      <c r="E239" s="6" t="s">
        <v>218</v>
      </c>
      <c r="F239" s="4">
        <v>15000</v>
      </c>
      <c r="G239" s="35">
        <v>46295</v>
      </c>
      <c r="H239" s="35">
        <v>46356</v>
      </c>
      <c r="I239" s="26">
        <v>5000</v>
      </c>
      <c r="J239" s="39" t="s">
        <v>347</v>
      </c>
      <c r="K239" s="39" t="s">
        <v>354</v>
      </c>
      <c r="L239" s="39" t="s">
        <v>356</v>
      </c>
      <c r="M239" s="36">
        <v>15000</v>
      </c>
      <c r="N239" s="38">
        <v>46295</v>
      </c>
      <c r="O239" s="38">
        <v>46356</v>
      </c>
      <c r="P239" s="6"/>
    </row>
    <row r="240" spans="2:16" x14ac:dyDescent="0.25">
      <c r="B240" s="11" t="s">
        <v>168</v>
      </c>
      <c r="C240" s="11" t="s">
        <v>115</v>
      </c>
      <c r="D240" s="3" t="s">
        <v>9</v>
      </c>
      <c r="E240" s="6" t="s">
        <v>10</v>
      </c>
      <c r="F240" s="4">
        <v>10000</v>
      </c>
      <c r="G240" s="35">
        <v>46203</v>
      </c>
      <c r="H240" s="35">
        <v>46265</v>
      </c>
      <c r="I240" s="26">
        <v>3333.3333333333335</v>
      </c>
      <c r="J240" s="39" t="s">
        <v>347</v>
      </c>
      <c r="K240" s="39" t="s">
        <v>353</v>
      </c>
      <c r="L240" s="39" t="s">
        <v>356</v>
      </c>
      <c r="M240" s="36">
        <v>10000</v>
      </c>
      <c r="N240" s="38">
        <v>46203</v>
      </c>
      <c r="O240" s="38">
        <v>46265</v>
      </c>
      <c r="P240" s="6"/>
    </row>
    <row r="241" spans="2:16" x14ac:dyDescent="0.25">
      <c r="B241" s="11" t="s">
        <v>158</v>
      </c>
      <c r="C241" s="11" t="s">
        <v>115</v>
      </c>
      <c r="D241" s="3" t="s">
        <v>26</v>
      </c>
      <c r="E241" s="6" t="s">
        <v>85</v>
      </c>
      <c r="F241" s="4">
        <v>25000</v>
      </c>
      <c r="G241" s="35">
        <v>46142</v>
      </c>
      <c r="H241" s="35">
        <v>46203</v>
      </c>
      <c r="I241" s="26">
        <v>8333.3333333333339</v>
      </c>
      <c r="J241" s="39" t="s">
        <v>347</v>
      </c>
      <c r="K241" s="39" t="s">
        <v>353</v>
      </c>
      <c r="L241" s="39" t="s">
        <v>356</v>
      </c>
      <c r="M241" s="36">
        <v>25000</v>
      </c>
      <c r="N241" s="38">
        <v>46142</v>
      </c>
      <c r="O241" s="38">
        <v>46203</v>
      </c>
      <c r="P241" s="6"/>
    </row>
    <row r="242" spans="2:16" x14ac:dyDescent="0.25">
      <c r="B242" s="11" t="s">
        <v>158</v>
      </c>
      <c r="C242" s="11" t="s">
        <v>115</v>
      </c>
      <c r="D242" s="3" t="s">
        <v>24</v>
      </c>
      <c r="E242" s="6" t="s">
        <v>25</v>
      </c>
      <c r="F242" s="4">
        <v>7500</v>
      </c>
      <c r="G242" s="35">
        <v>46142</v>
      </c>
      <c r="H242" s="35">
        <v>46203</v>
      </c>
      <c r="I242" s="26">
        <v>2500</v>
      </c>
      <c r="J242" s="41" t="s">
        <v>349</v>
      </c>
      <c r="K242" s="41"/>
      <c r="L242" s="41"/>
      <c r="M242" s="36">
        <v>7500</v>
      </c>
      <c r="N242" s="38">
        <v>46142</v>
      </c>
      <c r="O242" s="38">
        <v>46203</v>
      </c>
      <c r="P242" s="6"/>
    </row>
    <row r="243" spans="2:16" x14ac:dyDescent="0.25">
      <c r="B243" s="11" t="s">
        <v>158</v>
      </c>
      <c r="C243" s="11" t="s">
        <v>115</v>
      </c>
      <c r="D243" s="3" t="s">
        <v>32</v>
      </c>
      <c r="E243" s="6" t="s">
        <v>235</v>
      </c>
      <c r="F243" s="4">
        <v>1500</v>
      </c>
      <c r="G243" s="35">
        <v>46418</v>
      </c>
      <c r="H243" s="35">
        <v>46477</v>
      </c>
      <c r="I243" s="26">
        <v>500</v>
      </c>
      <c r="J243" s="41" t="s">
        <v>349</v>
      </c>
      <c r="K243" s="39"/>
      <c r="L243" s="39"/>
      <c r="M243" s="36">
        <v>1500</v>
      </c>
      <c r="N243" s="38">
        <v>46418</v>
      </c>
      <c r="O243" s="38">
        <v>46477</v>
      </c>
      <c r="P243" s="6"/>
    </row>
    <row r="244" spans="2:16" x14ac:dyDescent="0.25">
      <c r="B244" s="11" t="s">
        <v>211</v>
      </c>
      <c r="C244" s="11" t="s">
        <v>115</v>
      </c>
      <c r="D244" s="3" t="s">
        <v>9</v>
      </c>
      <c r="E244" s="6" t="s">
        <v>212</v>
      </c>
      <c r="F244" s="4">
        <v>15000</v>
      </c>
      <c r="G244" s="35">
        <v>46234</v>
      </c>
      <c r="H244" s="35">
        <v>46295</v>
      </c>
      <c r="I244" s="26">
        <v>5000</v>
      </c>
      <c r="J244" s="39" t="s">
        <v>347</v>
      </c>
      <c r="K244" s="39" t="s">
        <v>354</v>
      </c>
      <c r="L244" s="39" t="s">
        <v>356</v>
      </c>
      <c r="M244" s="36">
        <v>15000</v>
      </c>
      <c r="N244" s="38">
        <v>46234</v>
      </c>
      <c r="O244" s="38">
        <v>46295</v>
      </c>
      <c r="P244" s="6"/>
    </row>
    <row r="245" spans="2:16" x14ac:dyDescent="0.25">
      <c r="B245" s="11" t="s">
        <v>211</v>
      </c>
      <c r="C245" s="11" t="s">
        <v>115</v>
      </c>
      <c r="D245" s="3" t="s">
        <v>24</v>
      </c>
      <c r="E245" s="6" t="s">
        <v>25</v>
      </c>
      <c r="F245" s="4">
        <v>7500</v>
      </c>
      <c r="G245" s="35">
        <v>46234</v>
      </c>
      <c r="H245" s="35">
        <v>46295</v>
      </c>
      <c r="I245" s="26">
        <v>2500</v>
      </c>
      <c r="J245" s="41" t="s">
        <v>349</v>
      </c>
      <c r="K245" s="41"/>
      <c r="L245" s="41"/>
      <c r="M245" s="36">
        <v>7500</v>
      </c>
      <c r="N245" s="38">
        <v>46234</v>
      </c>
      <c r="O245" s="38">
        <v>46295</v>
      </c>
      <c r="P245" s="6"/>
    </row>
    <row r="246" spans="2:16" x14ac:dyDescent="0.25">
      <c r="B246" s="11" t="s">
        <v>211</v>
      </c>
      <c r="C246" s="11" t="s">
        <v>115</v>
      </c>
      <c r="D246" s="3" t="s">
        <v>38</v>
      </c>
      <c r="E246" s="6" t="s">
        <v>70</v>
      </c>
      <c r="F246" s="4">
        <v>5000</v>
      </c>
      <c r="G246" s="35">
        <v>46326</v>
      </c>
      <c r="H246" s="35">
        <v>46387</v>
      </c>
      <c r="I246" s="26">
        <v>1666.6666666666667</v>
      </c>
      <c r="J246" s="39" t="s">
        <v>347</v>
      </c>
      <c r="K246" s="39" t="s">
        <v>354</v>
      </c>
      <c r="L246" s="39" t="s">
        <v>356</v>
      </c>
      <c r="M246" s="36">
        <v>5000</v>
      </c>
      <c r="N246" s="38">
        <v>46326</v>
      </c>
      <c r="O246" s="38">
        <v>46387</v>
      </c>
      <c r="P246" s="6"/>
    </row>
    <row r="247" spans="2:16" x14ac:dyDescent="0.25">
      <c r="B247" s="12" t="s">
        <v>127</v>
      </c>
      <c r="C247" s="12" t="s">
        <v>115</v>
      </c>
      <c r="D247" s="3" t="s">
        <v>22</v>
      </c>
      <c r="E247" s="6" t="s">
        <v>128</v>
      </c>
      <c r="F247" s="4">
        <v>20000</v>
      </c>
      <c r="G247" s="35">
        <v>46053</v>
      </c>
      <c r="H247" s="35">
        <v>46387</v>
      </c>
      <c r="I247" s="26">
        <v>1666.6666666666667</v>
      </c>
      <c r="J247" s="39" t="s">
        <v>349</v>
      </c>
      <c r="K247" s="39"/>
      <c r="L247" s="39"/>
      <c r="M247" s="36">
        <v>20000</v>
      </c>
      <c r="N247" s="38">
        <v>46053</v>
      </c>
      <c r="O247" s="38">
        <v>46387</v>
      </c>
      <c r="P247" s="6"/>
    </row>
  </sheetData>
  <autoFilter ref="B2:P247" xr:uid="{1002F00C-7733-4DA3-8DE1-E8A8B4DF0AAF}">
    <filterColumn colId="0">
      <filters>
        <filter val="AMER"/>
        <filter val="ARD"/>
        <filter val="BOVI"/>
        <filter val="BOVII"/>
        <filter val="BRUN"/>
        <filter val="CENT"/>
        <filter val="CONG"/>
        <filter val="DO"/>
        <filter val="EG"/>
        <filter val="FOX"/>
        <filter val="GO"/>
        <filter val="GPT"/>
        <filter val="GULF"/>
        <filter val="HARB"/>
        <filter val="HP"/>
        <filter val="JBJ"/>
        <filter val="LS"/>
        <filter val="LUCK"/>
        <filter val="LW"/>
        <filter val="MON"/>
        <filter val="NGMH"/>
        <filter val="OAK"/>
        <filter val="OBO"/>
        <filter val="OCEAN"/>
        <filter val="PARK"/>
        <filter val="PL"/>
        <filter val="PP"/>
        <filter val="PPH"/>
        <filter val="PSE"/>
        <filter val="RED"/>
        <filter val="RIV"/>
        <filter val="RO"/>
        <filter val="ROYAL"/>
        <filter val="RP"/>
        <filter val="RW"/>
        <filter val="SA"/>
        <filter val="SH"/>
        <filter val="SILVER"/>
        <filter val="SO"/>
        <filter val="SOUTH"/>
        <filter val="SS"/>
        <filter val="SSS"/>
        <filter val="SUR"/>
        <filter val="TC"/>
        <filter val="TO"/>
        <filter val="TRADE"/>
        <filter val="VO"/>
        <filter val="WIND"/>
        <filter val="WPMH"/>
        <filter val="WW"/>
      </filters>
    </filterColumn>
    <sortState xmlns:xlrd2="http://schemas.microsoft.com/office/spreadsheetml/2017/richdata2" ref="B3:P247">
      <sortCondition ref="C2"/>
    </sortState>
  </autoFilter>
  <conditionalFormatting sqref="G3:H247">
    <cfRule type="cellIs" dxfId="1" priority="2" operator="equal">
      <formula>"n/a"</formula>
    </cfRule>
  </conditionalFormatting>
  <conditionalFormatting sqref="N3:O247">
    <cfRule type="cellIs" dxfId="0" priority="1" operator="equal">
      <formula>"n/a"</formula>
    </cfRule>
  </conditionalFormatting>
  <dataValidations count="3">
    <dataValidation type="list" allowBlank="1" showInputMessage="1" showErrorMessage="1" sqref="K358:L912 J3:J912" xr:uid="{03B53530-52C1-4A72-8070-A80AC749C666}">
      <formula1>$X$3:$X$6</formula1>
    </dataValidation>
    <dataValidation type="list" allowBlank="1" showInputMessage="1" showErrorMessage="1" sqref="L357 K3:K357" xr:uid="{F9F96595-C60F-4FBF-85E4-9D88570AEA3B}">
      <formula1>"High,Low"</formula1>
    </dataValidation>
    <dataValidation type="list" allowBlank="1" showInputMessage="1" showErrorMessage="1" sqref="L3:L356" xr:uid="{F96A30A5-9800-4B70-BB08-2DAFFE017618}">
      <formula1>"Construction,Operations,Occupancy"</formula1>
    </dataValidation>
  </dataValidations>
  <pageMargins left="0.7" right="0.7" top="0.75" bottom="0.75" header="0.3" footer="0.3"/>
  <pageSetup scale="34" orientation="portrait" r:id="rId1"/>
  <rowBreaks count="1" manualBreakCount="1">
    <brk id="114" min="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F61D-FA5D-459D-A31E-16482DDCD4AB}">
  <dimension ref="B2:S68"/>
  <sheetViews>
    <sheetView showGridLines="0" view="pageBreakPreview" zoomScaleNormal="115" zoomScaleSheetLayoutView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4" max="4" width="13.140625" bestFit="1" customWidth="1"/>
    <col min="5" max="5" width="13.85546875" bestFit="1" customWidth="1"/>
    <col min="6" max="7" width="12.5703125" customWidth="1"/>
    <col min="8" max="8" width="14" bestFit="1" customWidth="1"/>
    <col min="9" max="10" width="12.5703125" customWidth="1"/>
    <col min="11" max="11" width="19.28515625" bestFit="1" customWidth="1"/>
    <col min="12" max="12" width="12.5703125" customWidth="1"/>
    <col min="13" max="13" width="16.85546875" bestFit="1" customWidth="1"/>
    <col min="14" max="15" width="13.5703125" bestFit="1" customWidth="1"/>
    <col min="16" max="18" width="12.5703125" customWidth="1"/>
    <col min="19" max="19" width="13.140625" style="7" bestFit="1" customWidth="1"/>
  </cols>
  <sheetData>
    <row r="2" spans="2:19" ht="17.25" x14ac:dyDescent="0.4">
      <c r="B2" s="15" t="s">
        <v>238</v>
      </c>
      <c r="C2" s="15" t="s">
        <v>1</v>
      </c>
      <c r="D2" s="16" t="s">
        <v>9</v>
      </c>
      <c r="E2" s="16" t="s">
        <v>12</v>
      </c>
      <c r="F2" s="16" t="s">
        <v>17</v>
      </c>
      <c r="G2" s="16" t="s">
        <v>18</v>
      </c>
      <c r="H2" s="16" t="s">
        <v>22</v>
      </c>
      <c r="I2" s="16" t="s">
        <v>24</v>
      </c>
      <c r="J2" s="16" t="s">
        <v>26</v>
      </c>
      <c r="K2" s="16" t="s">
        <v>32</v>
      </c>
      <c r="L2" s="16" t="s">
        <v>38</v>
      </c>
      <c r="M2" s="16" t="s">
        <v>54</v>
      </c>
      <c r="N2" s="16" t="s">
        <v>58</v>
      </c>
      <c r="O2" s="16" t="s">
        <v>63</v>
      </c>
      <c r="P2" s="16" t="s">
        <v>74</v>
      </c>
      <c r="Q2" s="16" t="s">
        <v>79</v>
      </c>
      <c r="R2" s="16" t="s">
        <v>92</v>
      </c>
      <c r="S2" s="16" t="s">
        <v>239</v>
      </c>
    </row>
    <row r="3" spans="2:19" x14ac:dyDescent="0.25">
      <c r="B3" s="10" t="s">
        <v>20</v>
      </c>
      <c r="C3" s="10" t="str">
        <f>VLOOKUP(B3,Data!B:C,2,FALSE)</f>
        <v>JREFI</v>
      </c>
      <c r="D3" s="17">
        <f>SUMIFS(Data!$F:$F,Data!$B:$B,$B3,Data!$D:$D,D$2)</f>
        <v>15000</v>
      </c>
      <c r="E3" s="17">
        <f>SUMIFS(Data!$F:$F,Data!$B:$B,$B3,Data!$D:$D,E$2)</f>
        <v>0</v>
      </c>
      <c r="F3" s="17">
        <f>SUMIFS(Data!$F:$F,Data!$B:$B,$B3,Data!$D:$D,F$2)</f>
        <v>0</v>
      </c>
      <c r="G3" s="17">
        <f>SUMIFS(Data!$F:$F,Data!$B:$B,$B3,Data!$D:$D,G$2)</f>
        <v>40000</v>
      </c>
      <c r="H3" s="17">
        <f>SUMIFS(Data!$F:$F,Data!$B:$B,$B3,Data!$D:$D,H$2)</f>
        <v>6000</v>
      </c>
      <c r="I3" s="17">
        <f>SUMIFS(Data!$F:$F,Data!$B:$B,$B3,Data!$D:$D,I$2)</f>
        <v>7500</v>
      </c>
      <c r="J3" s="17">
        <f>SUMIFS(Data!$F:$F,Data!$B:$B,$B3,Data!$D:$D,J$2)</f>
        <v>30000</v>
      </c>
      <c r="K3" s="17">
        <f>SUMIFS(Data!$F:$F,Data!$B:$B,$B3,Data!$D:$D,K$2)</f>
        <v>0</v>
      </c>
      <c r="L3" s="17">
        <f>SUMIFS(Data!$F:$F,Data!$B:$B,$B3,Data!$D:$D,L$2)</f>
        <v>0</v>
      </c>
      <c r="M3" s="17">
        <f>SUMIFS(Data!$F:$F,Data!$B:$B,$B3,Data!$D:$D,M$2)</f>
        <v>0</v>
      </c>
      <c r="N3" s="17">
        <f>SUMIFS(Data!$F:$F,Data!$B:$B,$B3,Data!$D:$D,N$2)</f>
        <v>0</v>
      </c>
      <c r="O3" s="17">
        <f>SUMIFS(Data!$F:$F,Data!$B:$B,$B3,Data!$D:$D,O$2)</f>
        <v>0</v>
      </c>
      <c r="P3" s="17">
        <f>SUMIFS(Data!$F:$F,Data!$B:$B,$B3,Data!$D:$D,P$2)</f>
        <v>0</v>
      </c>
      <c r="Q3" s="17">
        <f>SUMIFS(Data!$F:$F,Data!$B:$B,$B3,Data!$D:$D,Q$2)</f>
        <v>0</v>
      </c>
      <c r="R3" s="17">
        <f>SUMIFS(Data!$F:$F,Data!$B:$B,$B3,Data!$D:$D,R$2)</f>
        <v>0</v>
      </c>
      <c r="S3" s="18">
        <f>SUM(D3:R3)</f>
        <v>98500</v>
      </c>
    </row>
    <row r="4" spans="2:19" x14ac:dyDescent="0.25">
      <c r="B4" s="11" t="s">
        <v>28</v>
      </c>
      <c r="C4" s="11" t="str">
        <f>VLOOKUP(B4,Data!B:C,2,FALSE)</f>
        <v>JREFI</v>
      </c>
      <c r="D4" s="19">
        <f>SUMIFS(Data!$F:$F,Data!$B:$B,$B4,Data!$D:$D,D$2)</f>
        <v>0</v>
      </c>
      <c r="E4" s="19">
        <f>SUMIFS(Data!$F:$F,Data!$B:$B,$B4,Data!$D:$D,E$2)</f>
        <v>0</v>
      </c>
      <c r="F4" s="19">
        <f>SUMIFS(Data!$F:$F,Data!$B:$B,$B4,Data!$D:$D,F$2)</f>
        <v>10000</v>
      </c>
      <c r="G4" s="19">
        <f>SUMIFS(Data!$F:$F,Data!$B:$B,$B4,Data!$D:$D,G$2)</f>
        <v>25000</v>
      </c>
      <c r="H4" s="19">
        <f>SUMIFS(Data!$F:$F,Data!$B:$B,$B4,Data!$D:$D,H$2)</f>
        <v>0</v>
      </c>
      <c r="I4" s="19">
        <f>SUMIFS(Data!$F:$F,Data!$B:$B,$B4,Data!$D:$D,I$2)</f>
        <v>7500</v>
      </c>
      <c r="J4" s="19">
        <f>SUMIFS(Data!$F:$F,Data!$B:$B,$B4,Data!$D:$D,J$2)</f>
        <v>5000</v>
      </c>
      <c r="K4" s="19">
        <f>SUMIFS(Data!$F:$F,Data!$B:$B,$B4,Data!$D:$D,K$2)</f>
        <v>7500</v>
      </c>
      <c r="L4" s="19">
        <f>SUMIFS(Data!$F:$F,Data!$B:$B,$B4,Data!$D:$D,L$2)</f>
        <v>0</v>
      </c>
      <c r="M4" s="19">
        <f>SUMIFS(Data!$F:$F,Data!$B:$B,$B4,Data!$D:$D,M$2)</f>
        <v>0</v>
      </c>
      <c r="N4" s="19">
        <f>SUMIFS(Data!$F:$F,Data!$B:$B,$B4,Data!$D:$D,N$2)</f>
        <v>0</v>
      </c>
      <c r="O4" s="19">
        <f>SUMIFS(Data!$F:$F,Data!$B:$B,$B4,Data!$D:$D,O$2)</f>
        <v>0</v>
      </c>
      <c r="P4" s="19">
        <f>SUMIFS(Data!$F:$F,Data!$B:$B,$B4,Data!$D:$D,P$2)</f>
        <v>0</v>
      </c>
      <c r="Q4" s="19">
        <f>SUMIFS(Data!$F:$F,Data!$B:$B,$B4,Data!$D:$D,Q$2)</f>
        <v>0</v>
      </c>
      <c r="R4" s="19">
        <f>SUMIFS(Data!$F:$F,Data!$B:$B,$B4,Data!$D:$D,R$2)</f>
        <v>0</v>
      </c>
      <c r="S4" s="20">
        <f t="shared" ref="S4:S45" si="0">SUM(D4:R4)</f>
        <v>55000</v>
      </c>
    </row>
    <row r="5" spans="2:19" x14ac:dyDescent="0.25">
      <c r="B5" s="11" t="s">
        <v>30</v>
      </c>
      <c r="C5" s="11" t="str">
        <f>VLOOKUP(B5,Data!B:C,2,FALSE)</f>
        <v>JREFI</v>
      </c>
      <c r="D5" s="19">
        <f>SUMIFS(Data!$F:$F,Data!$B:$B,$B5,Data!$D:$D,D$2)</f>
        <v>0</v>
      </c>
      <c r="E5" s="19">
        <f>SUMIFS(Data!$F:$F,Data!$B:$B,$B5,Data!$D:$D,E$2)</f>
        <v>0</v>
      </c>
      <c r="F5" s="19">
        <f>SUMIFS(Data!$F:$F,Data!$B:$B,$B5,Data!$D:$D,F$2)</f>
        <v>0</v>
      </c>
      <c r="G5" s="19">
        <f>SUMIFS(Data!$F:$F,Data!$B:$B,$B5,Data!$D:$D,G$2)</f>
        <v>35000</v>
      </c>
      <c r="H5" s="19">
        <f>SUMIFS(Data!$F:$F,Data!$B:$B,$B5,Data!$D:$D,H$2)</f>
        <v>72000</v>
      </c>
      <c r="I5" s="19">
        <f>SUMIFS(Data!$F:$F,Data!$B:$B,$B5,Data!$D:$D,I$2)</f>
        <v>7500</v>
      </c>
      <c r="J5" s="19">
        <f>SUMIFS(Data!$F:$F,Data!$B:$B,$B5,Data!$D:$D,J$2)</f>
        <v>30000</v>
      </c>
      <c r="K5" s="19">
        <f>SUMIFS(Data!$F:$F,Data!$B:$B,$B5,Data!$D:$D,K$2)</f>
        <v>10000</v>
      </c>
      <c r="L5" s="19">
        <f>SUMIFS(Data!$F:$F,Data!$B:$B,$B5,Data!$D:$D,L$2)</f>
        <v>0</v>
      </c>
      <c r="M5" s="19">
        <f>SUMIFS(Data!$F:$F,Data!$B:$B,$B5,Data!$D:$D,M$2)</f>
        <v>0</v>
      </c>
      <c r="N5" s="19">
        <f>SUMIFS(Data!$F:$F,Data!$B:$B,$B5,Data!$D:$D,N$2)</f>
        <v>0</v>
      </c>
      <c r="O5" s="19">
        <f>SUMIFS(Data!$F:$F,Data!$B:$B,$B5,Data!$D:$D,O$2)</f>
        <v>0</v>
      </c>
      <c r="P5" s="19">
        <f>SUMIFS(Data!$F:$F,Data!$B:$B,$B5,Data!$D:$D,P$2)</f>
        <v>0</v>
      </c>
      <c r="Q5" s="19">
        <f>SUMIFS(Data!$F:$F,Data!$B:$B,$B5,Data!$D:$D,Q$2)</f>
        <v>0</v>
      </c>
      <c r="R5" s="19">
        <f>SUMIFS(Data!$F:$F,Data!$B:$B,$B5,Data!$D:$D,R$2)</f>
        <v>0</v>
      </c>
      <c r="S5" s="20">
        <f t="shared" si="0"/>
        <v>154500</v>
      </c>
    </row>
    <row r="6" spans="2:19" x14ac:dyDescent="0.25">
      <c r="B6" s="11" t="s">
        <v>36</v>
      </c>
      <c r="C6" s="11" t="str">
        <f>VLOOKUP(B6,Data!B:C,2,FALSE)</f>
        <v>JREFI</v>
      </c>
      <c r="D6" s="19">
        <f>SUMIFS(Data!$F:$F,Data!$B:$B,$B6,Data!$D:$D,D$2)</f>
        <v>15000</v>
      </c>
      <c r="E6" s="19">
        <f>SUMIFS(Data!$F:$F,Data!$B:$B,$B6,Data!$D:$D,E$2)</f>
        <v>0</v>
      </c>
      <c r="F6" s="19">
        <f>SUMIFS(Data!$F:$F,Data!$B:$B,$B6,Data!$D:$D,F$2)</f>
        <v>10000</v>
      </c>
      <c r="G6" s="19">
        <f>SUMIFS(Data!$F:$F,Data!$B:$B,$B6,Data!$D:$D,G$2)</f>
        <v>0</v>
      </c>
      <c r="H6" s="19">
        <f>SUMIFS(Data!$F:$F,Data!$B:$B,$B6,Data!$D:$D,H$2)</f>
        <v>0</v>
      </c>
      <c r="I6" s="19">
        <f>SUMIFS(Data!$F:$F,Data!$B:$B,$B6,Data!$D:$D,I$2)</f>
        <v>7500</v>
      </c>
      <c r="J6" s="19">
        <f>SUMIFS(Data!$F:$F,Data!$B:$B,$B6,Data!$D:$D,J$2)</f>
        <v>0</v>
      </c>
      <c r="K6" s="19">
        <f>SUMIFS(Data!$F:$F,Data!$B:$B,$B6,Data!$D:$D,K$2)</f>
        <v>0</v>
      </c>
      <c r="L6" s="19">
        <f>SUMIFS(Data!$F:$F,Data!$B:$B,$B6,Data!$D:$D,L$2)</f>
        <v>15000</v>
      </c>
      <c r="M6" s="19">
        <f>SUMIFS(Data!$F:$F,Data!$B:$B,$B6,Data!$D:$D,M$2)</f>
        <v>0</v>
      </c>
      <c r="N6" s="19">
        <f>SUMIFS(Data!$F:$F,Data!$B:$B,$B6,Data!$D:$D,N$2)</f>
        <v>20000</v>
      </c>
      <c r="O6" s="19">
        <f>SUMIFS(Data!$F:$F,Data!$B:$B,$B6,Data!$D:$D,O$2)</f>
        <v>0</v>
      </c>
      <c r="P6" s="19">
        <f>SUMIFS(Data!$F:$F,Data!$B:$B,$B6,Data!$D:$D,P$2)</f>
        <v>0</v>
      </c>
      <c r="Q6" s="19">
        <f>SUMIFS(Data!$F:$F,Data!$B:$B,$B6,Data!$D:$D,Q$2)</f>
        <v>0</v>
      </c>
      <c r="R6" s="19">
        <f>SUMIFS(Data!$F:$F,Data!$B:$B,$B6,Data!$D:$D,R$2)</f>
        <v>0</v>
      </c>
      <c r="S6" s="20">
        <f t="shared" si="0"/>
        <v>67500</v>
      </c>
    </row>
    <row r="7" spans="2:19" x14ac:dyDescent="0.25">
      <c r="B7" s="11" t="s">
        <v>37</v>
      </c>
      <c r="C7" s="11" t="str">
        <f>VLOOKUP(B7,Data!B:C,2,FALSE)</f>
        <v>JREFI</v>
      </c>
      <c r="D7" s="19">
        <f>SUMIFS(Data!$F:$F,Data!$B:$B,$B7,Data!$D:$D,D$2)</f>
        <v>0</v>
      </c>
      <c r="E7" s="19">
        <f>SUMIFS(Data!$F:$F,Data!$B:$B,$B7,Data!$D:$D,E$2)</f>
        <v>0</v>
      </c>
      <c r="F7" s="19">
        <f>SUMIFS(Data!$F:$F,Data!$B:$B,$B7,Data!$D:$D,F$2)</f>
        <v>0</v>
      </c>
      <c r="G7" s="19">
        <f>SUMIFS(Data!$F:$F,Data!$B:$B,$B7,Data!$D:$D,G$2)</f>
        <v>0</v>
      </c>
      <c r="H7" s="19">
        <f>SUMIFS(Data!$F:$F,Data!$B:$B,$B7,Data!$D:$D,H$2)</f>
        <v>0</v>
      </c>
      <c r="I7" s="19">
        <f>SUMIFS(Data!$F:$F,Data!$B:$B,$B7,Data!$D:$D,I$2)</f>
        <v>7500</v>
      </c>
      <c r="J7" s="19">
        <f>SUMIFS(Data!$F:$F,Data!$B:$B,$B7,Data!$D:$D,J$2)</f>
        <v>0</v>
      </c>
      <c r="K7" s="19">
        <f>SUMIFS(Data!$F:$F,Data!$B:$B,$B7,Data!$D:$D,K$2)</f>
        <v>0</v>
      </c>
      <c r="L7" s="19">
        <f>SUMIFS(Data!$F:$F,Data!$B:$B,$B7,Data!$D:$D,L$2)</f>
        <v>5000</v>
      </c>
      <c r="M7" s="19">
        <f>SUMIFS(Data!$F:$F,Data!$B:$B,$B7,Data!$D:$D,M$2)</f>
        <v>0</v>
      </c>
      <c r="N7" s="19">
        <f>SUMIFS(Data!$F:$F,Data!$B:$B,$B7,Data!$D:$D,N$2)</f>
        <v>25000</v>
      </c>
      <c r="O7" s="19">
        <f>SUMIFS(Data!$F:$F,Data!$B:$B,$B7,Data!$D:$D,O$2)</f>
        <v>0</v>
      </c>
      <c r="P7" s="19">
        <f>SUMIFS(Data!$F:$F,Data!$B:$B,$B7,Data!$D:$D,P$2)</f>
        <v>0</v>
      </c>
      <c r="Q7" s="19">
        <f>SUMIFS(Data!$F:$F,Data!$B:$B,$B7,Data!$D:$D,Q$2)</f>
        <v>0</v>
      </c>
      <c r="R7" s="19">
        <f>SUMIFS(Data!$F:$F,Data!$B:$B,$B7,Data!$D:$D,R$2)</f>
        <v>0</v>
      </c>
      <c r="S7" s="20">
        <f t="shared" si="0"/>
        <v>37500</v>
      </c>
    </row>
    <row r="8" spans="2:19" x14ac:dyDescent="0.25">
      <c r="B8" s="11" t="s">
        <v>171</v>
      </c>
      <c r="C8" s="11" t="str">
        <f>VLOOKUP(B8,Data!B:C,2,FALSE)</f>
        <v>JREFI</v>
      </c>
      <c r="D8" s="19">
        <f>SUMIFS(Data!$F:$F,Data!$B:$B,$B8,Data!$D:$D,D$2)</f>
        <v>15000</v>
      </c>
      <c r="E8" s="19">
        <f>SUMIFS(Data!$F:$F,Data!$B:$B,$B8,Data!$D:$D,E$2)</f>
        <v>0</v>
      </c>
      <c r="F8" s="19">
        <f>SUMIFS(Data!$F:$F,Data!$B:$B,$B8,Data!$D:$D,F$2)</f>
        <v>10000</v>
      </c>
      <c r="G8" s="19">
        <f>SUMIFS(Data!$F:$F,Data!$B:$B,$B8,Data!$D:$D,G$2)</f>
        <v>0</v>
      </c>
      <c r="H8" s="19">
        <f>SUMIFS(Data!$F:$F,Data!$B:$B,$B8,Data!$D:$D,H$2)</f>
        <v>0</v>
      </c>
      <c r="I8" s="19">
        <f>SUMIFS(Data!$F:$F,Data!$B:$B,$B8,Data!$D:$D,I$2)</f>
        <v>7500</v>
      </c>
      <c r="J8" s="19">
        <f>SUMIFS(Data!$F:$F,Data!$B:$B,$B8,Data!$D:$D,J$2)</f>
        <v>0</v>
      </c>
      <c r="K8" s="19">
        <f>SUMIFS(Data!$F:$F,Data!$B:$B,$B8,Data!$D:$D,K$2)</f>
        <v>0</v>
      </c>
      <c r="L8" s="19">
        <f>SUMIFS(Data!$F:$F,Data!$B:$B,$B8,Data!$D:$D,L$2)</f>
        <v>15000</v>
      </c>
      <c r="M8" s="19">
        <f>SUMIFS(Data!$F:$F,Data!$B:$B,$B8,Data!$D:$D,M$2)</f>
        <v>0</v>
      </c>
      <c r="N8" s="19">
        <f>SUMIFS(Data!$F:$F,Data!$B:$B,$B8,Data!$D:$D,N$2)</f>
        <v>0</v>
      </c>
      <c r="O8" s="19">
        <f>SUMIFS(Data!$F:$F,Data!$B:$B,$B8,Data!$D:$D,O$2)</f>
        <v>0</v>
      </c>
      <c r="P8" s="19">
        <f>SUMIFS(Data!$F:$F,Data!$B:$B,$B8,Data!$D:$D,P$2)</f>
        <v>0</v>
      </c>
      <c r="Q8" s="19">
        <f>SUMIFS(Data!$F:$F,Data!$B:$B,$B8,Data!$D:$D,Q$2)</f>
        <v>0</v>
      </c>
      <c r="R8" s="19">
        <f>SUMIFS(Data!$F:$F,Data!$B:$B,$B8,Data!$D:$D,R$2)</f>
        <v>0</v>
      </c>
      <c r="S8" s="20">
        <f t="shared" si="0"/>
        <v>47500</v>
      </c>
    </row>
    <row r="9" spans="2:19" x14ac:dyDescent="0.25">
      <c r="B9" s="11" t="s">
        <v>40</v>
      </c>
      <c r="C9" s="11" t="str">
        <f>VLOOKUP(B9,Data!B:C,2,FALSE)</f>
        <v>JREFI</v>
      </c>
      <c r="D9" s="19">
        <f>SUMIFS(Data!$F:$F,Data!$B:$B,$B9,Data!$D:$D,D$2)</f>
        <v>0</v>
      </c>
      <c r="E9" s="19">
        <f>SUMIFS(Data!$F:$F,Data!$B:$B,$B9,Data!$D:$D,E$2)</f>
        <v>0</v>
      </c>
      <c r="F9" s="19">
        <f>SUMIFS(Data!$F:$F,Data!$B:$B,$B9,Data!$D:$D,F$2)</f>
        <v>0</v>
      </c>
      <c r="G9" s="19">
        <f>SUMIFS(Data!$F:$F,Data!$B:$B,$B9,Data!$D:$D,G$2)</f>
        <v>15000</v>
      </c>
      <c r="H9" s="19">
        <f>SUMIFS(Data!$F:$F,Data!$B:$B,$B9,Data!$D:$D,H$2)</f>
        <v>360000</v>
      </c>
      <c r="I9" s="19">
        <f>SUMIFS(Data!$F:$F,Data!$B:$B,$B9,Data!$D:$D,I$2)</f>
        <v>0</v>
      </c>
      <c r="J9" s="19">
        <f>SUMIFS(Data!$F:$F,Data!$B:$B,$B9,Data!$D:$D,J$2)</f>
        <v>15000</v>
      </c>
      <c r="K9" s="19">
        <f>SUMIFS(Data!$F:$F,Data!$B:$B,$B9,Data!$D:$D,K$2)</f>
        <v>0</v>
      </c>
      <c r="L9" s="19">
        <f>SUMIFS(Data!$F:$F,Data!$B:$B,$B9,Data!$D:$D,L$2)</f>
        <v>0</v>
      </c>
      <c r="M9" s="19">
        <f>SUMIFS(Data!$F:$F,Data!$B:$B,$B9,Data!$D:$D,M$2)</f>
        <v>0</v>
      </c>
      <c r="N9" s="19">
        <f>SUMIFS(Data!$F:$F,Data!$B:$B,$B9,Data!$D:$D,N$2)</f>
        <v>4000</v>
      </c>
      <c r="O9" s="19">
        <f>SUMIFS(Data!$F:$F,Data!$B:$B,$B9,Data!$D:$D,O$2)</f>
        <v>0</v>
      </c>
      <c r="P9" s="19">
        <f>SUMIFS(Data!$F:$F,Data!$B:$B,$B9,Data!$D:$D,P$2)</f>
        <v>0</v>
      </c>
      <c r="Q9" s="19">
        <f>SUMIFS(Data!$F:$F,Data!$B:$B,$B9,Data!$D:$D,Q$2)</f>
        <v>0</v>
      </c>
      <c r="R9" s="19">
        <f>SUMIFS(Data!$F:$F,Data!$B:$B,$B9,Data!$D:$D,R$2)</f>
        <v>0</v>
      </c>
      <c r="S9" s="20">
        <f t="shared" si="0"/>
        <v>394000</v>
      </c>
    </row>
    <row r="10" spans="2:19" x14ac:dyDescent="0.25">
      <c r="B10" s="11" t="s">
        <v>43</v>
      </c>
      <c r="C10" s="11" t="str">
        <f>VLOOKUP(B10,Data!B:C,2,FALSE)</f>
        <v>JREFI</v>
      </c>
      <c r="D10" s="19">
        <f>SUMIFS(Data!$F:$F,Data!$B:$B,$B10,Data!$D:$D,D$2)</f>
        <v>40000</v>
      </c>
      <c r="E10" s="19">
        <f>SUMIFS(Data!$F:$F,Data!$B:$B,$B10,Data!$D:$D,E$2)</f>
        <v>0</v>
      </c>
      <c r="F10" s="19">
        <f>SUMIFS(Data!$F:$F,Data!$B:$B,$B10,Data!$D:$D,F$2)</f>
        <v>0</v>
      </c>
      <c r="G10" s="19">
        <f>SUMIFS(Data!$F:$F,Data!$B:$B,$B10,Data!$D:$D,G$2)</f>
        <v>8000</v>
      </c>
      <c r="H10" s="19">
        <f>SUMIFS(Data!$F:$F,Data!$B:$B,$B10,Data!$D:$D,H$2)</f>
        <v>0</v>
      </c>
      <c r="I10" s="19">
        <f>SUMIFS(Data!$F:$F,Data!$B:$B,$B10,Data!$D:$D,I$2)</f>
        <v>0</v>
      </c>
      <c r="J10" s="19">
        <f>SUMIFS(Data!$F:$F,Data!$B:$B,$B10,Data!$D:$D,J$2)</f>
        <v>0</v>
      </c>
      <c r="K10" s="19">
        <f>SUMIFS(Data!$F:$F,Data!$B:$B,$B10,Data!$D:$D,K$2)</f>
        <v>0</v>
      </c>
      <c r="L10" s="19">
        <f>SUMIFS(Data!$F:$F,Data!$B:$B,$B10,Data!$D:$D,L$2)</f>
        <v>0</v>
      </c>
      <c r="M10" s="19">
        <f>SUMIFS(Data!$F:$F,Data!$B:$B,$B10,Data!$D:$D,M$2)</f>
        <v>0</v>
      </c>
      <c r="N10" s="19">
        <f>SUMIFS(Data!$F:$F,Data!$B:$B,$B10,Data!$D:$D,N$2)</f>
        <v>0</v>
      </c>
      <c r="O10" s="19">
        <f>SUMIFS(Data!$F:$F,Data!$B:$B,$B10,Data!$D:$D,O$2)</f>
        <v>0</v>
      </c>
      <c r="P10" s="19">
        <f>SUMIFS(Data!$F:$F,Data!$B:$B,$B10,Data!$D:$D,P$2)</f>
        <v>0</v>
      </c>
      <c r="Q10" s="19">
        <f>SUMIFS(Data!$F:$F,Data!$B:$B,$B10,Data!$D:$D,Q$2)</f>
        <v>0</v>
      </c>
      <c r="R10" s="19">
        <f>SUMIFS(Data!$F:$F,Data!$B:$B,$B10,Data!$D:$D,R$2)</f>
        <v>0</v>
      </c>
      <c r="S10" s="20">
        <f t="shared" si="0"/>
        <v>48000</v>
      </c>
    </row>
    <row r="11" spans="2:19" x14ac:dyDescent="0.25">
      <c r="B11" s="11" t="s">
        <v>46</v>
      </c>
      <c r="C11" s="11" t="str">
        <f>VLOOKUP(B11,Data!B:C,2,FALSE)</f>
        <v>JREFI</v>
      </c>
      <c r="D11" s="19">
        <f>SUMIFS(Data!$F:$F,Data!$B:$B,$B11,Data!$D:$D,D$2)</f>
        <v>0</v>
      </c>
      <c r="E11" s="19">
        <f>SUMIFS(Data!$F:$F,Data!$B:$B,$B11,Data!$D:$D,E$2)</f>
        <v>0</v>
      </c>
      <c r="F11" s="19">
        <f>SUMIFS(Data!$F:$F,Data!$B:$B,$B11,Data!$D:$D,F$2)</f>
        <v>0</v>
      </c>
      <c r="G11" s="19">
        <f>SUMIFS(Data!$F:$F,Data!$B:$B,$B11,Data!$D:$D,G$2)</f>
        <v>14000</v>
      </c>
      <c r="H11" s="19">
        <f>SUMIFS(Data!$F:$F,Data!$B:$B,$B11,Data!$D:$D,H$2)</f>
        <v>0</v>
      </c>
      <c r="I11" s="19">
        <f>SUMIFS(Data!$F:$F,Data!$B:$B,$B11,Data!$D:$D,I$2)</f>
        <v>0</v>
      </c>
      <c r="J11" s="19">
        <f>SUMIFS(Data!$F:$F,Data!$B:$B,$B11,Data!$D:$D,J$2)</f>
        <v>25000</v>
      </c>
      <c r="K11" s="19">
        <f>SUMIFS(Data!$F:$F,Data!$B:$B,$B11,Data!$D:$D,K$2)</f>
        <v>15000</v>
      </c>
      <c r="L11" s="19">
        <f>SUMIFS(Data!$F:$F,Data!$B:$B,$B11,Data!$D:$D,L$2)</f>
        <v>30000</v>
      </c>
      <c r="M11" s="19">
        <f>SUMIFS(Data!$F:$F,Data!$B:$B,$B11,Data!$D:$D,M$2)</f>
        <v>0</v>
      </c>
      <c r="N11" s="19">
        <f>SUMIFS(Data!$F:$F,Data!$B:$B,$B11,Data!$D:$D,N$2)</f>
        <v>0</v>
      </c>
      <c r="O11" s="19">
        <f>SUMIFS(Data!$F:$F,Data!$B:$B,$B11,Data!$D:$D,O$2)</f>
        <v>0</v>
      </c>
      <c r="P11" s="19">
        <f>SUMIFS(Data!$F:$F,Data!$B:$B,$B11,Data!$D:$D,P$2)</f>
        <v>0</v>
      </c>
      <c r="Q11" s="19">
        <f>SUMIFS(Data!$F:$F,Data!$B:$B,$B11,Data!$D:$D,Q$2)</f>
        <v>0</v>
      </c>
      <c r="R11" s="19">
        <f>SUMIFS(Data!$F:$F,Data!$B:$B,$B11,Data!$D:$D,R$2)</f>
        <v>0</v>
      </c>
      <c r="S11" s="20">
        <f t="shared" si="0"/>
        <v>84000</v>
      </c>
    </row>
    <row r="12" spans="2:19" x14ac:dyDescent="0.25">
      <c r="B12" s="11" t="s">
        <v>48</v>
      </c>
      <c r="C12" s="11" t="str">
        <f>VLOOKUP(B12,Data!B:C,2,FALSE)</f>
        <v>JREFI</v>
      </c>
      <c r="D12" s="19">
        <f>SUMIFS(Data!$F:$F,Data!$B:$B,$B12,Data!$D:$D,D$2)</f>
        <v>115000</v>
      </c>
      <c r="E12" s="19">
        <f>SUMIFS(Data!$F:$F,Data!$B:$B,$B12,Data!$D:$D,E$2)</f>
        <v>0</v>
      </c>
      <c r="F12" s="19">
        <f>SUMIFS(Data!$F:$F,Data!$B:$B,$B12,Data!$D:$D,F$2)</f>
        <v>500</v>
      </c>
      <c r="G12" s="19">
        <f>SUMIFS(Data!$F:$F,Data!$B:$B,$B12,Data!$D:$D,G$2)</f>
        <v>102000</v>
      </c>
      <c r="H12" s="19">
        <f>SUMIFS(Data!$F:$F,Data!$B:$B,$B12,Data!$D:$D,H$2)</f>
        <v>200000</v>
      </c>
      <c r="I12" s="19">
        <f>SUMIFS(Data!$F:$F,Data!$B:$B,$B12,Data!$D:$D,I$2)</f>
        <v>7500</v>
      </c>
      <c r="J12" s="19">
        <f>SUMIFS(Data!$F:$F,Data!$B:$B,$B12,Data!$D:$D,J$2)</f>
        <v>0</v>
      </c>
      <c r="K12" s="19">
        <f>SUMIFS(Data!$F:$F,Data!$B:$B,$B12,Data!$D:$D,K$2)</f>
        <v>0</v>
      </c>
      <c r="L12" s="19">
        <f>SUMIFS(Data!$F:$F,Data!$B:$B,$B12,Data!$D:$D,L$2)</f>
        <v>0</v>
      </c>
      <c r="M12" s="19">
        <f>SUMIFS(Data!$F:$F,Data!$B:$B,$B12,Data!$D:$D,M$2)</f>
        <v>2400000</v>
      </c>
      <c r="N12" s="19">
        <f>SUMIFS(Data!$F:$F,Data!$B:$B,$B12,Data!$D:$D,N$2)</f>
        <v>0</v>
      </c>
      <c r="O12" s="19">
        <f>SUMIFS(Data!$F:$F,Data!$B:$B,$B12,Data!$D:$D,O$2)</f>
        <v>0</v>
      </c>
      <c r="P12" s="19">
        <f>SUMIFS(Data!$F:$F,Data!$B:$B,$B12,Data!$D:$D,P$2)</f>
        <v>0</v>
      </c>
      <c r="Q12" s="19">
        <f>SUMIFS(Data!$F:$F,Data!$B:$B,$B12,Data!$D:$D,Q$2)</f>
        <v>0</v>
      </c>
      <c r="R12" s="19">
        <f>SUMIFS(Data!$F:$F,Data!$B:$B,$B12,Data!$D:$D,R$2)</f>
        <v>0</v>
      </c>
      <c r="S12" s="20">
        <f t="shared" si="0"/>
        <v>2825000</v>
      </c>
    </row>
    <row r="13" spans="2:19" x14ac:dyDescent="0.25">
      <c r="B13" s="11" t="s">
        <v>56</v>
      </c>
      <c r="C13" s="11" t="str">
        <f>VLOOKUP(B13,Data!B:C,2,FALSE)</f>
        <v>JREFI</v>
      </c>
      <c r="D13" s="19">
        <f>SUMIFS(Data!$F:$F,Data!$B:$B,$B13,Data!$D:$D,D$2)</f>
        <v>0</v>
      </c>
      <c r="E13" s="19">
        <f>SUMIFS(Data!$F:$F,Data!$B:$B,$B13,Data!$D:$D,E$2)</f>
        <v>0</v>
      </c>
      <c r="F13" s="19">
        <f>SUMIFS(Data!$F:$F,Data!$B:$B,$B13,Data!$D:$D,F$2)</f>
        <v>0</v>
      </c>
      <c r="G13" s="19">
        <f>SUMIFS(Data!$F:$F,Data!$B:$B,$B13,Data!$D:$D,G$2)</f>
        <v>75000</v>
      </c>
      <c r="H13" s="19">
        <f>SUMIFS(Data!$F:$F,Data!$B:$B,$B13,Data!$D:$D,H$2)</f>
        <v>0</v>
      </c>
      <c r="I13" s="19">
        <f>SUMIFS(Data!$F:$F,Data!$B:$B,$B13,Data!$D:$D,I$2)</f>
        <v>0</v>
      </c>
      <c r="J13" s="19">
        <f>SUMIFS(Data!$F:$F,Data!$B:$B,$B13,Data!$D:$D,J$2)</f>
        <v>20000</v>
      </c>
      <c r="K13" s="19">
        <f>SUMIFS(Data!$F:$F,Data!$B:$B,$B13,Data!$D:$D,K$2)</f>
        <v>0</v>
      </c>
      <c r="L13" s="19">
        <f>SUMIFS(Data!$F:$F,Data!$B:$B,$B13,Data!$D:$D,L$2)</f>
        <v>0</v>
      </c>
      <c r="M13" s="19">
        <f>SUMIFS(Data!$F:$F,Data!$B:$B,$B13,Data!$D:$D,M$2)</f>
        <v>0</v>
      </c>
      <c r="N13" s="19">
        <f>SUMIFS(Data!$F:$F,Data!$B:$B,$B13,Data!$D:$D,N$2)</f>
        <v>0</v>
      </c>
      <c r="O13" s="19">
        <f>SUMIFS(Data!$F:$F,Data!$B:$B,$B13,Data!$D:$D,O$2)</f>
        <v>0</v>
      </c>
      <c r="P13" s="19">
        <f>SUMIFS(Data!$F:$F,Data!$B:$B,$B13,Data!$D:$D,P$2)</f>
        <v>0</v>
      </c>
      <c r="Q13" s="19">
        <f>SUMIFS(Data!$F:$F,Data!$B:$B,$B13,Data!$D:$D,Q$2)</f>
        <v>0</v>
      </c>
      <c r="R13" s="19">
        <f>SUMIFS(Data!$F:$F,Data!$B:$B,$B13,Data!$D:$D,R$2)</f>
        <v>0</v>
      </c>
      <c r="S13" s="20">
        <f t="shared" si="0"/>
        <v>95000</v>
      </c>
    </row>
    <row r="14" spans="2:19" x14ac:dyDescent="0.25">
      <c r="B14" s="11" t="s">
        <v>57</v>
      </c>
      <c r="C14" s="11" t="str">
        <f>VLOOKUP(B14,Data!B:C,2,FALSE)</f>
        <v>JREFI</v>
      </c>
      <c r="D14" s="19">
        <f>SUMIFS(Data!$F:$F,Data!$B:$B,$B14,Data!$D:$D,D$2)</f>
        <v>17000</v>
      </c>
      <c r="E14" s="19">
        <f>SUMIFS(Data!$F:$F,Data!$B:$B,$B14,Data!$D:$D,E$2)</f>
        <v>0</v>
      </c>
      <c r="F14" s="19">
        <f>SUMIFS(Data!$F:$F,Data!$B:$B,$B14,Data!$D:$D,F$2)</f>
        <v>40000</v>
      </c>
      <c r="G14" s="19">
        <f>SUMIFS(Data!$F:$F,Data!$B:$B,$B14,Data!$D:$D,G$2)</f>
        <v>20000</v>
      </c>
      <c r="H14" s="19">
        <f>SUMIFS(Data!$F:$F,Data!$B:$B,$B14,Data!$D:$D,H$2)</f>
        <v>0</v>
      </c>
      <c r="I14" s="19">
        <f>SUMIFS(Data!$F:$F,Data!$B:$B,$B14,Data!$D:$D,I$2)</f>
        <v>0</v>
      </c>
      <c r="J14" s="19">
        <f>SUMIFS(Data!$F:$F,Data!$B:$B,$B14,Data!$D:$D,J$2)</f>
        <v>0</v>
      </c>
      <c r="K14" s="19">
        <f>SUMIFS(Data!$F:$F,Data!$B:$B,$B14,Data!$D:$D,K$2)</f>
        <v>0</v>
      </c>
      <c r="L14" s="19">
        <f>SUMIFS(Data!$F:$F,Data!$B:$B,$B14,Data!$D:$D,L$2)</f>
        <v>0</v>
      </c>
      <c r="M14" s="19">
        <f>SUMIFS(Data!$F:$F,Data!$B:$B,$B14,Data!$D:$D,M$2)</f>
        <v>0</v>
      </c>
      <c r="N14" s="19">
        <f>SUMIFS(Data!$F:$F,Data!$B:$B,$B14,Data!$D:$D,N$2)</f>
        <v>1600</v>
      </c>
      <c r="O14" s="19">
        <f>SUMIFS(Data!$F:$F,Data!$B:$B,$B14,Data!$D:$D,O$2)</f>
        <v>0</v>
      </c>
      <c r="P14" s="19">
        <f>SUMIFS(Data!$F:$F,Data!$B:$B,$B14,Data!$D:$D,P$2)</f>
        <v>0</v>
      </c>
      <c r="Q14" s="19">
        <f>SUMIFS(Data!$F:$F,Data!$B:$B,$B14,Data!$D:$D,Q$2)</f>
        <v>0</v>
      </c>
      <c r="R14" s="19">
        <f>SUMIFS(Data!$F:$F,Data!$B:$B,$B14,Data!$D:$D,R$2)</f>
        <v>0</v>
      </c>
      <c r="S14" s="20">
        <f t="shared" si="0"/>
        <v>78600</v>
      </c>
    </row>
    <row r="15" spans="2:19" x14ac:dyDescent="0.25">
      <c r="B15" s="11" t="s">
        <v>61</v>
      </c>
      <c r="C15" s="11" t="str">
        <f>VLOOKUP(B15,Data!B:C,2,FALSE)</f>
        <v>JREFI</v>
      </c>
      <c r="D15" s="19">
        <f>SUMIFS(Data!$F:$F,Data!$B:$B,$B15,Data!$D:$D,D$2)</f>
        <v>0</v>
      </c>
      <c r="E15" s="19">
        <f>SUMIFS(Data!$F:$F,Data!$B:$B,$B15,Data!$D:$D,E$2)</f>
        <v>0</v>
      </c>
      <c r="F15" s="19">
        <f>SUMIFS(Data!$F:$F,Data!$B:$B,$B15,Data!$D:$D,F$2)</f>
        <v>0</v>
      </c>
      <c r="G15" s="19">
        <f>SUMIFS(Data!$F:$F,Data!$B:$B,$B15,Data!$D:$D,G$2)</f>
        <v>200000</v>
      </c>
      <c r="H15" s="19">
        <f>SUMIFS(Data!$F:$F,Data!$B:$B,$B15,Data!$D:$D,H$2)</f>
        <v>0</v>
      </c>
      <c r="I15" s="19">
        <f>SUMIFS(Data!$F:$F,Data!$B:$B,$B15,Data!$D:$D,I$2)</f>
        <v>0</v>
      </c>
      <c r="J15" s="19">
        <f>SUMIFS(Data!$F:$F,Data!$B:$B,$B15,Data!$D:$D,J$2)</f>
        <v>0</v>
      </c>
      <c r="K15" s="19">
        <f>SUMIFS(Data!$F:$F,Data!$B:$B,$B15,Data!$D:$D,K$2)</f>
        <v>0</v>
      </c>
      <c r="L15" s="19">
        <f>SUMIFS(Data!$F:$F,Data!$B:$B,$B15,Data!$D:$D,L$2)</f>
        <v>0</v>
      </c>
      <c r="M15" s="19">
        <f>SUMIFS(Data!$F:$F,Data!$B:$B,$B15,Data!$D:$D,M$2)</f>
        <v>50000</v>
      </c>
      <c r="N15" s="19">
        <f>SUMIFS(Data!$F:$F,Data!$B:$B,$B15,Data!$D:$D,N$2)</f>
        <v>50000</v>
      </c>
      <c r="O15" s="19">
        <f>SUMIFS(Data!$F:$F,Data!$B:$B,$B15,Data!$D:$D,O$2)</f>
        <v>75000</v>
      </c>
      <c r="P15" s="19">
        <f>SUMIFS(Data!$F:$F,Data!$B:$B,$B15,Data!$D:$D,P$2)</f>
        <v>8000</v>
      </c>
      <c r="Q15" s="19">
        <f>SUMIFS(Data!$F:$F,Data!$B:$B,$B15,Data!$D:$D,Q$2)</f>
        <v>0</v>
      </c>
      <c r="R15" s="19">
        <f>SUMIFS(Data!$F:$F,Data!$B:$B,$B15,Data!$D:$D,R$2)</f>
        <v>0</v>
      </c>
      <c r="S15" s="20">
        <f t="shared" si="0"/>
        <v>383000</v>
      </c>
    </row>
    <row r="16" spans="2:19" x14ac:dyDescent="0.25">
      <c r="B16" s="11" t="s">
        <v>67</v>
      </c>
      <c r="C16" s="11" t="str">
        <f>VLOOKUP(B16,Data!B:C,2,FALSE)</f>
        <v>JREFI</v>
      </c>
      <c r="D16" s="19">
        <f>SUMIFS(Data!$F:$F,Data!$B:$B,$B16,Data!$D:$D,D$2)</f>
        <v>0</v>
      </c>
      <c r="E16" s="19">
        <f>SUMIFS(Data!$F:$F,Data!$B:$B,$B16,Data!$D:$D,E$2)</f>
        <v>150000</v>
      </c>
      <c r="F16" s="19">
        <f>SUMIFS(Data!$F:$F,Data!$B:$B,$B16,Data!$D:$D,F$2)</f>
        <v>0</v>
      </c>
      <c r="G16" s="19">
        <f>SUMIFS(Data!$F:$F,Data!$B:$B,$B16,Data!$D:$D,G$2)</f>
        <v>50000</v>
      </c>
      <c r="H16" s="19">
        <f>SUMIFS(Data!$F:$F,Data!$B:$B,$B16,Data!$D:$D,H$2)</f>
        <v>500000</v>
      </c>
      <c r="I16" s="19">
        <f>SUMIFS(Data!$F:$F,Data!$B:$B,$B16,Data!$D:$D,I$2)</f>
        <v>15000</v>
      </c>
      <c r="J16" s="19">
        <f>SUMIFS(Data!$F:$F,Data!$B:$B,$B16,Data!$D:$D,J$2)</f>
        <v>15000</v>
      </c>
      <c r="K16" s="19">
        <f>SUMIFS(Data!$F:$F,Data!$B:$B,$B16,Data!$D:$D,K$2)</f>
        <v>0</v>
      </c>
      <c r="L16" s="19">
        <f>SUMIFS(Data!$F:$F,Data!$B:$B,$B16,Data!$D:$D,L$2)</f>
        <v>20000</v>
      </c>
      <c r="M16" s="19">
        <f>SUMIFS(Data!$F:$F,Data!$B:$B,$B16,Data!$D:$D,M$2)</f>
        <v>0</v>
      </c>
      <c r="N16" s="19">
        <f>SUMIFS(Data!$F:$F,Data!$B:$B,$B16,Data!$D:$D,N$2)</f>
        <v>50000</v>
      </c>
      <c r="O16" s="19">
        <f>SUMIFS(Data!$F:$F,Data!$B:$B,$B16,Data!$D:$D,O$2)</f>
        <v>0</v>
      </c>
      <c r="P16" s="19">
        <f>SUMIFS(Data!$F:$F,Data!$B:$B,$B16,Data!$D:$D,P$2)</f>
        <v>0</v>
      </c>
      <c r="Q16" s="19">
        <f>SUMIFS(Data!$F:$F,Data!$B:$B,$B16,Data!$D:$D,Q$2)</f>
        <v>0</v>
      </c>
      <c r="R16" s="19">
        <f>SUMIFS(Data!$F:$F,Data!$B:$B,$B16,Data!$D:$D,R$2)</f>
        <v>0</v>
      </c>
      <c r="S16" s="20">
        <f t="shared" si="0"/>
        <v>800000</v>
      </c>
    </row>
    <row r="17" spans="2:19" x14ac:dyDescent="0.25">
      <c r="B17" s="11" t="s">
        <v>71</v>
      </c>
      <c r="C17" s="11" t="str">
        <f>VLOOKUP(B17,Data!B:C,2,FALSE)</f>
        <v>JREFI</v>
      </c>
      <c r="D17" s="19">
        <f>SUMIFS(Data!$F:$F,Data!$B:$B,$B17,Data!$D:$D,D$2)</f>
        <v>10000</v>
      </c>
      <c r="E17" s="19">
        <f>SUMIFS(Data!$F:$F,Data!$B:$B,$B17,Data!$D:$D,E$2)</f>
        <v>0</v>
      </c>
      <c r="F17" s="19">
        <f>SUMIFS(Data!$F:$F,Data!$B:$B,$B17,Data!$D:$D,F$2)</f>
        <v>10000</v>
      </c>
      <c r="G17" s="19">
        <f>SUMIFS(Data!$F:$F,Data!$B:$B,$B17,Data!$D:$D,G$2)</f>
        <v>8000</v>
      </c>
      <c r="H17" s="19">
        <f>SUMIFS(Data!$F:$F,Data!$B:$B,$B17,Data!$D:$D,H$2)</f>
        <v>0</v>
      </c>
      <c r="I17" s="19">
        <f>SUMIFS(Data!$F:$F,Data!$B:$B,$B17,Data!$D:$D,I$2)</f>
        <v>0</v>
      </c>
      <c r="J17" s="19">
        <f>SUMIFS(Data!$F:$F,Data!$B:$B,$B17,Data!$D:$D,J$2)</f>
        <v>20000</v>
      </c>
      <c r="K17" s="19">
        <f>SUMIFS(Data!$F:$F,Data!$B:$B,$B17,Data!$D:$D,K$2)</f>
        <v>0</v>
      </c>
      <c r="L17" s="19">
        <f>SUMIFS(Data!$F:$F,Data!$B:$B,$B17,Data!$D:$D,L$2)</f>
        <v>15000</v>
      </c>
      <c r="M17" s="19">
        <f>SUMIFS(Data!$F:$F,Data!$B:$B,$B17,Data!$D:$D,M$2)</f>
        <v>0</v>
      </c>
      <c r="N17" s="19">
        <f>SUMIFS(Data!$F:$F,Data!$B:$B,$B17,Data!$D:$D,N$2)</f>
        <v>0</v>
      </c>
      <c r="O17" s="19">
        <f>SUMIFS(Data!$F:$F,Data!$B:$B,$B17,Data!$D:$D,O$2)</f>
        <v>0</v>
      </c>
      <c r="P17" s="19">
        <f>SUMIFS(Data!$F:$F,Data!$B:$B,$B17,Data!$D:$D,P$2)</f>
        <v>0</v>
      </c>
      <c r="Q17" s="19">
        <f>SUMIFS(Data!$F:$F,Data!$B:$B,$B17,Data!$D:$D,Q$2)</f>
        <v>0</v>
      </c>
      <c r="R17" s="19">
        <f>SUMIFS(Data!$F:$F,Data!$B:$B,$B17,Data!$D:$D,R$2)</f>
        <v>0</v>
      </c>
      <c r="S17" s="20">
        <f t="shared" si="0"/>
        <v>63000</v>
      </c>
    </row>
    <row r="18" spans="2:19" x14ac:dyDescent="0.25">
      <c r="B18" s="11" t="s">
        <v>73</v>
      </c>
      <c r="C18" s="11" t="str">
        <f>VLOOKUP(B18,Data!B:C,2,FALSE)</f>
        <v>JREFI</v>
      </c>
      <c r="D18" s="19">
        <f>SUMIFS(Data!$F:$F,Data!$B:$B,$B18,Data!$D:$D,D$2)</f>
        <v>5000</v>
      </c>
      <c r="E18" s="19">
        <f>SUMIFS(Data!$F:$F,Data!$B:$B,$B18,Data!$D:$D,E$2)</f>
        <v>0</v>
      </c>
      <c r="F18" s="19">
        <f>SUMIFS(Data!$F:$F,Data!$B:$B,$B18,Data!$D:$D,F$2)</f>
        <v>0</v>
      </c>
      <c r="G18" s="19">
        <f>SUMIFS(Data!$F:$F,Data!$B:$B,$B18,Data!$D:$D,G$2)</f>
        <v>7000</v>
      </c>
      <c r="H18" s="19">
        <f>SUMIFS(Data!$F:$F,Data!$B:$B,$B18,Data!$D:$D,H$2)</f>
        <v>0</v>
      </c>
      <c r="I18" s="19">
        <f>SUMIFS(Data!$F:$F,Data!$B:$B,$B18,Data!$D:$D,I$2)</f>
        <v>7500</v>
      </c>
      <c r="J18" s="19">
        <f>SUMIFS(Data!$F:$F,Data!$B:$B,$B18,Data!$D:$D,J$2)</f>
        <v>30000</v>
      </c>
      <c r="K18" s="19">
        <f>SUMIFS(Data!$F:$F,Data!$B:$B,$B18,Data!$D:$D,K$2)</f>
        <v>0</v>
      </c>
      <c r="L18" s="19">
        <f>SUMIFS(Data!$F:$F,Data!$B:$B,$B18,Data!$D:$D,L$2)</f>
        <v>0</v>
      </c>
      <c r="M18" s="19">
        <f>SUMIFS(Data!$F:$F,Data!$B:$B,$B18,Data!$D:$D,M$2)</f>
        <v>0</v>
      </c>
      <c r="N18" s="19">
        <f>SUMIFS(Data!$F:$F,Data!$B:$B,$B18,Data!$D:$D,N$2)</f>
        <v>55000</v>
      </c>
      <c r="O18" s="19">
        <f>SUMIFS(Data!$F:$F,Data!$B:$B,$B18,Data!$D:$D,O$2)</f>
        <v>0</v>
      </c>
      <c r="P18" s="19">
        <f>SUMIFS(Data!$F:$F,Data!$B:$B,$B18,Data!$D:$D,P$2)</f>
        <v>3000</v>
      </c>
      <c r="Q18" s="19">
        <f>SUMIFS(Data!$F:$F,Data!$B:$B,$B18,Data!$D:$D,Q$2)</f>
        <v>0</v>
      </c>
      <c r="R18" s="19">
        <f>SUMIFS(Data!$F:$F,Data!$B:$B,$B18,Data!$D:$D,R$2)</f>
        <v>0</v>
      </c>
      <c r="S18" s="20">
        <f t="shared" si="0"/>
        <v>107500</v>
      </c>
    </row>
    <row r="19" spans="2:19" x14ac:dyDescent="0.25">
      <c r="B19" s="11" t="s">
        <v>77</v>
      </c>
      <c r="C19" s="11" t="str">
        <f>VLOOKUP(B19,Data!B:C,2,FALSE)</f>
        <v>JREFI</v>
      </c>
      <c r="D19" s="19">
        <f>SUMIFS(Data!$F:$F,Data!$B:$B,$B19,Data!$D:$D,D$2)</f>
        <v>0</v>
      </c>
      <c r="E19" s="19">
        <f>SUMIFS(Data!$F:$F,Data!$B:$B,$B19,Data!$D:$D,E$2)</f>
        <v>0</v>
      </c>
      <c r="F19" s="19">
        <f>SUMIFS(Data!$F:$F,Data!$B:$B,$B19,Data!$D:$D,F$2)</f>
        <v>0</v>
      </c>
      <c r="G19" s="19">
        <f>SUMIFS(Data!$F:$F,Data!$B:$B,$B19,Data!$D:$D,G$2)</f>
        <v>175000</v>
      </c>
      <c r="H19" s="19">
        <f>SUMIFS(Data!$F:$F,Data!$B:$B,$B19,Data!$D:$D,H$2)</f>
        <v>0</v>
      </c>
      <c r="I19" s="19">
        <f>SUMIFS(Data!$F:$F,Data!$B:$B,$B19,Data!$D:$D,I$2)</f>
        <v>0</v>
      </c>
      <c r="J19" s="19">
        <f>SUMIFS(Data!$F:$F,Data!$B:$B,$B19,Data!$D:$D,J$2)</f>
        <v>20000</v>
      </c>
      <c r="K19" s="19">
        <f>SUMIFS(Data!$F:$F,Data!$B:$B,$B19,Data!$D:$D,K$2)</f>
        <v>0</v>
      </c>
      <c r="L19" s="19">
        <f>SUMIFS(Data!$F:$F,Data!$B:$B,$B19,Data!$D:$D,L$2)</f>
        <v>0</v>
      </c>
      <c r="M19" s="19">
        <f>SUMIFS(Data!$F:$F,Data!$B:$B,$B19,Data!$D:$D,M$2)</f>
        <v>75000</v>
      </c>
      <c r="N19" s="19">
        <f>SUMIFS(Data!$F:$F,Data!$B:$B,$B19,Data!$D:$D,N$2)</f>
        <v>0</v>
      </c>
      <c r="O19" s="19">
        <f>SUMIFS(Data!$F:$F,Data!$B:$B,$B19,Data!$D:$D,O$2)</f>
        <v>0</v>
      </c>
      <c r="P19" s="19">
        <f>SUMIFS(Data!$F:$F,Data!$B:$B,$B19,Data!$D:$D,P$2)</f>
        <v>0</v>
      </c>
      <c r="Q19" s="19">
        <f>SUMIFS(Data!$F:$F,Data!$B:$B,$B19,Data!$D:$D,Q$2)</f>
        <v>0</v>
      </c>
      <c r="R19" s="19">
        <f>SUMIFS(Data!$F:$F,Data!$B:$B,$B19,Data!$D:$D,R$2)</f>
        <v>0</v>
      </c>
      <c r="S19" s="20">
        <f t="shared" si="0"/>
        <v>270000</v>
      </c>
    </row>
    <row r="20" spans="2:19" x14ac:dyDescent="0.25">
      <c r="B20" s="11" t="s">
        <v>78</v>
      </c>
      <c r="C20" s="11" t="str">
        <f>VLOOKUP(B20,Data!B:C,2,FALSE)</f>
        <v>JREFI</v>
      </c>
      <c r="D20" s="19">
        <f>SUMIFS(Data!$F:$F,Data!$B:$B,$B20,Data!$D:$D,D$2)</f>
        <v>0</v>
      </c>
      <c r="E20" s="19">
        <f>SUMIFS(Data!$F:$F,Data!$B:$B,$B20,Data!$D:$D,E$2)</f>
        <v>0</v>
      </c>
      <c r="F20" s="19">
        <f>SUMIFS(Data!$F:$F,Data!$B:$B,$B20,Data!$D:$D,F$2)</f>
        <v>0</v>
      </c>
      <c r="G20" s="19">
        <f>SUMIFS(Data!$F:$F,Data!$B:$B,$B20,Data!$D:$D,G$2)</f>
        <v>0</v>
      </c>
      <c r="H20" s="19">
        <f>SUMIFS(Data!$F:$F,Data!$B:$B,$B20,Data!$D:$D,H$2)</f>
        <v>0</v>
      </c>
      <c r="I20" s="19">
        <f>SUMIFS(Data!$F:$F,Data!$B:$B,$B20,Data!$D:$D,I$2)</f>
        <v>0</v>
      </c>
      <c r="J20" s="19">
        <f>SUMIFS(Data!$F:$F,Data!$B:$B,$B20,Data!$D:$D,J$2)</f>
        <v>0</v>
      </c>
      <c r="K20" s="19">
        <f>SUMIFS(Data!$F:$F,Data!$B:$B,$B20,Data!$D:$D,K$2)</f>
        <v>0</v>
      </c>
      <c r="L20" s="19">
        <f>SUMIFS(Data!$F:$F,Data!$B:$B,$B20,Data!$D:$D,L$2)</f>
        <v>0</v>
      </c>
      <c r="M20" s="19">
        <f>SUMIFS(Data!$F:$F,Data!$B:$B,$B20,Data!$D:$D,M$2)</f>
        <v>0</v>
      </c>
      <c r="N20" s="19">
        <f>SUMIFS(Data!$F:$F,Data!$B:$B,$B20,Data!$D:$D,N$2)</f>
        <v>0</v>
      </c>
      <c r="O20" s="19">
        <f>SUMIFS(Data!$F:$F,Data!$B:$B,$B20,Data!$D:$D,O$2)</f>
        <v>0</v>
      </c>
      <c r="P20" s="19">
        <f>SUMIFS(Data!$F:$F,Data!$B:$B,$B20,Data!$D:$D,P$2)</f>
        <v>0</v>
      </c>
      <c r="Q20" s="19">
        <f>SUMIFS(Data!$F:$F,Data!$B:$B,$B20,Data!$D:$D,Q$2)</f>
        <v>518000</v>
      </c>
      <c r="R20" s="19">
        <f>SUMIFS(Data!$F:$F,Data!$B:$B,$B20,Data!$D:$D,R$2)</f>
        <v>0</v>
      </c>
      <c r="S20" s="20">
        <f t="shared" si="0"/>
        <v>518000</v>
      </c>
    </row>
    <row r="21" spans="2:19" x14ac:dyDescent="0.25">
      <c r="B21" s="11" t="s">
        <v>81</v>
      </c>
      <c r="C21" s="11" t="str">
        <f>VLOOKUP(B21,Data!B:C,2,FALSE)</f>
        <v>JREFI</v>
      </c>
      <c r="D21" s="19">
        <f>SUMIFS(Data!$F:$F,Data!$B:$B,$B21,Data!$D:$D,D$2)</f>
        <v>37000</v>
      </c>
      <c r="E21" s="19">
        <f>SUMIFS(Data!$F:$F,Data!$B:$B,$B21,Data!$D:$D,E$2)</f>
        <v>0</v>
      </c>
      <c r="F21" s="19">
        <f>SUMIFS(Data!$F:$F,Data!$B:$B,$B21,Data!$D:$D,F$2)</f>
        <v>15000</v>
      </c>
      <c r="G21" s="19">
        <f>SUMIFS(Data!$F:$F,Data!$B:$B,$B21,Data!$D:$D,G$2)</f>
        <v>10000</v>
      </c>
      <c r="H21" s="19">
        <f>SUMIFS(Data!$F:$F,Data!$B:$B,$B21,Data!$D:$D,H$2)</f>
        <v>0</v>
      </c>
      <c r="I21" s="19">
        <f>SUMIFS(Data!$F:$F,Data!$B:$B,$B21,Data!$D:$D,I$2)</f>
        <v>0</v>
      </c>
      <c r="J21" s="19">
        <f>SUMIFS(Data!$F:$F,Data!$B:$B,$B21,Data!$D:$D,J$2)</f>
        <v>15000</v>
      </c>
      <c r="K21" s="19">
        <f>SUMIFS(Data!$F:$F,Data!$B:$B,$B21,Data!$D:$D,K$2)</f>
        <v>0</v>
      </c>
      <c r="L21" s="19">
        <f>SUMIFS(Data!$F:$F,Data!$B:$B,$B21,Data!$D:$D,L$2)</f>
        <v>0</v>
      </c>
      <c r="M21" s="19">
        <f>SUMIFS(Data!$F:$F,Data!$B:$B,$B21,Data!$D:$D,M$2)</f>
        <v>0</v>
      </c>
      <c r="N21" s="19">
        <f>SUMIFS(Data!$F:$F,Data!$B:$B,$B21,Data!$D:$D,N$2)</f>
        <v>140000</v>
      </c>
      <c r="O21" s="19">
        <f>SUMIFS(Data!$F:$F,Data!$B:$B,$B21,Data!$D:$D,O$2)</f>
        <v>0</v>
      </c>
      <c r="P21" s="19">
        <f>SUMIFS(Data!$F:$F,Data!$B:$B,$B21,Data!$D:$D,P$2)</f>
        <v>0</v>
      </c>
      <c r="Q21" s="19">
        <f>SUMIFS(Data!$F:$F,Data!$B:$B,$B21,Data!$D:$D,Q$2)</f>
        <v>0</v>
      </c>
      <c r="R21" s="19">
        <f>SUMIFS(Data!$F:$F,Data!$B:$B,$B21,Data!$D:$D,R$2)</f>
        <v>0</v>
      </c>
      <c r="S21" s="20">
        <f t="shared" si="0"/>
        <v>217000</v>
      </c>
    </row>
    <row r="22" spans="2:19" x14ac:dyDescent="0.25">
      <c r="B22" s="11" t="s">
        <v>84</v>
      </c>
      <c r="C22" s="11" t="str">
        <f>VLOOKUP(B22,Data!B:C,2,FALSE)</f>
        <v>JREFI</v>
      </c>
      <c r="D22" s="19">
        <f>SUMIFS(Data!$F:$F,Data!$B:$B,$B22,Data!$D:$D,D$2)</f>
        <v>20000</v>
      </c>
      <c r="E22" s="19">
        <f>SUMIFS(Data!$F:$F,Data!$B:$B,$B22,Data!$D:$D,E$2)</f>
        <v>0</v>
      </c>
      <c r="F22" s="19">
        <f>SUMIFS(Data!$F:$F,Data!$B:$B,$B22,Data!$D:$D,F$2)</f>
        <v>0</v>
      </c>
      <c r="G22" s="19">
        <f>SUMIFS(Data!$F:$F,Data!$B:$B,$B22,Data!$D:$D,G$2)</f>
        <v>6000</v>
      </c>
      <c r="H22" s="19">
        <f>SUMIFS(Data!$F:$F,Data!$B:$B,$B22,Data!$D:$D,H$2)</f>
        <v>0</v>
      </c>
      <c r="I22" s="19">
        <f>SUMIFS(Data!$F:$F,Data!$B:$B,$B22,Data!$D:$D,I$2)</f>
        <v>15000</v>
      </c>
      <c r="J22" s="19">
        <f>SUMIFS(Data!$F:$F,Data!$B:$B,$B22,Data!$D:$D,J$2)</f>
        <v>60000</v>
      </c>
      <c r="K22" s="19">
        <f>SUMIFS(Data!$F:$F,Data!$B:$B,$B22,Data!$D:$D,K$2)</f>
        <v>0</v>
      </c>
      <c r="L22" s="19">
        <f>SUMIFS(Data!$F:$F,Data!$B:$B,$B22,Data!$D:$D,L$2)</f>
        <v>10000</v>
      </c>
      <c r="M22" s="19">
        <f>SUMIFS(Data!$F:$F,Data!$B:$B,$B22,Data!$D:$D,M$2)</f>
        <v>40000</v>
      </c>
      <c r="N22" s="19">
        <f>SUMIFS(Data!$F:$F,Data!$B:$B,$B22,Data!$D:$D,N$2)</f>
        <v>8000</v>
      </c>
      <c r="O22" s="19">
        <f>SUMIFS(Data!$F:$F,Data!$B:$B,$B22,Data!$D:$D,O$2)</f>
        <v>0</v>
      </c>
      <c r="P22" s="19">
        <f>SUMIFS(Data!$F:$F,Data!$B:$B,$B22,Data!$D:$D,P$2)</f>
        <v>30000</v>
      </c>
      <c r="Q22" s="19">
        <f>SUMIFS(Data!$F:$F,Data!$B:$B,$B22,Data!$D:$D,Q$2)</f>
        <v>0</v>
      </c>
      <c r="R22" s="19">
        <f>SUMIFS(Data!$F:$F,Data!$B:$B,$B22,Data!$D:$D,R$2)</f>
        <v>0</v>
      </c>
      <c r="S22" s="20">
        <f t="shared" si="0"/>
        <v>189000</v>
      </c>
    </row>
    <row r="23" spans="2:19" x14ac:dyDescent="0.25">
      <c r="B23" s="12" t="s">
        <v>87</v>
      </c>
      <c r="C23" s="12" t="str">
        <f>VLOOKUP(B23,Data!B:C,2,FALSE)</f>
        <v>JREFI</v>
      </c>
      <c r="D23" s="21">
        <f>SUMIFS(Data!$F:$F,Data!$B:$B,$B23,Data!$D:$D,D$2)</f>
        <v>0</v>
      </c>
      <c r="E23" s="21">
        <f>SUMIFS(Data!$F:$F,Data!$B:$B,$B23,Data!$D:$D,E$2)</f>
        <v>0</v>
      </c>
      <c r="F23" s="21">
        <f>SUMIFS(Data!$F:$F,Data!$B:$B,$B23,Data!$D:$D,F$2)</f>
        <v>0</v>
      </c>
      <c r="G23" s="21">
        <f>SUMIFS(Data!$F:$F,Data!$B:$B,$B23,Data!$D:$D,G$2)</f>
        <v>0</v>
      </c>
      <c r="H23" s="21">
        <f>SUMIFS(Data!$F:$F,Data!$B:$B,$B23,Data!$D:$D,H$2)</f>
        <v>0</v>
      </c>
      <c r="I23" s="21">
        <f>SUMIFS(Data!$F:$F,Data!$B:$B,$B23,Data!$D:$D,I$2)</f>
        <v>0</v>
      </c>
      <c r="J23" s="21">
        <f>SUMIFS(Data!$F:$F,Data!$B:$B,$B23,Data!$D:$D,J$2)</f>
        <v>50000</v>
      </c>
      <c r="K23" s="21">
        <f>SUMIFS(Data!$F:$F,Data!$B:$B,$B23,Data!$D:$D,K$2)</f>
        <v>0</v>
      </c>
      <c r="L23" s="21">
        <f>SUMIFS(Data!$F:$F,Data!$B:$B,$B23,Data!$D:$D,L$2)</f>
        <v>10000</v>
      </c>
      <c r="M23" s="21">
        <f>SUMIFS(Data!$F:$F,Data!$B:$B,$B23,Data!$D:$D,M$2)</f>
        <v>0</v>
      </c>
      <c r="N23" s="21">
        <f>SUMIFS(Data!$F:$F,Data!$B:$B,$B23,Data!$D:$D,N$2)</f>
        <v>100000</v>
      </c>
      <c r="O23" s="21">
        <f>SUMIFS(Data!$F:$F,Data!$B:$B,$B23,Data!$D:$D,O$2)</f>
        <v>55000</v>
      </c>
      <c r="P23" s="21">
        <f>SUMIFS(Data!$F:$F,Data!$B:$B,$B23,Data!$D:$D,P$2)</f>
        <v>0</v>
      </c>
      <c r="Q23" s="21">
        <f>SUMIFS(Data!$F:$F,Data!$B:$B,$B23,Data!$D:$D,Q$2)</f>
        <v>0</v>
      </c>
      <c r="R23" s="21">
        <f>SUMIFS(Data!$F:$F,Data!$B:$B,$B23,Data!$D:$D,R$2)</f>
        <v>0</v>
      </c>
      <c r="S23" s="22">
        <f t="shared" si="0"/>
        <v>215000</v>
      </c>
    </row>
    <row r="24" spans="2:19" x14ac:dyDescent="0.25">
      <c r="B24" s="9" t="s">
        <v>239</v>
      </c>
      <c r="C24" s="8"/>
      <c r="D24" s="23">
        <f>SUM(D3:D23)</f>
        <v>289000</v>
      </c>
      <c r="E24" s="23">
        <f t="shared" ref="E24:R24" si="1">SUM(E3:E23)</f>
        <v>150000</v>
      </c>
      <c r="F24" s="23">
        <f t="shared" si="1"/>
        <v>95500</v>
      </c>
      <c r="G24" s="23">
        <f t="shared" si="1"/>
        <v>790000</v>
      </c>
      <c r="H24" s="23">
        <f t="shared" si="1"/>
        <v>1138000</v>
      </c>
      <c r="I24" s="23">
        <f t="shared" si="1"/>
        <v>90000</v>
      </c>
      <c r="J24" s="23">
        <f t="shared" si="1"/>
        <v>335000</v>
      </c>
      <c r="K24" s="23">
        <f t="shared" si="1"/>
        <v>32500</v>
      </c>
      <c r="L24" s="23">
        <f t="shared" si="1"/>
        <v>120000</v>
      </c>
      <c r="M24" s="23">
        <f t="shared" si="1"/>
        <v>2565000</v>
      </c>
      <c r="N24" s="23">
        <f t="shared" si="1"/>
        <v>453600</v>
      </c>
      <c r="O24" s="23">
        <f t="shared" si="1"/>
        <v>130000</v>
      </c>
      <c r="P24" s="23">
        <f t="shared" si="1"/>
        <v>41000</v>
      </c>
      <c r="Q24" s="23">
        <f t="shared" si="1"/>
        <v>518000</v>
      </c>
      <c r="R24" s="23">
        <f t="shared" si="1"/>
        <v>0</v>
      </c>
      <c r="S24" s="23">
        <f t="shared" si="0"/>
        <v>6747600</v>
      </c>
    </row>
    <row r="25" spans="2:19" x14ac:dyDescent="0.25"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spans="2:19" ht="17.25" x14ac:dyDescent="0.4">
      <c r="B26" s="15" t="s">
        <v>238</v>
      </c>
      <c r="C26" s="15" t="s">
        <v>1</v>
      </c>
      <c r="D26" s="25" t="s">
        <v>9</v>
      </c>
      <c r="E26" s="25" t="s">
        <v>12</v>
      </c>
      <c r="F26" s="25" t="s">
        <v>17</v>
      </c>
      <c r="G26" s="25" t="s">
        <v>18</v>
      </c>
      <c r="H26" s="25" t="s">
        <v>22</v>
      </c>
      <c r="I26" s="25" t="s">
        <v>24</v>
      </c>
      <c r="J26" s="25" t="s">
        <v>26</v>
      </c>
      <c r="K26" s="25" t="s">
        <v>32</v>
      </c>
      <c r="L26" s="25" t="s">
        <v>38</v>
      </c>
      <c r="M26" s="25" t="s">
        <v>54</v>
      </c>
      <c r="N26" s="25" t="s">
        <v>58</v>
      </c>
      <c r="O26" s="25" t="s">
        <v>63</v>
      </c>
      <c r="P26" s="25" t="s">
        <v>74</v>
      </c>
      <c r="Q26" s="25" t="s">
        <v>79</v>
      </c>
      <c r="R26" s="25" t="s">
        <v>92</v>
      </c>
      <c r="S26" s="25" t="s">
        <v>239</v>
      </c>
    </row>
    <row r="27" spans="2:19" x14ac:dyDescent="0.25">
      <c r="B27" s="10" t="s">
        <v>90</v>
      </c>
      <c r="C27" s="10" t="str">
        <f>VLOOKUP(B27,Data!B:C,2,FALSE)</f>
        <v>JREFII</v>
      </c>
      <c r="D27" s="17">
        <f>SUMIFS(Data!$F:$F,Data!$B:$B,$B27,Data!$D:$D,D$2)</f>
        <v>3000</v>
      </c>
      <c r="E27" s="17">
        <f>SUMIFS(Data!$F:$F,Data!$B:$B,$B27,Data!$D:$D,E$2)</f>
        <v>0</v>
      </c>
      <c r="F27" s="17">
        <f>SUMIFS(Data!$F:$F,Data!$B:$B,$B27,Data!$D:$D,F$2)</f>
        <v>0</v>
      </c>
      <c r="G27" s="17">
        <f>SUMIFS(Data!$F:$F,Data!$B:$B,$B27,Data!$D:$D,G$2)</f>
        <v>50000</v>
      </c>
      <c r="H27" s="17">
        <f>SUMIFS(Data!$F:$F,Data!$B:$B,$B27,Data!$D:$D,H$2)</f>
        <v>0</v>
      </c>
      <c r="I27" s="17">
        <f>SUMIFS(Data!$F:$F,Data!$B:$B,$B27,Data!$D:$D,I$2)</f>
        <v>15000</v>
      </c>
      <c r="J27" s="17">
        <f>SUMIFS(Data!$F:$F,Data!$B:$B,$B27,Data!$D:$D,J$2)</f>
        <v>0</v>
      </c>
      <c r="K27" s="17">
        <f>SUMIFS(Data!$F:$F,Data!$B:$B,$B27,Data!$D:$D,K$2)</f>
        <v>150000</v>
      </c>
      <c r="L27" s="17">
        <f>SUMIFS(Data!$F:$F,Data!$B:$B,$B27,Data!$D:$D,L$2)</f>
        <v>0</v>
      </c>
      <c r="M27" s="17">
        <f>SUMIFS(Data!$F:$F,Data!$B:$B,$B27,Data!$D:$D,M$2)</f>
        <v>0</v>
      </c>
      <c r="N27" s="17">
        <f>SUMIFS(Data!$F:$F,Data!$B:$B,$B27,Data!$D:$D,N$2)</f>
        <v>0</v>
      </c>
      <c r="O27" s="17">
        <f>SUMIFS(Data!$F:$F,Data!$B:$B,$B27,Data!$D:$D,O$2)</f>
        <v>0</v>
      </c>
      <c r="P27" s="17">
        <f>SUMIFS(Data!$F:$F,Data!$B:$B,$B27,Data!$D:$D,P$2)</f>
        <v>0</v>
      </c>
      <c r="Q27" s="17">
        <f>SUMIFS(Data!$F:$F,Data!$B:$B,$B27,Data!$D:$D,Q$2)</f>
        <v>0</v>
      </c>
      <c r="R27" s="17">
        <f>SUMIFS(Data!$F:$F,Data!$B:$B,$B27,Data!$D:$D,R$2)</f>
        <v>260000</v>
      </c>
      <c r="S27" s="18">
        <f t="shared" si="0"/>
        <v>478000</v>
      </c>
    </row>
    <row r="28" spans="2:19" x14ac:dyDescent="0.25">
      <c r="B28" s="11" t="s">
        <v>95</v>
      </c>
      <c r="C28" s="11" t="str">
        <f>VLOOKUP(B28,Data!B:C,2,FALSE)</f>
        <v>JREFII</v>
      </c>
      <c r="D28" s="19">
        <f>SUMIFS(Data!$F:$F,Data!$B:$B,$B28,Data!$D:$D,D$2)</f>
        <v>12000</v>
      </c>
      <c r="E28" s="19">
        <f>SUMIFS(Data!$F:$F,Data!$B:$B,$B28,Data!$D:$D,E$2)</f>
        <v>0</v>
      </c>
      <c r="F28" s="19">
        <f>SUMIFS(Data!$F:$F,Data!$B:$B,$B28,Data!$D:$D,F$2)</f>
        <v>0</v>
      </c>
      <c r="G28" s="19">
        <f>SUMIFS(Data!$F:$F,Data!$B:$B,$B28,Data!$D:$D,G$2)</f>
        <v>0</v>
      </c>
      <c r="H28" s="19">
        <f>SUMIFS(Data!$F:$F,Data!$B:$B,$B28,Data!$D:$D,H$2)</f>
        <v>0</v>
      </c>
      <c r="I28" s="19">
        <f>SUMIFS(Data!$F:$F,Data!$B:$B,$B28,Data!$D:$D,I$2)</f>
        <v>0</v>
      </c>
      <c r="J28" s="19">
        <f>SUMIFS(Data!$F:$F,Data!$B:$B,$B28,Data!$D:$D,J$2)</f>
        <v>0</v>
      </c>
      <c r="K28" s="19">
        <f>SUMIFS(Data!$F:$F,Data!$B:$B,$B28,Data!$D:$D,K$2)</f>
        <v>0</v>
      </c>
      <c r="L28" s="19">
        <f>SUMIFS(Data!$F:$F,Data!$B:$B,$B28,Data!$D:$D,L$2)</f>
        <v>0</v>
      </c>
      <c r="M28" s="19">
        <f>SUMIFS(Data!$F:$F,Data!$B:$B,$B28,Data!$D:$D,M$2)</f>
        <v>0</v>
      </c>
      <c r="N28" s="19">
        <f>SUMIFS(Data!$F:$F,Data!$B:$B,$B28,Data!$D:$D,N$2)</f>
        <v>0</v>
      </c>
      <c r="O28" s="19">
        <f>SUMIFS(Data!$F:$F,Data!$B:$B,$B28,Data!$D:$D,O$2)</f>
        <v>0</v>
      </c>
      <c r="P28" s="19">
        <f>SUMIFS(Data!$F:$F,Data!$B:$B,$B28,Data!$D:$D,P$2)</f>
        <v>0</v>
      </c>
      <c r="Q28" s="19">
        <f>SUMIFS(Data!$F:$F,Data!$B:$B,$B28,Data!$D:$D,Q$2)</f>
        <v>0</v>
      </c>
      <c r="R28" s="19">
        <f>SUMIFS(Data!$F:$F,Data!$B:$B,$B28,Data!$D:$D,R$2)</f>
        <v>0</v>
      </c>
      <c r="S28" s="20">
        <f t="shared" si="0"/>
        <v>12000</v>
      </c>
    </row>
    <row r="29" spans="2:19" x14ac:dyDescent="0.25">
      <c r="B29" s="11" t="s">
        <v>96</v>
      </c>
      <c r="C29" s="11" t="str">
        <f>VLOOKUP(B29,Data!B:C,2,FALSE)</f>
        <v>JREFII</v>
      </c>
      <c r="D29" s="19">
        <f>SUMIFS(Data!$F:$F,Data!$B:$B,$B29,Data!$D:$D,D$2)</f>
        <v>10000</v>
      </c>
      <c r="E29" s="19">
        <f>SUMIFS(Data!$F:$F,Data!$B:$B,$B29,Data!$D:$D,E$2)</f>
        <v>50000</v>
      </c>
      <c r="F29" s="19">
        <f>SUMIFS(Data!$F:$F,Data!$B:$B,$B29,Data!$D:$D,F$2)</f>
        <v>0</v>
      </c>
      <c r="G29" s="19">
        <f>SUMIFS(Data!$F:$F,Data!$B:$B,$B29,Data!$D:$D,G$2)</f>
        <v>0</v>
      </c>
      <c r="H29" s="19">
        <f>SUMIFS(Data!$F:$F,Data!$B:$B,$B29,Data!$D:$D,H$2)</f>
        <v>1300000</v>
      </c>
      <c r="I29" s="19">
        <f>SUMIFS(Data!$F:$F,Data!$B:$B,$B29,Data!$D:$D,I$2)</f>
        <v>0</v>
      </c>
      <c r="J29" s="19">
        <f>SUMIFS(Data!$F:$F,Data!$B:$B,$B29,Data!$D:$D,J$2)</f>
        <v>0</v>
      </c>
      <c r="K29" s="19">
        <f>SUMIFS(Data!$F:$F,Data!$B:$B,$B29,Data!$D:$D,K$2)</f>
        <v>0</v>
      </c>
      <c r="L29" s="19">
        <f>SUMIFS(Data!$F:$F,Data!$B:$B,$B29,Data!$D:$D,L$2)</f>
        <v>0</v>
      </c>
      <c r="M29" s="19">
        <f>SUMIFS(Data!$F:$F,Data!$B:$B,$B29,Data!$D:$D,M$2)</f>
        <v>0</v>
      </c>
      <c r="N29" s="19">
        <f>SUMIFS(Data!$F:$F,Data!$B:$B,$B29,Data!$D:$D,N$2)</f>
        <v>0</v>
      </c>
      <c r="O29" s="19">
        <f>SUMIFS(Data!$F:$F,Data!$B:$B,$B29,Data!$D:$D,O$2)</f>
        <v>0</v>
      </c>
      <c r="P29" s="19">
        <f>SUMIFS(Data!$F:$F,Data!$B:$B,$B29,Data!$D:$D,P$2)</f>
        <v>0</v>
      </c>
      <c r="Q29" s="19">
        <f>SUMIFS(Data!$F:$F,Data!$B:$B,$B29,Data!$D:$D,Q$2)</f>
        <v>0</v>
      </c>
      <c r="R29" s="19">
        <f>SUMIFS(Data!$F:$F,Data!$B:$B,$B29,Data!$D:$D,R$2)</f>
        <v>0</v>
      </c>
      <c r="S29" s="20">
        <f t="shared" si="0"/>
        <v>1360000</v>
      </c>
    </row>
    <row r="30" spans="2:19" x14ac:dyDescent="0.25">
      <c r="B30" s="11" t="s">
        <v>89</v>
      </c>
      <c r="C30" s="11" t="str">
        <f>VLOOKUP(B30,Data!B:C,2,FALSE)</f>
        <v>JREFII</v>
      </c>
      <c r="D30" s="19">
        <f>SUMIFS(Data!$F:$F,Data!$B:$B,$B30,Data!$D:$D,D$2)</f>
        <v>0</v>
      </c>
      <c r="E30" s="19">
        <f>SUMIFS(Data!$F:$F,Data!$B:$B,$B30,Data!$D:$D,E$2)</f>
        <v>0</v>
      </c>
      <c r="F30" s="19">
        <f>SUMIFS(Data!$F:$F,Data!$B:$B,$B30,Data!$D:$D,F$2)</f>
        <v>0</v>
      </c>
      <c r="G30" s="19">
        <f>SUMIFS(Data!$F:$F,Data!$B:$B,$B30,Data!$D:$D,G$2)</f>
        <v>0</v>
      </c>
      <c r="H30" s="19">
        <f>SUMIFS(Data!$F:$F,Data!$B:$B,$B30,Data!$D:$D,H$2)</f>
        <v>0</v>
      </c>
      <c r="I30" s="19">
        <f>SUMIFS(Data!$F:$F,Data!$B:$B,$B30,Data!$D:$D,I$2)</f>
        <v>0</v>
      </c>
      <c r="J30" s="19">
        <f>SUMIFS(Data!$F:$F,Data!$B:$B,$B30,Data!$D:$D,J$2)</f>
        <v>75000</v>
      </c>
      <c r="K30" s="19">
        <f>SUMIFS(Data!$F:$F,Data!$B:$B,$B30,Data!$D:$D,K$2)</f>
        <v>0</v>
      </c>
      <c r="L30" s="19">
        <f>SUMIFS(Data!$F:$F,Data!$B:$B,$B30,Data!$D:$D,L$2)</f>
        <v>0</v>
      </c>
      <c r="M30" s="19">
        <f>SUMIFS(Data!$F:$F,Data!$B:$B,$B30,Data!$D:$D,M$2)</f>
        <v>0</v>
      </c>
      <c r="N30" s="19">
        <f>SUMIFS(Data!$F:$F,Data!$B:$B,$B30,Data!$D:$D,N$2)</f>
        <v>0</v>
      </c>
      <c r="O30" s="19">
        <f>SUMIFS(Data!$F:$F,Data!$B:$B,$B30,Data!$D:$D,O$2)</f>
        <v>0</v>
      </c>
      <c r="P30" s="19">
        <f>SUMIFS(Data!$F:$F,Data!$B:$B,$B30,Data!$D:$D,P$2)</f>
        <v>0</v>
      </c>
      <c r="Q30" s="19">
        <f>SUMIFS(Data!$F:$F,Data!$B:$B,$B30,Data!$D:$D,Q$2)</f>
        <v>0</v>
      </c>
      <c r="R30" s="19">
        <f>SUMIFS(Data!$F:$F,Data!$B:$B,$B30,Data!$D:$D,R$2)</f>
        <v>0</v>
      </c>
      <c r="S30" s="20">
        <f t="shared" si="0"/>
        <v>75000</v>
      </c>
    </row>
    <row r="31" spans="2:19" x14ac:dyDescent="0.25">
      <c r="B31" s="11" t="s">
        <v>97</v>
      </c>
      <c r="C31" s="11" t="str">
        <f>VLOOKUP(B31,Data!B:C,2,FALSE)</f>
        <v>JREFII</v>
      </c>
      <c r="D31" s="19">
        <f>SUMIFS(Data!$F:$F,Data!$B:$B,$B31,Data!$D:$D,D$2)</f>
        <v>0</v>
      </c>
      <c r="E31" s="19">
        <f>SUMIFS(Data!$F:$F,Data!$B:$B,$B31,Data!$D:$D,E$2)</f>
        <v>0</v>
      </c>
      <c r="F31" s="19">
        <f>SUMIFS(Data!$F:$F,Data!$B:$B,$B31,Data!$D:$D,F$2)</f>
        <v>0</v>
      </c>
      <c r="G31" s="19">
        <f>SUMIFS(Data!$F:$F,Data!$B:$B,$B31,Data!$D:$D,G$2)</f>
        <v>34000</v>
      </c>
      <c r="H31" s="19">
        <f>SUMIFS(Data!$F:$F,Data!$B:$B,$B31,Data!$D:$D,H$2)</f>
        <v>9000</v>
      </c>
      <c r="I31" s="19">
        <f>SUMIFS(Data!$F:$F,Data!$B:$B,$B31,Data!$D:$D,I$2)</f>
        <v>7500</v>
      </c>
      <c r="J31" s="19">
        <f>SUMIFS(Data!$F:$F,Data!$B:$B,$B31,Data!$D:$D,J$2)</f>
        <v>25000</v>
      </c>
      <c r="K31" s="19">
        <f>SUMIFS(Data!$F:$F,Data!$B:$B,$B31,Data!$D:$D,K$2)</f>
        <v>0</v>
      </c>
      <c r="L31" s="19">
        <f>SUMIFS(Data!$F:$F,Data!$B:$B,$B31,Data!$D:$D,L$2)</f>
        <v>15000</v>
      </c>
      <c r="M31" s="19">
        <f>SUMIFS(Data!$F:$F,Data!$B:$B,$B31,Data!$D:$D,M$2)</f>
        <v>0</v>
      </c>
      <c r="N31" s="19">
        <f>SUMIFS(Data!$F:$F,Data!$B:$B,$B31,Data!$D:$D,N$2)</f>
        <v>0</v>
      </c>
      <c r="O31" s="19">
        <f>SUMIFS(Data!$F:$F,Data!$B:$B,$B31,Data!$D:$D,O$2)</f>
        <v>0</v>
      </c>
      <c r="P31" s="19">
        <f>SUMIFS(Data!$F:$F,Data!$B:$B,$B31,Data!$D:$D,P$2)</f>
        <v>0</v>
      </c>
      <c r="Q31" s="19">
        <f>SUMIFS(Data!$F:$F,Data!$B:$B,$B31,Data!$D:$D,Q$2)</f>
        <v>0</v>
      </c>
      <c r="R31" s="19">
        <f>SUMIFS(Data!$F:$F,Data!$B:$B,$B31,Data!$D:$D,R$2)</f>
        <v>0</v>
      </c>
      <c r="S31" s="20">
        <f t="shared" si="0"/>
        <v>90500</v>
      </c>
    </row>
    <row r="32" spans="2:19" x14ac:dyDescent="0.25">
      <c r="B32" s="11" t="s">
        <v>102</v>
      </c>
      <c r="C32" s="11" t="str">
        <f>VLOOKUP(B32,Data!B:C,2,FALSE)</f>
        <v>JREFII</v>
      </c>
      <c r="D32" s="19">
        <f>SUMIFS(Data!$F:$F,Data!$B:$B,$B32,Data!$D:$D,D$2)</f>
        <v>10000</v>
      </c>
      <c r="E32" s="19">
        <f>SUMIFS(Data!$F:$F,Data!$B:$B,$B32,Data!$D:$D,E$2)</f>
        <v>0</v>
      </c>
      <c r="F32" s="19">
        <f>SUMIFS(Data!$F:$F,Data!$B:$B,$B32,Data!$D:$D,F$2)</f>
        <v>0</v>
      </c>
      <c r="G32" s="19">
        <f>SUMIFS(Data!$F:$F,Data!$B:$B,$B32,Data!$D:$D,G$2)</f>
        <v>40000</v>
      </c>
      <c r="H32" s="19">
        <f>SUMIFS(Data!$F:$F,Data!$B:$B,$B32,Data!$D:$D,H$2)</f>
        <v>0</v>
      </c>
      <c r="I32" s="19">
        <f>SUMIFS(Data!$F:$F,Data!$B:$B,$B32,Data!$D:$D,I$2)</f>
        <v>0</v>
      </c>
      <c r="J32" s="19">
        <f>SUMIFS(Data!$F:$F,Data!$B:$B,$B32,Data!$D:$D,J$2)</f>
        <v>20000</v>
      </c>
      <c r="K32" s="19">
        <f>SUMIFS(Data!$F:$F,Data!$B:$B,$B32,Data!$D:$D,K$2)</f>
        <v>0</v>
      </c>
      <c r="L32" s="19">
        <f>SUMIFS(Data!$F:$F,Data!$B:$B,$B32,Data!$D:$D,L$2)</f>
        <v>0</v>
      </c>
      <c r="M32" s="19">
        <f>SUMIFS(Data!$F:$F,Data!$B:$B,$B32,Data!$D:$D,M$2)</f>
        <v>0</v>
      </c>
      <c r="N32" s="19">
        <f>SUMIFS(Data!$F:$F,Data!$B:$B,$B32,Data!$D:$D,N$2)</f>
        <v>0</v>
      </c>
      <c r="O32" s="19">
        <f>SUMIFS(Data!$F:$F,Data!$B:$B,$B32,Data!$D:$D,O$2)</f>
        <v>0</v>
      </c>
      <c r="P32" s="19">
        <f>SUMIFS(Data!$F:$F,Data!$B:$B,$B32,Data!$D:$D,P$2)</f>
        <v>0</v>
      </c>
      <c r="Q32" s="19">
        <f>SUMIFS(Data!$F:$F,Data!$B:$B,$B32,Data!$D:$D,Q$2)</f>
        <v>0</v>
      </c>
      <c r="R32" s="19">
        <f>SUMIFS(Data!$F:$F,Data!$B:$B,$B32,Data!$D:$D,R$2)</f>
        <v>0</v>
      </c>
      <c r="S32" s="20">
        <f t="shared" si="0"/>
        <v>70000</v>
      </c>
    </row>
    <row r="33" spans="2:19" x14ac:dyDescent="0.25">
      <c r="B33" s="11" t="s">
        <v>103</v>
      </c>
      <c r="C33" s="11" t="str">
        <f>VLOOKUP(B33,Data!B:C,2,FALSE)</f>
        <v>JREFII</v>
      </c>
      <c r="D33" s="19">
        <f>SUMIFS(Data!$F:$F,Data!$B:$B,$B33,Data!$D:$D,D$2)</f>
        <v>20000</v>
      </c>
      <c r="E33" s="19">
        <f>SUMIFS(Data!$F:$F,Data!$B:$B,$B33,Data!$D:$D,E$2)</f>
        <v>0</v>
      </c>
      <c r="F33" s="19">
        <f>SUMIFS(Data!$F:$F,Data!$B:$B,$B33,Data!$D:$D,F$2)</f>
        <v>0</v>
      </c>
      <c r="G33" s="19">
        <f>SUMIFS(Data!$F:$F,Data!$B:$B,$B33,Data!$D:$D,G$2)</f>
        <v>0</v>
      </c>
      <c r="H33" s="19">
        <f>SUMIFS(Data!$F:$F,Data!$B:$B,$B33,Data!$D:$D,H$2)</f>
        <v>0</v>
      </c>
      <c r="I33" s="19">
        <f>SUMIFS(Data!$F:$F,Data!$B:$B,$B33,Data!$D:$D,I$2)</f>
        <v>7500</v>
      </c>
      <c r="J33" s="19">
        <f>SUMIFS(Data!$F:$F,Data!$B:$B,$B33,Data!$D:$D,J$2)</f>
        <v>30000</v>
      </c>
      <c r="K33" s="19">
        <f>SUMIFS(Data!$F:$F,Data!$B:$B,$B33,Data!$D:$D,K$2)</f>
        <v>0</v>
      </c>
      <c r="L33" s="19">
        <f>SUMIFS(Data!$F:$F,Data!$B:$B,$B33,Data!$D:$D,L$2)</f>
        <v>0</v>
      </c>
      <c r="M33" s="19">
        <f>SUMIFS(Data!$F:$F,Data!$B:$B,$B33,Data!$D:$D,M$2)</f>
        <v>0</v>
      </c>
      <c r="N33" s="19">
        <f>SUMIFS(Data!$F:$F,Data!$B:$B,$B33,Data!$D:$D,N$2)</f>
        <v>0</v>
      </c>
      <c r="O33" s="19">
        <f>SUMIFS(Data!$F:$F,Data!$B:$B,$B33,Data!$D:$D,O$2)</f>
        <v>0</v>
      </c>
      <c r="P33" s="19">
        <f>SUMIFS(Data!$F:$F,Data!$B:$B,$B33,Data!$D:$D,P$2)</f>
        <v>0</v>
      </c>
      <c r="Q33" s="19">
        <f>SUMIFS(Data!$F:$F,Data!$B:$B,$B33,Data!$D:$D,Q$2)</f>
        <v>0</v>
      </c>
      <c r="R33" s="19">
        <f>SUMIFS(Data!$F:$F,Data!$B:$B,$B33,Data!$D:$D,R$2)</f>
        <v>0</v>
      </c>
      <c r="S33" s="20">
        <f t="shared" si="0"/>
        <v>57500</v>
      </c>
    </row>
    <row r="34" spans="2:19" x14ac:dyDescent="0.25">
      <c r="B34" s="11" t="s">
        <v>7</v>
      </c>
      <c r="C34" s="11" t="str">
        <f>VLOOKUP(B34,Data!B:C,2,FALSE)</f>
        <v>JREFII</v>
      </c>
      <c r="D34" s="19">
        <f>SUMIFS(Data!$F:$F,Data!$B:$B,$B34,Data!$D:$D,D$2)</f>
        <v>30000</v>
      </c>
      <c r="E34" s="19">
        <f>SUMIFS(Data!$F:$F,Data!$B:$B,$B34,Data!$D:$D,E$2)</f>
        <v>60000</v>
      </c>
      <c r="F34" s="19">
        <f>SUMIFS(Data!$F:$F,Data!$B:$B,$B34,Data!$D:$D,F$2)</f>
        <v>0</v>
      </c>
      <c r="G34" s="19">
        <f>SUMIFS(Data!$F:$F,Data!$B:$B,$B34,Data!$D:$D,G$2)</f>
        <v>8000</v>
      </c>
      <c r="H34" s="19">
        <f>SUMIFS(Data!$F:$F,Data!$B:$B,$B34,Data!$D:$D,H$2)</f>
        <v>477000</v>
      </c>
      <c r="I34" s="19">
        <f>SUMIFS(Data!$F:$F,Data!$B:$B,$B34,Data!$D:$D,I$2)</f>
        <v>0</v>
      </c>
      <c r="J34" s="19">
        <f>SUMIFS(Data!$F:$F,Data!$B:$B,$B34,Data!$D:$D,J$2)</f>
        <v>20000</v>
      </c>
      <c r="K34" s="19">
        <f>SUMIFS(Data!$F:$F,Data!$B:$B,$B34,Data!$D:$D,K$2)</f>
        <v>0</v>
      </c>
      <c r="L34" s="19">
        <f>SUMIFS(Data!$F:$F,Data!$B:$B,$B34,Data!$D:$D,L$2)</f>
        <v>0</v>
      </c>
      <c r="M34" s="19">
        <f>SUMIFS(Data!$F:$F,Data!$B:$B,$B34,Data!$D:$D,M$2)</f>
        <v>0</v>
      </c>
      <c r="N34" s="19">
        <f>SUMIFS(Data!$F:$F,Data!$B:$B,$B34,Data!$D:$D,N$2)</f>
        <v>0</v>
      </c>
      <c r="O34" s="19">
        <f>SUMIFS(Data!$F:$F,Data!$B:$B,$B34,Data!$D:$D,O$2)</f>
        <v>0</v>
      </c>
      <c r="P34" s="19">
        <f>SUMIFS(Data!$F:$F,Data!$B:$B,$B34,Data!$D:$D,P$2)</f>
        <v>0</v>
      </c>
      <c r="Q34" s="19">
        <f>SUMIFS(Data!$F:$F,Data!$B:$B,$B34,Data!$D:$D,Q$2)</f>
        <v>0</v>
      </c>
      <c r="R34" s="19">
        <f>SUMIFS(Data!$F:$F,Data!$B:$B,$B34,Data!$D:$D,R$2)</f>
        <v>0</v>
      </c>
      <c r="S34" s="20">
        <f t="shared" si="0"/>
        <v>595000</v>
      </c>
    </row>
    <row r="35" spans="2:19" x14ac:dyDescent="0.25">
      <c r="B35" s="11" t="s">
        <v>106</v>
      </c>
      <c r="C35" s="11" t="str">
        <f>VLOOKUP(B35,Data!B:C,2,FALSE)</f>
        <v>JREFII</v>
      </c>
      <c r="D35" s="19">
        <f>SUMIFS(Data!$F:$F,Data!$B:$B,$B35,Data!$D:$D,D$2)</f>
        <v>0</v>
      </c>
      <c r="E35" s="19">
        <f>SUMIFS(Data!$F:$F,Data!$B:$B,$B35,Data!$D:$D,E$2)</f>
        <v>0</v>
      </c>
      <c r="F35" s="19">
        <f>SUMIFS(Data!$F:$F,Data!$B:$B,$B35,Data!$D:$D,F$2)</f>
        <v>0</v>
      </c>
      <c r="G35" s="19">
        <f>SUMIFS(Data!$F:$F,Data!$B:$B,$B35,Data!$D:$D,G$2)</f>
        <v>8000</v>
      </c>
      <c r="H35" s="19">
        <f>SUMIFS(Data!$F:$F,Data!$B:$B,$B35,Data!$D:$D,H$2)</f>
        <v>0</v>
      </c>
      <c r="I35" s="19">
        <f>SUMIFS(Data!$F:$F,Data!$B:$B,$B35,Data!$D:$D,I$2)</f>
        <v>8000</v>
      </c>
      <c r="J35" s="19">
        <f>SUMIFS(Data!$F:$F,Data!$B:$B,$B35,Data!$D:$D,J$2)</f>
        <v>10000</v>
      </c>
      <c r="K35" s="19">
        <f>SUMIFS(Data!$F:$F,Data!$B:$B,$B35,Data!$D:$D,K$2)</f>
        <v>0</v>
      </c>
      <c r="L35" s="19">
        <f>SUMIFS(Data!$F:$F,Data!$B:$B,$B35,Data!$D:$D,L$2)</f>
        <v>0</v>
      </c>
      <c r="M35" s="19">
        <f>SUMIFS(Data!$F:$F,Data!$B:$B,$B35,Data!$D:$D,M$2)</f>
        <v>0</v>
      </c>
      <c r="N35" s="19">
        <f>SUMIFS(Data!$F:$F,Data!$B:$B,$B35,Data!$D:$D,N$2)</f>
        <v>0</v>
      </c>
      <c r="O35" s="19">
        <f>SUMIFS(Data!$F:$F,Data!$B:$B,$B35,Data!$D:$D,O$2)</f>
        <v>0</v>
      </c>
      <c r="P35" s="19">
        <f>SUMIFS(Data!$F:$F,Data!$B:$B,$B35,Data!$D:$D,P$2)</f>
        <v>0</v>
      </c>
      <c r="Q35" s="19">
        <f>SUMIFS(Data!$F:$F,Data!$B:$B,$B35,Data!$D:$D,Q$2)</f>
        <v>0</v>
      </c>
      <c r="R35" s="19">
        <f>SUMIFS(Data!$F:$F,Data!$B:$B,$B35,Data!$D:$D,R$2)</f>
        <v>0</v>
      </c>
      <c r="S35" s="20">
        <f t="shared" si="0"/>
        <v>26000</v>
      </c>
    </row>
    <row r="36" spans="2:19" x14ac:dyDescent="0.25">
      <c r="B36" s="11" t="s">
        <v>88</v>
      </c>
      <c r="C36" s="11" t="str">
        <f>VLOOKUP(B36,Data!B:C,2,FALSE)</f>
        <v>JREFII</v>
      </c>
      <c r="D36" s="19">
        <f>SUMIFS(Data!$F:$F,Data!$B:$B,$B36,Data!$D:$D,D$2)</f>
        <v>50000</v>
      </c>
      <c r="E36" s="19">
        <f>SUMIFS(Data!$F:$F,Data!$B:$B,$B36,Data!$D:$D,E$2)</f>
        <v>0</v>
      </c>
      <c r="F36" s="19">
        <f>SUMIFS(Data!$F:$F,Data!$B:$B,$B36,Data!$D:$D,F$2)</f>
        <v>0</v>
      </c>
      <c r="G36" s="19">
        <f>SUMIFS(Data!$F:$F,Data!$B:$B,$B36,Data!$D:$D,G$2)</f>
        <v>0</v>
      </c>
      <c r="H36" s="19">
        <f>SUMIFS(Data!$F:$F,Data!$B:$B,$B36,Data!$D:$D,H$2)</f>
        <v>0</v>
      </c>
      <c r="I36" s="19">
        <f>SUMIFS(Data!$F:$F,Data!$B:$B,$B36,Data!$D:$D,I$2)</f>
        <v>8000</v>
      </c>
      <c r="J36" s="19">
        <f>SUMIFS(Data!$F:$F,Data!$B:$B,$B36,Data!$D:$D,J$2)</f>
        <v>25000</v>
      </c>
      <c r="K36" s="19">
        <f>SUMIFS(Data!$F:$F,Data!$B:$B,$B36,Data!$D:$D,K$2)</f>
        <v>0</v>
      </c>
      <c r="L36" s="19">
        <f>SUMIFS(Data!$F:$F,Data!$B:$B,$B36,Data!$D:$D,L$2)</f>
        <v>0</v>
      </c>
      <c r="M36" s="19">
        <f>SUMIFS(Data!$F:$F,Data!$B:$B,$B36,Data!$D:$D,M$2)</f>
        <v>0</v>
      </c>
      <c r="N36" s="19">
        <f>SUMIFS(Data!$F:$F,Data!$B:$B,$B36,Data!$D:$D,N$2)</f>
        <v>0</v>
      </c>
      <c r="O36" s="19">
        <f>SUMIFS(Data!$F:$F,Data!$B:$B,$B36,Data!$D:$D,O$2)</f>
        <v>0</v>
      </c>
      <c r="P36" s="19">
        <f>SUMIFS(Data!$F:$F,Data!$B:$B,$B36,Data!$D:$D,P$2)</f>
        <v>0</v>
      </c>
      <c r="Q36" s="19">
        <f>SUMIFS(Data!$F:$F,Data!$B:$B,$B36,Data!$D:$D,Q$2)</f>
        <v>0</v>
      </c>
      <c r="R36" s="19">
        <f>SUMIFS(Data!$F:$F,Data!$B:$B,$B36,Data!$D:$D,R$2)</f>
        <v>0</v>
      </c>
      <c r="S36" s="20">
        <f t="shared" si="0"/>
        <v>83000</v>
      </c>
    </row>
    <row r="37" spans="2:19" x14ac:dyDescent="0.25">
      <c r="B37" s="11" t="s">
        <v>151</v>
      </c>
      <c r="C37" s="11" t="str">
        <f>VLOOKUP(B37,Data!B:C,2,FALSE)</f>
        <v>JREFII</v>
      </c>
      <c r="D37" s="19">
        <f>SUMIFS(Data!$F:$F,Data!$B:$B,$B37,Data!$D:$D,D$2)</f>
        <v>10000</v>
      </c>
      <c r="E37" s="19">
        <f>SUMIFS(Data!$F:$F,Data!$B:$B,$B37,Data!$D:$D,E$2)</f>
        <v>0</v>
      </c>
      <c r="F37" s="19">
        <f>SUMIFS(Data!$F:$F,Data!$B:$B,$B37,Data!$D:$D,F$2)</f>
        <v>5000</v>
      </c>
      <c r="G37" s="19">
        <f>SUMIFS(Data!$F:$F,Data!$B:$B,$B37,Data!$D:$D,G$2)</f>
        <v>15000</v>
      </c>
      <c r="H37" s="19">
        <f>SUMIFS(Data!$F:$F,Data!$B:$B,$B37,Data!$D:$D,H$2)</f>
        <v>30000</v>
      </c>
      <c r="I37" s="19">
        <f>SUMIFS(Data!$F:$F,Data!$B:$B,$B37,Data!$D:$D,I$2)</f>
        <v>15000</v>
      </c>
      <c r="J37" s="19">
        <f>SUMIFS(Data!$F:$F,Data!$B:$B,$B37,Data!$D:$D,J$2)</f>
        <v>0</v>
      </c>
      <c r="K37" s="19">
        <f>SUMIFS(Data!$F:$F,Data!$B:$B,$B37,Data!$D:$D,K$2)</f>
        <v>0</v>
      </c>
      <c r="L37" s="19">
        <f>SUMIFS(Data!$F:$F,Data!$B:$B,$B37,Data!$D:$D,L$2)</f>
        <v>0</v>
      </c>
      <c r="M37" s="19">
        <f>SUMIFS(Data!$F:$F,Data!$B:$B,$B37,Data!$D:$D,M$2)</f>
        <v>95000</v>
      </c>
      <c r="N37" s="19">
        <f>SUMIFS(Data!$F:$F,Data!$B:$B,$B37,Data!$D:$D,N$2)</f>
        <v>30000</v>
      </c>
      <c r="O37" s="19">
        <f>SUMIFS(Data!$F:$F,Data!$B:$B,$B37,Data!$D:$D,O$2)</f>
        <v>0</v>
      </c>
      <c r="P37" s="19">
        <f>SUMIFS(Data!$F:$F,Data!$B:$B,$B37,Data!$D:$D,P$2)</f>
        <v>0</v>
      </c>
      <c r="Q37" s="19">
        <f>SUMIFS(Data!$F:$F,Data!$B:$B,$B37,Data!$D:$D,Q$2)</f>
        <v>0</v>
      </c>
      <c r="R37" s="19">
        <f>SUMIFS(Data!$F:$F,Data!$B:$B,$B37,Data!$D:$D,R$2)</f>
        <v>0</v>
      </c>
      <c r="S37" s="20">
        <f t="shared" si="0"/>
        <v>200000</v>
      </c>
    </row>
    <row r="38" spans="2:19" x14ac:dyDescent="0.25">
      <c r="B38" s="11" t="s">
        <v>107</v>
      </c>
      <c r="C38" s="11" t="str">
        <f>VLOOKUP(B38,Data!B:C,2,FALSE)</f>
        <v>JREFII</v>
      </c>
      <c r="D38" s="19">
        <f>SUMIFS(Data!$F:$F,Data!$B:$B,$B38,Data!$D:$D,D$2)</f>
        <v>0</v>
      </c>
      <c r="E38" s="19">
        <f>SUMIFS(Data!$F:$F,Data!$B:$B,$B38,Data!$D:$D,E$2)</f>
        <v>0</v>
      </c>
      <c r="F38" s="19">
        <f>SUMIFS(Data!$F:$F,Data!$B:$B,$B38,Data!$D:$D,F$2)</f>
        <v>7000</v>
      </c>
      <c r="G38" s="19">
        <f>SUMIFS(Data!$F:$F,Data!$B:$B,$B38,Data!$D:$D,G$2)</f>
        <v>26000</v>
      </c>
      <c r="H38" s="19">
        <f>SUMIFS(Data!$F:$F,Data!$B:$B,$B38,Data!$D:$D,H$2)</f>
        <v>0</v>
      </c>
      <c r="I38" s="19">
        <f>SUMIFS(Data!$F:$F,Data!$B:$B,$B38,Data!$D:$D,I$2)</f>
        <v>0</v>
      </c>
      <c r="J38" s="19">
        <f>SUMIFS(Data!$F:$F,Data!$B:$B,$B38,Data!$D:$D,J$2)</f>
        <v>20000</v>
      </c>
      <c r="K38" s="19">
        <f>SUMIFS(Data!$F:$F,Data!$B:$B,$B38,Data!$D:$D,K$2)</f>
        <v>0</v>
      </c>
      <c r="L38" s="19">
        <f>SUMIFS(Data!$F:$F,Data!$B:$B,$B38,Data!$D:$D,L$2)</f>
        <v>0</v>
      </c>
      <c r="M38" s="19">
        <f>SUMIFS(Data!$F:$F,Data!$B:$B,$B38,Data!$D:$D,M$2)</f>
        <v>0</v>
      </c>
      <c r="N38" s="19">
        <f>SUMIFS(Data!$F:$F,Data!$B:$B,$B38,Data!$D:$D,N$2)</f>
        <v>0</v>
      </c>
      <c r="O38" s="19">
        <f>SUMIFS(Data!$F:$F,Data!$B:$B,$B38,Data!$D:$D,O$2)</f>
        <v>0</v>
      </c>
      <c r="P38" s="19">
        <f>SUMIFS(Data!$F:$F,Data!$B:$B,$B38,Data!$D:$D,P$2)</f>
        <v>0</v>
      </c>
      <c r="Q38" s="19">
        <f>SUMIFS(Data!$F:$F,Data!$B:$B,$B38,Data!$D:$D,Q$2)</f>
        <v>0</v>
      </c>
      <c r="R38" s="19">
        <f>SUMIFS(Data!$F:$F,Data!$B:$B,$B38,Data!$D:$D,R$2)</f>
        <v>0</v>
      </c>
      <c r="S38" s="20">
        <f t="shared" si="0"/>
        <v>53000</v>
      </c>
    </row>
    <row r="39" spans="2:19" x14ac:dyDescent="0.25">
      <c r="B39" s="11" t="s">
        <v>110</v>
      </c>
      <c r="C39" s="11" t="str">
        <f>VLOOKUP(B39,Data!B:C,2,FALSE)</f>
        <v>JREFII</v>
      </c>
      <c r="D39" s="19">
        <f>SUMIFS(Data!$F:$F,Data!$B:$B,$B39,Data!$D:$D,D$2)</f>
        <v>0</v>
      </c>
      <c r="E39" s="19">
        <f>SUMIFS(Data!$F:$F,Data!$B:$B,$B39,Data!$D:$D,E$2)</f>
        <v>0</v>
      </c>
      <c r="F39" s="19">
        <f>SUMIFS(Data!$F:$F,Data!$B:$B,$B39,Data!$D:$D,F$2)</f>
        <v>50000</v>
      </c>
      <c r="G39" s="19">
        <f>SUMIFS(Data!$F:$F,Data!$B:$B,$B39,Data!$D:$D,G$2)</f>
        <v>6000</v>
      </c>
      <c r="H39" s="19">
        <f>SUMIFS(Data!$F:$F,Data!$B:$B,$B39,Data!$D:$D,H$2)</f>
        <v>6500</v>
      </c>
      <c r="I39" s="19">
        <f>SUMIFS(Data!$F:$F,Data!$B:$B,$B39,Data!$D:$D,I$2)</f>
        <v>10000</v>
      </c>
      <c r="J39" s="19">
        <f>SUMIFS(Data!$F:$F,Data!$B:$B,$B39,Data!$D:$D,J$2)</f>
        <v>40000</v>
      </c>
      <c r="K39" s="19">
        <f>SUMIFS(Data!$F:$F,Data!$B:$B,$B39,Data!$D:$D,K$2)</f>
        <v>0</v>
      </c>
      <c r="L39" s="19">
        <f>SUMIFS(Data!$F:$F,Data!$B:$B,$B39,Data!$D:$D,L$2)</f>
        <v>0</v>
      </c>
      <c r="M39" s="19">
        <f>SUMIFS(Data!$F:$F,Data!$B:$B,$B39,Data!$D:$D,M$2)</f>
        <v>0</v>
      </c>
      <c r="N39" s="19">
        <f>SUMIFS(Data!$F:$F,Data!$B:$B,$B39,Data!$D:$D,N$2)</f>
        <v>250000</v>
      </c>
      <c r="O39" s="19">
        <f>SUMIFS(Data!$F:$F,Data!$B:$B,$B39,Data!$D:$D,O$2)</f>
        <v>0</v>
      </c>
      <c r="P39" s="19">
        <f>SUMIFS(Data!$F:$F,Data!$B:$B,$B39,Data!$D:$D,P$2)</f>
        <v>0</v>
      </c>
      <c r="Q39" s="19">
        <f>SUMIFS(Data!$F:$F,Data!$B:$B,$B39,Data!$D:$D,Q$2)</f>
        <v>0</v>
      </c>
      <c r="R39" s="19">
        <f>SUMIFS(Data!$F:$F,Data!$B:$B,$B39,Data!$D:$D,R$2)</f>
        <v>0</v>
      </c>
      <c r="S39" s="20">
        <f t="shared" si="0"/>
        <v>362500</v>
      </c>
    </row>
    <row r="40" spans="2:19" x14ac:dyDescent="0.25">
      <c r="B40" s="11" t="s">
        <v>113</v>
      </c>
      <c r="C40" s="11" t="str">
        <f>VLOOKUP(B40,Data!B:C,2,FALSE)</f>
        <v>JREFII</v>
      </c>
      <c r="D40" s="19">
        <f>SUMIFS(Data!$F:$F,Data!$B:$B,$B40,Data!$D:$D,D$2)</f>
        <v>12000</v>
      </c>
      <c r="E40" s="19">
        <f>SUMIFS(Data!$F:$F,Data!$B:$B,$B40,Data!$D:$D,E$2)</f>
        <v>0</v>
      </c>
      <c r="F40" s="19">
        <f>SUMIFS(Data!$F:$F,Data!$B:$B,$B40,Data!$D:$D,F$2)</f>
        <v>0</v>
      </c>
      <c r="G40" s="19">
        <f>SUMIFS(Data!$F:$F,Data!$B:$B,$B40,Data!$D:$D,G$2)</f>
        <v>0</v>
      </c>
      <c r="H40" s="19">
        <f>SUMIFS(Data!$F:$F,Data!$B:$B,$B40,Data!$D:$D,H$2)</f>
        <v>0</v>
      </c>
      <c r="I40" s="19">
        <f>SUMIFS(Data!$F:$F,Data!$B:$B,$B40,Data!$D:$D,I$2)</f>
        <v>7500</v>
      </c>
      <c r="J40" s="19">
        <f>SUMIFS(Data!$F:$F,Data!$B:$B,$B40,Data!$D:$D,J$2)</f>
        <v>0</v>
      </c>
      <c r="K40" s="19">
        <f>SUMIFS(Data!$F:$F,Data!$B:$B,$B40,Data!$D:$D,K$2)</f>
        <v>0</v>
      </c>
      <c r="L40" s="19">
        <f>SUMIFS(Data!$F:$F,Data!$B:$B,$B40,Data!$D:$D,L$2)</f>
        <v>0</v>
      </c>
      <c r="M40" s="19">
        <f>SUMIFS(Data!$F:$F,Data!$B:$B,$B40,Data!$D:$D,M$2)</f>
        <v>0</v>
      </c>
      <c r="N40" s="19">
        <f>SUMIFS(Data!$F:$F,Data!$B:$B,$B40,Data!$D:$D,N$2)</f>
        <v>0</v>
      </c>
      <c r="O40" s="19">
        <f>SUMIFS(Data!$F:$F,Data!$B:$B,$B40,Data!$D:$D,O$2)</f>
        <v>0</v>
      </c>
      <c r="P40" s="19">
        <f>SUMIFS(Data!$F:$F,Data!$B:$B,$B40,Data!$D:$D,P$2)</f>
        <v>0</v>
      </c>
      <c r="Q40" s="19">
        <f>SUMIFS(Data!$F:$F,Data!$B:$B,$B40,Data!$D:$D,Q$2)</f>
        <v>0</v>
      </c>
      <c r="R40" s="19">
        <f>SUMIFS(Data!$F:$F,Data!$B:$B,$B40,Data!$D:$D,R$2)</f>
        <v>0</v>
      </c>
      <c r="S40" s="20">
        <f t="shared" si="0"/>
        <v>19500</v>
      </c>
    </row>
    <row r="41" spans="2:19" x14ac:dyDescent="0.25">
      <c r="B41" s="11" t="s">
        <v>11</v>
      </c>
      <c r="C41" s="11" t="str">
        <f>VLOOKUP(B41,Data!B:C,2,FALSE)</f>
        <v>JREFII</v>
      </c>
      <c r="D41" s="19">
        <f>SUMIFS(Data!$F:$F,Data!$B:$B,$B41,Data!$D:$D,D$2)</f>
        <v>10000</v>
      </c>
      <c r="E41" s="19">
        <f>SUMIFS(Data!$F:$F,Data!$B:$B,$B41,Data!$D:$D,E$2)</f>
        <v>28000</v>
      </c>
      <c r="F41" s="19">
        <f>SUMIFS(Data!$F:$F,Data!$B:$B,$B41,Data!$D:$D,F$2)</f>
        <v>0</v>
      </c>
      <c r="G41" s="19">
        <f>SUMIFS(Data!$F:$F,Data!$B:$B,$B41,Data!$D:$D,G$2)</f>
        <v>0</v>
      </c>
      <c r="H41" s="19">
        <f>SUMIFS(Data!$F:$F,Data!$B:$B,$B41,Data!$D:$D,H$2)</f>
        <v>0</v>
      </c>
      <c r="I41" s="19">
        <f>SUMIFS(Data!$F:$F,Data!$B:$B,$B41,Data!$D:$D,I$2)</f>
        <v>8000</v>
      </c>
      <c r="J41" s="19">
        <f>SUMIFS(Data!$F:$F,Data!$B:$B,$B41,Data!$D:$D,J$2)</f>
        <v>0</v>
      </c>
      <c r="K41" s="19">
        <f>SUMIFS(Data!$F:$F,Data!$B:$B,$B41,Data!$D:$D,K$2)</f>
        <v>0</v>
      </c>
      <c r="L41" s="19">
        <f>SUMIFS(Data!$F:$F,Data!$B:$B,$B41,Data!$D:$D,L$2)</f>
        <v>0</v>
      </c>
      <c r="M41" s="19">
        <f>SUMIFS(Data!$F:$F,Data!$B:$B,$B41,Data!$D:$D,M$2)</f>
        <v>0</v>
      </c>
      <c r="N41" s="19">
        <f>SUMIFS(Data!$F:$F,Data!$B:$B,$B41,Data!$D:$D,N$2)</f>
        <v>0</v>
      </c>
      <c r="O41" s="19">
        <f>SUMIFS(Data!$F:$F,Data!$B:$B,$B41,Data!$D:$D,O$2)</f>
        <v>0</v>
      </c>
      <c r="P41" s="19">
        <f>SUMIFS(Data!$F:$F,Data!$B:$B,$B41,Data!$D:$D,P$2)</f>
        <v>0</v>
      </c>
      <c r="Q41" s="19">
        <f>SUMIFS(Data!$F:$F,Data!$B:$B,$B41,Data!$D:$D,Q$2)</f>
        <v>0</v>
      </c>
      <c r="R41" s="19">
        <f>SUMIFS(Data!$F:$F,Data!$B:$B,$B41,Data!$D:$D,R$2)</f>
        <v>0</v>
      </c>
      <c r="S41" s="20">
        <f t="shared" si="0"/>
        <v>46000</v>
      </c>
    </row>
    <row r="42" spans="2:19" x14ac:dyDescent="0.25">
      <c r="B42" s="11" t="s">
        <v>155</v>
      </c>
      <c r="C42" s="11" t="str">
        <f>VLOOKUP(B42,Data!B:C,2,FALSE)</f>
        <v>JREFII</v>
      </c>
      <c r="D42" s="19">
        <f>SUMIFS(Data!$F:$F,Data!$B:$B,$B42,Data!$D:$D,D$2)</f>
        <v>15000</v>
      </c>
      <c r="E42" s="19">
        <f>SUMIFS(Data!$F:$F,Data!$B:$B,$B42,Data!$D:$D,E$2)</f>
        <v>0</v>
      </c>
      <c r="F42" s="19">
        <f>SUMIFS(Data!$F:$F,Data!$B:$B,$B42,Data!$D:$D,F$2)</f>
        <v>10000</v>
      </c>
      <c r="G42" s="19">
        <f>SUMIFS(Data!$F:$F,Data!$B:$B,$B42,Data!$D:$D,G$2)</f>
        <v>0</v>
      </c>
      <c r="H42" s="19">
        <f>SUMIFS(Data!$F:$F,Data!$B:$B,$B42,Data!$D:$D,H$2)</f>
        <v>0</v>
      </c>
      <c r="I42" s="19">
        <f>SUMIFS(Data!$F:$F,Data!$B:$B,$B42,Data!$D:$D,I$2)</f>
        <v>7500</v>
      </c>
      <c r="J42" s="19">
        <f>SUMIFS(Data!$F:$F,Data!$B:$B,$B42,Data!$D:$D,J$2)</f>
        <v>0</v>
      </c>
      <c r="K42" s="19">
        <f>SUMIFS(Data!$F:$F,Data!$B:$B,$B42,Data!$D:$D,K$2)</f>
        <v>0</v>
      </c>
      <c r="L42" s="19">
        <f>SUMIFS(Data!$F:$F,Data!$B:$B,$B42,Data!$D:$D,L$2)</f>
        <v>0</v>
      </c>
      <c r="M42" s="19">
        <f>SUMIFS(Data!$F:$F,Data!$B:$B,$B42,Data!$D:$D,M$2)</f>
        <v>0</v>
      </c>
      <c r="N42" s="19">
        <f>SUMIFS(Data!$F:$F,Data!$B:$B,$B42,Data!$D:$D,N$2)</f>
        <v>1500</v>
      </c>
      <c r="O42" s="19">
        <f>SUMIFS(Data!$F:$F,Data!$B:$B,$B42,Data!$D:$D,O$2)</f>
        <v>0</v>
      </c>
      <c r="P42" s="19">
        <f>SUMIFS(Data!$F:$F,Data!$B:$B,$B42,Data!$D:$D,P$2)</f>
        <v>0</v>
      </c>
      <c r="Q42" s="19">
        <f>SUMIFS(Data!$F:$F,Data!$B:$B,$B42,Data!$D:$D,Q$2)</f>
        <v>0</v>
      </c>
      <c r="R42" s="19">
        <f>SUMIFS(Data!$F:$F,Data!$B:$B,$B42,Data!$D:$D,R$2)</f>
        <v>0</v>
      </c>
      <c r="S42" s="20">
        <f t="shared" si="0"/>
        <v>34000</v>
      </c>
    </row>
    <row r="43" spans="2:19" x14ac:dyDescent="0.25">
      <c r="B43" s="11" t="s">
        <v>157</v>
      </c>
      <c r="C43" s="11" t="str">
        <f>VLOOKUP(B43,Data!B:C,2,FALSE)</f>
        <v>JREFII</v>
      </c>
      <c r="D43" s="19">
        <f>SUMIFS(Data!$F:$F,Data!$B:$B,$B43,Data!$D:$D,D$2)</f>
        <v>0</v>
      </c>
      <c r="E43" s="19">
        <f>SUMIFS(Data!$F:$F,Data!$B:$B,$B43,Data!$D:$D,E$2)</f>
        <v>0</v>
      </c>
      <c r="F43" s="19">
        <f>SUMIFS(Data!$F:$F,Data!$B:$B,$B43,Data!$D:$D,F$2)</f>
        <v>0</v>
      </c>
      <c r="G43" s="19">
        <f>SUMIFS(Data!$F:$F,Data!$B:$B,$B43,Data!$D:$D,G$2)</f>
        <v>10000</v>
      </c>
      <c r="H43" s="19">
        <f>SUMIFS(Data!$F:$F,Data!$B:$B,$B43,Data!$D:$D,H$2)</f>
        <v>0</v>
      </c>
      <c r="I43" s="19">
        <f>SUMIFS(Data!$F:$F,Data!$B:$B,$B43,Data!$D:$D,I$2)</f>
        <v>0</v>
      </c>
      <c r="J43" s="19">
        <f>SUMIFS(Data!$F:$F,Data!$B:$B,$B43,Data!$D:$D,J$2)</f>
        <v>20000</v>
      </c>
      <c r="K43" s="19">
        <f>SUMIFS(Data!$F:$F,Data!$B:$B,$B43,Data!$D:$D,K$2)</f>
        <v>0</v>
      </c>
      <c r="L43" s="19">
        <f>SUMIFS(Data!$F:$F,Data!$B:$B,$B43,Data!$D:$D,L$2)</f>
        <v>0</v>
      </c>
      <c r="M43" s="19">
        <f>SUMIFS(Data!$F:$F,Data!$B:$B,$B43,Data!$D:$D,M$2)</f>
        <v>0</v>
      </c>
      <c r="N43" s="19">
        <f>SUMIFS(Data!$F:$F,Data!$B:$B,$B43,Data!$D:$D,N$2)</f>
        <v>0</v>
      </c>
      <c r="O43" s="19">
        <f>SUMIFS(Data!$F:$F,Data!$B:$B,$B43,Data!$D:$D,O$2)</f>
        <v>0</v>
      </c>
      <c r="P43" s="19">
        <f>SUMIFS(Data!$F:$F,Data!$B:$B,$B43,Data!$D:$D,P$2)</f>
        <v>0</v>
      </c>
      <c r="Q43" s="19">
        <f>SUMIFS(Data!$F:$F,Data!$B:$B,$B43,Data!$D:$D,Q$2)</f>
        <v>0</v>
      </c>
      <c r="R43" s="19">
        <f>SUMIFS(Data!$F:$F,Data!$B:$B,$B43,Data!$D:$D,R$2)</f>
        <v>0</v>
      </c>
      <c r="S43" s="20">
        <f t="shared" si="0"/>
        <v>30000</v>
      </c>
    </row>
    <row r="44" spans="2:19" x14ac:dyDescent="0.25">
      <c r="B44" s="11" t="s">
        <v>16</v>
      </c>
      <c r="C44" s="11" t="str">
        <f>VLOOKUP(B44,Data!B:C,2,FALSE)</f>
        <v>JREFII</v>
      </c>
      <c r="D44" s="19">
        <f>SUMIFS(Data!$F:$F,Data!$B:$B,$B44,Data!$D:$D,D$2)</f>
        <v>0</v>
      </c>
      <c r="E44" s="19">
        <f>SUMIFS(Data!$F:$F,Data!$B:$B,$B44,Data!$D:$D,E$2)</f>
        <v>0</v>
      </c>
      <c r="F44" s="19">
        <f>SUMIFS(Data!$F:$F,Data!$B:$B,$B44,Data!$D:$D,F$2)</f>
        <v>35000</v>
      </c>
      <c r="G44" s="19">
        <f>SUMIFS(Data!$F:$F,Data!$B:$B,$B44,Data!$D:$D,G$2)</f>
        <v>37000</v>
      </c>
      <c r="H44" s="19">
        <f>SUMIFS(Data!$F:$F,Data!$B:$B,$B44,Data!$D:$D,H$2)</f>
        <v>0</v>
      </c>
      <c r="I44" s="19">
        <f>SUMIFS(Data!$F:$F,Data!$B:$B,$B44,Data!$D:$D,I$2)</f>
        <v>0</v>
      </c>
      <c r="J44" s="19">
        <f>SUMIFS(Data!$F:$F,Data!$B:$B,$B44,Data!$D:$D,J$2)</f>
        <v>0</v>
      </c>
      <c r="K44" s="19">
        <f>SUMIFS(Data!$F:$F,Data!$B:$B,$B44,Data!$D:$D,K$2)</f>
        <v>0</v>
      </c>
      <c r="L44" s="19">
        <f>SUMIFS(Data!$F:$F,Data!$B:$B,$B44,Data!$D:$D,L$2)</f>
        <v>0</v>
      </c>
      <c r="M44" s="19">
        <f>SUMIFS(Data!$F:$F,Data!$B:$B,$B44,Data!$D:$D,M$2)</f>
        <v>0</v>
      </c>
      <c r="N44" s="19">
        <f>SUMIFS(Data!$F:$F,Data!$B:$B,$B44,Data!$D:$D,N$2)</f>
        <v>200000</v>
      </c>
      <c r="O44" s="19">
        <f>SUMIFS(Data!$F:$F,Data!$B:$B,$B44,Data!$D:$D,O$2)</f>
        <v>0</v>
      </c>
      <c r="P44" s="19">
        <f>SUMIFS(Data!$F:$F,Data!$B:$B,$B44,Data!$D:$D,P$2)</f>
        <v>0</v>
      </c>
      <c r="Q44" s="19">
        <f>SUMIFS(Data!$F:$F,Data!$B:$B,$B44,Data!$D:$D,Q$2)</f>
        <v>0</v>
      </c>
      <c r="R44" s="19">
        <f>SUMIFS(Data!$F:$F,Data!$B:$B,$B44,Data!$D:$D,R$2)</f>
        <v>0</v>
      </c>
      <c r="S44" s="20">
        <f t="shared" si="0"/>
        <v>272000</v>
      </c>
    </row>
    <row r="45" spans="2:19" x14ac:dyDescent="0.25">
      <c r="B45" s="11" t="s">
        <v>165</v>
      </c>
      <c r="C45" s="11" t="str">
        <f>VLOOKUP(B45,Data!B:C,2,FALSE)</f>
        <v>JREFII</v>
      </c>
      <c r="D45" s="19">
        <f>SUMIFS(Data!$F:$F,Data!$B:$B,$B45,Data!$D:$D,D$2)</f>
        <v>0</v>
      </c>
      <c r="E45" s="19">
        <f>SUMIFS(Data!$F:$F,Data!$B:$B,$B45,Data!$D:$D,E$2)</f>
        <v>0</v>
      </c>
      <c r="F45" s="19">
        <f>SUMIFS(Data!$F:$F,Data!$B:$B,$B45,Data!$D:$D,F$2)</f>
        <v>0</v>
      </c>
      <c r="G45" s="19">
        <f>SUMIFS(Data!$F:$F,Data!$B:$B,$B45,Data!$D:$D,G$2)</f>
        <v>8000</v>
      </c>
      <c r="H45" s="19">
        <f>SUMIFS(Data!$F:$F,Data!$B:$B,$B45,Data!$D:$D,H$2)</f>
        <v>0</v>
      </c>
      <c r="I45" s="19">
        <f>SUMIFS(Data!$F:$F,Data!$B:$B,$B45,Data!$D:$D,I$2)</f>
        <v>0</v>
      </c>
      <c r="J45" s="19">
        <f>SUMIFS(Data!$F:$F,Data!$B:$B,$B45,Data!$D:$D,J$2)</f>
        <v>0</v>
      </c>
      <c r="K45" s="19">
        <f>SUMIFS(Data!$F:$F,Data!$B:$B,$B45,Data!$D:$D,K$2)</f>
        <v>0</v>
      </c>
      <c r="L45" s="19">
        <f>SUMIFS(Data!$F:$F,Data!$B:$B,$B45,Data!$D:$D,L$2)</f>
        <v>0</v>
      </c>
      <c r="M45" s="19">
        <f>SUMIFS(Data!$F:$F,Data!$B:$B,$B45,Data!$D:$D,M$2)</f>
        <v>0</v>
      </c>
      <c r="N45" s="19">
        <f>SUMIFS(Data!$F:$F,Data!$B:$B,$B45,Data!$D:$D,N$2)</f>
        <v>200000</v>
      </c>
      <c r="O45" s="19">
        <f>SUMIFS(Data!$F:$F,Data!$B:$B,$B45,Data!$D:$D,O$2)</f>
        <v>0</v>
      </c>
      <c r="P45" s="19">
        <f>SUMIFS(Data!$F:$F,Data!$B:$B,$B45,Data!$D:$D,P$2)</f>
        <v>0</v>
      </c>
      <c r="Q45" s="19">
        <f>SUMIFS(Data!$F:$F,Data!$B:$B,$B45,Data!$D:$D,Q$2)</f>
        <v>0</v>
      </c>
      <c r="R45" s="19">
        <f>SUMIFS(Data!$F:$F,Data!$B:$B,$B45,Data!$D:$D,R$2)</f>
        <v>0</v>
      </c>
      <c r="S45" s="20">
        <f t="shared" si="0"/>
        <v>208000</v>
      </c>
    </row>
    <row r="46" spans="2:19" x14ac:dyDescent="0.25">
      <c r="B46" s="13" t="s">
        <v>239</v>
      </c>
      <c r="C46" s="14"/>
      <c r="D46" s="22">
        <f>SUM(D27:D45)</f>
        <v>182000</v>
      </c>
      <c r="E46" s="22">
        <f t="shared" ref="E46:S46" si="2">SUM(E27:E45)</f>
        <v>138000</v>
      </c>
      <c r="F46" s="22">
        <f t="shared" si="2"/>
        <v>107000</v>
      </c>
      <c r="G46" s="22">
        <f t="shared" si="2"/>
        <v>242000</v>
      </c>
      <c r="H46" s="22">
        <f t="shared" si="2"/>
        <v>1822500</v>
      </c>
      <c r="I46" s="22">
        <f t="shared" si="2"/>
        <v>94000</v>
      </c>
      <c r="J46" s="22">
        <f t="shared" si="2"/>
        <v>285000</v>
      </c>
      <c r="K46" s="22">
        <f t="shared" si="2"/>
        <v>150000</v>
      </c>
      <c r="L46" s="22">
        <f t="shared" si="2"/>
        <v>15000</v>
      </c>
      <c r="M46" s="22">
        <f t="shared" si="2"/>
        <v>95000</v>
      </c>
      <c r="N46" s="22">
        <f t="shared" si="2"/>
        <v>681500</v>
      </c>
      <c r="O46" s="22">
        <f t="shared" si="2"/>
        <v>0</v>
      </c>
      <c r="P46" s="22">
        <f t="shared" si="2"/>
        <v>0</v>
      </c>
      <c r="Q46" s="22">
        <f t="shared" si="2"/>
        <v>0</v>
      </c>
      <c r="R46" s="22">
        <f t="shared" si="2"/>
        <v>260000</v>
      </c>
      <c r="S46" s="22">
        <f t="shared" si="2"/>
        <v>4072000</v>
      </c>
    </row>
    <row r="47" spans="2:19" x14ac:dyDescent="0.25"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spans="2:19" ht="17.25" x14ac:dyDescent="0.4">
      <c r="B48" s="15" t="s">
        <v>238</v>
      </c>
      <c r="C48" s="15" t="s">
        <v>1</v>
      </c>
      <c r="D48" s="25" t="s">
        <v>9</v>
      </c>
      <c r="E48" s="25" t="s">
        <v>12</v>
      </c>
      <c r="F48" s="25" t="s">
        <v>17</v>
      </c>
      <c r="G48" s="25" t="s">
        <v>18</v>
      </c>
      <c r="H48" s="25" t="s">
        <v>22</v>
      </c>
      <c r="I48" s="25" t="s">
        <v>24</v>
      </c>
      <c r="J48" s="25" t="s">
        <v>26</v>
      </c>
      <c r="K48" s="25" t="s">
        <v>32</v>
      </c>
      <c r="L48" s="25" t="s">
        <v>38</v>
      </c>
      <c r="M48" s="25" t="s">
        <v>54</v>
      </c>
      <c r="N48" s="25" t="s">
        <v>58</v>
      </c>
      <c r="O48" s="25" t="s">
        <v>63</v>
      </c>
      <c r="P48" s="25" t="s">
        <v>74</v>
      </c>
      <c r="Q48" s="25" t="s">
        <v>79</v>
      </c>
      <c r="R48" s="25" t="s">
        <v>92</v>
      </c>
      <c r="S48" s="25" t="s">
        <v>239</v>
      </c>
    </row>
    <row r="49" spans="2:19" x14ac:dyDescent="0.25">
      <c r="B49" s="10" t="s">
        <v>202</v>
      </c>
      <c r="C49" s="10" t="str">
        <f>VLOOKUP(B49,Data!B:C,2,FALSE)</f>
        <v>Legacy</v>
      </c>
      <c r="D49" s="17">
        <f>SUMIFS(Data!$F:$F,Data!$B:$B,$B49,Data!$D:$D,D$2)</f>
        <v>200000</v>
      </c>
      <c r="E49" s="17">
        <f>SUMIFS(Data!$F:$F,Data!$B:$B,$B49,Data!$D:$D,E$2)</f>
        <v>0</v>
      </c>
      <c r="F49" s="17">
        <f>SUMIFS(Data!$F:$F,Data!$B:$B,$B49,Data!$D:$D,F$2)</f>
        <v>0</v>
      </c>
      <c r="G49" s="17">
        <f>SUMIFS(Data!$F:$F,Data!$B:$B,$B49,Data!$D:$D,G$2)</f>
        <v>0</v>
      </c>
      <c r="H49" s="17">
        <f>SUMIFS(Data!$F:$F,Data!$B:$B,$B49,Data!$D:$D,H$2)</f>
        <v>0</v>
      </c>
      <c r="I49" s="17">
        <f>SUMIFS(Data!$F:$F,Data!$B:$B,$B49,Data!$D:$D,I$2)</f>
        <v>0</v>
      </c>
      <c r="J49" s="17">
        <f>SUMIFS(Data!$F:$F,Data!$B:$B,$B49,Data!$D:$D,J$2)</f>
        <v>0</v>
      </c>
      <c r="K49" s="17">
        <f>SUMIFS(Data!$F:$F,Data!$B:$B,$B49,Data!$D:$D,K$2)</f>
        <v>0</v>
      </c>
      <c r="L49" s="17">
        <f>SUMIFS(Data!$F:$F,Data!$B:$B,$B49,Data!$D:$D,L$2)</f>
        <v>0</v>
      </c>
      <c r="M49" s="17">
        <f>SUMIFS(Data!$F:$F,Data!$B:$B,$B49,Data!$D:$D,M$2)</f>
        <v>0</v>
      </c>
      <c r="N49" s="17">
        <f>SUMIFS(Data!$F:$F,Data!$B:$B,$B49,Data!$D:$D,N$2)</f>
        <v>0</v>
      </c>
      <c r="O49" s="17">
        <f>SUMIFS(Data!$F:$F,Data!$B:$B,$B49,Data!$D:$D,O$2)</f>
        <v>0</v>
      </c>
      <c r="P49" s="17">
        <f>SUMIFS(Data!$F:$F,Data!$B:$B,$B49,Data!$D:$D,P$2)</f>
        <v>0</v>
      </c>
      <c r="Q49" s="17">
        <f>SUMIFS(Data!$F:$F,Data!$B:$B,$B49,Data!$D:$D,Q$2)</f>
        <v>0</v>
      </c>
      <c r="R49" s="17">
        <f>SUMIFS(Data!$F:$F,Data!$B:$B,$B49,Data!$D:$D,R$2)</f>
        <v>0</v>
      </c>
      <c r="S49" s="18">
        <f t="shared" ref="S49:S61" si="3">SUM(D49:R49)</f>
        <v>200000</v>
      </c>
    </row>
    <row r="50" spans="2:19" x14ac:dyDescent="0.25">
      <c r="B50" s="11" t="s">
        <v>117</v>
      </c>
      <c r="C50" s="11" t="str">
        <f>VLOOKUP(B50,Data!B:C,2,FALSE)</f>
        <v>Legacy</v>
      </c>
      <c r="D50" s="19">
        <f>SUMIFS(Data!$F:$F,Data!$B:$B,$B50,Data!$D:$D,D$2)</f>
        <v>22000</v>
      </c>
      <c r="E50" s="19">
        <f>SUMIFS(Data!$F:$F,Data!$B:$B,$B50,Data!$D:$D,E$2)</f>
        <v>0</v>
      </c>
      <c r="F50" s="19">
        <f>SUMIFS(Data!$F:$F,Data!$B:$B,$B50,Data!$D:$D,F$2)</f>
        <v>10000</v>
      </c>
      <c r="G50" s="19">
        <f>SUMIFS(Data!$F:$F,Data!$B:$B,$B50,Data!$D:$D,G$2)</f>
        <v>50000</v>
      </c>
      <c r="H50" s="19">
        <f>SUMIFS(Data!$F:$F,Data!$B:$B,$B50,Data!$D:$D,H$2)</f>
        <v>0</v>
      </c>
      <c r="I50" s="19">
        <f>SUMIFS(Data!$F:$F,Data!$B:$B,$B50,Data!$D:$D,I$2)</f>
        <v>7500</v>
      </c>
      <c r="J50" s="19">
        <f>SUMIFS(Data!$F:$F,Data!$B:$B,$B50,Data!$D:$D,J$2)</f>
        <v>10000</v>
      </c>
      <c r="K50" s="19">
        <f>SUMIFS(Data!$F:$F,Data!$B:$B,$B50,Data!$D:$D,K$2)</f>
        <v>0</v>
      </c>
      <c r="L50" s="19">
        <f>SUMIFS(Data!$F:$F,Data!$B:$B,$B50,Data!$D:$D,L$2)</f>
        <v>0</v>
      </c>
      <c r="M50" s="19">
        <f>SUMIFS(Data!$F:$F,Data!$B:$B,$B50,Data!$D:$D,M$2)</f>
        <v>0</v>
      </c>
      <c r="N50" s="19">
        <f>SUMIFS(Data!$F:$F,Data!$B:$B,$B50,Data!$D:$D,N$2)</f>
        <v>0</v>
      </c>
      <c r="O50" s="19">
        <f>SUMIFS(Data!$F:$F,Data!$B:$B,$B50,Data!$D:$D,O$2)</f>
        <v>0</v>
      </c>
      <c r="P50" s="19">
        <f>SUMIFS(Data!$F:$F,Data!$B:$B,$B50,Data!$D:$D,P$2)</f>
        <v>0</v>
      </c>
      <c r="Q50" s="19">
        <f>SUMIFS(Data!$F:$F,Data!$B:$B,$B50,Data!$D:$D,Q$2)</f>
        <v>0</v>
      </c>
      <c r="R50" s="19">
        <f>SUMIFS(Data!$F:$F,Data!$B:$B,$B50,Data!$D:$D,R$2)</f>
        <v>0</v>
      </c>
      <c r="S50" s="20">
        <f t="shared" si="3"/>
        <v>99500</v>
      </c>
    </row>
    <row r="51" spans="2:19" x14ac:dyDescent="0.25">
      <c r="B51" s="11" t="s">
        <v>119</v>
      </c>
      <c r="C51" s="11" t="str">
        <f>VLOOKUP(B51,Data!B:C,2,FALSE)</f>
        <v>Legacy</v>
      </c>
      <c r="D51" s="19">
        <f>SUMIFS(Data!$F:$F,Data!$B:$B,$B51,Data!$D:$D,D$2)</f>
        <v>0</v>
      </c>
      <c r="E51" s="19">
        <f>SUMIFS(Data!$F:$F,Data!$B:$B,$B51,Data!$D:$D,E$2)</f>
        <v>0</v>
      </c>
      <c r="F51" s="19">
        <f>SUMIFS(Data!$F:$F,Data!$B:$B,$B51,Data!$D:$D,F$2)</f>
        <v>10000</v>
      </c>
      <c r="G51" s="19">
        <f>SUMIFS(Data!$F:$F,Data!$B:$B,$B51,Data!$D:$D,G$2)</f>
        <v>10000</v>
      </c>
      <c r="H51" s="19">
        <f>SUMIFS(Data!$F:$F,Data!$B:$B,$B51,Data!$D:$D,H$2)</f>
        <v>0</v>
      </c>
      <c r="I51" s="19">
        <f>SUMIFS(Data!$F:$F,Data!$B:$B,$B51,Data!$D:$D,I$2)</f>
        <v>7500</v>
      </c>
      <c r="J51" s="19">
        <f>SUMIFS(Data!$F:$F,Data!$B:$B,$B51,Data!$D:$D,J$2)</f>
        <v>0</v>
      </c>
      <c r="K51" s="19">
        <f>SUMIFS(Data!$F:$F,Data!$B:$B,$B51,Data!$D:$D,K$2)</f>
        <v>0</v>
      </c>
      <c r="L51" s="19">
        <f>SUMIFS(Data!$F:$F,Data!$B:$B,$B51,Data!$D:$D,L$2)</f>
        <v>0</v>
      </c>
      <c r="M51" s="19">
        <f>SUMIFS(Data!$F:$F,Data!$B:$B,$B51,Data!$D:$D,M$2)</f>
        <v>0</v>
      </c>
      <c r="N51" s="19">
        <f>SUMIFS(Data!$F:$F,Data!$B:$B,$B51,Data!$D:$D,N$2)</f>
        <v>0</v>
      </c>
      <c r="O51" s="19">
        <f>SUMIFS(Data!$F:$F,Data!$B:$B,$B51,Data!$D:$D,O$2)</f>
        <v>0</v>
      </c>
      <c r="P51" s="19">
        <f>SUMIFS(Data!$F:$F,Data!$B:$B,$B51,Data!$D:$D,P$2)</f>
        <v>0</v>
      </c>
      <c r="Q51" s="19">
        <f>SUMIFS(Data!$F:$F,Data!$B:$B,$B51,Data!$D:$D,Q$2)</f>
        <v>0</v>
      </c>
      <c r="R51" s="19">
        <f>SUMIFS(Data!$F:$F,Data!$B:$B,$B51,Data!$D:$D,R$2)</f>
        <v>0</v>
      </c>
      <c r="S51" s="20">
        <f t="shared" si="3"/>
        <v>27500</v>
      </c>
    </row>
    <row r="52" spans="2:19" x14ac:dyDescent="0.25">
      <c r="B52" s="11" t="s">
        <v>121</v>
      </c>
      <c r="C52" s="11" t="str">
        <f>VLOOKUP(B52,Data!B:C,2,FALSE)</f>
        <v>Legacy</v>
      </c>
      <c r="D52" s="19">
        <f>SUMIFS(Data!$F:$F,Data!$B:$B,$B52,Data!$D:$D,D$2)</f>
        <v>15000</v>
      </c>
      <c r="E52" s="19">
        <f>SUMIFS(Data!$F:$F,Data!$B:$B,$B52,Data!$D:$D,E$2)</f>
        <v>0</v>
      </c>
      <c r="F52" s="19">
        <f>SUMIFS(Data!$F:$F,Data!$B:$B,$B52,Data!$D:$D,F$2)</f>
        <v>0</v>
      </c>
      <c r="G52" s="19">
        <f>SUMIFS(Data!$F:$F,Data!$B:$B,$B52,Data!$D:$D,G$2)</f>
        <v>0</v>
      </c>
      <c r="H52" s="19">
        <f>SUMIFS(Data!$F:$F,Data!$B:$B,$B52,Data!$D:$D,H$2)</f>
        <v>0</v>
      </c>
      <c r="I52" s="19">
        <f>SUMIFS(Data!$F:$F,Data!$B:$B,$B52,Data!$D:$D,I$2)</f>
        <v>7500</v>
      </c>
      <c r="J52" s="19">
        <f>SUMIFS(Data!$F:$F,Data!$B:$B,$B52,Data!$D:$D,J$2)</f>
        <v>0</v>
      </c>
      <c r="K52" s="19">
        <f>SUMIFS(Data!$F:$F,Data!$B:$B,$B52,Data!$D:$D,K$2)</f>
        <v>0</v>
      </c>
      <c r="L52" s="19">
        <f>SUMIFS(Data!$F:$F,Data!$B:$B,$B52,Data!$D:$D,L$2)</f>
        <v>0</v>
      </c>
      <c r="M52" s="19">
        <f>SUMIFS(Data!$F:$F,Data!$B:$B,$B52,Data!$D:$D,M$2)</f>
        <v>0</v>
      </c>
      <c r="N52" s="19">
        <f>SUMIFS(Data!$F:$F,Data!$B:$B,$B52,Data!$D:$D,N$2)</f>
        <v>0</v>
      </c>
      <c r="O52" s="19">
        <f>SUMIFS(Data!$F:$F,Data!$B:$B,$B52,Data!$D:$D,O$2)</f>
        <v>0</v>
      </c>
      <c r="P52" s="19">
        <f>SUMIFS(Data!$F:$F,Data!$B:$B,$B52,Data!$D:$D,P$2)</f>
        <v>0</v>
      </c>
      <c r="Q52" s="19">
        <f>SUMIFS(Data!$F:$F,Data!$B:$B,$B52,Data!$D:$D,Q$2)</f>
        <v>0</v>
      </c>
      <c r="R52" s="19">
        <f>SUMIFS(Data!$F:$F,Data!$B:$B,$B52,Data!$D:$D,R$2)</f>
        <v>0</v>
      </c>
      <c r="S52" s="20">
        <f t="shared" si="3"/>
        <v>22500</v>
      </c>
    </row>
    <row r="53" spans="2:19" x14ac:dyDescent="0.25">
      <c r="B53" s="11" t="s">
        <v>167</v>
      </c>
      <c r="C53" s="11" t="str">
        <f>VLOOKUP(B53,Data!B:C,2,FALSE)</f>
        <v>Legacy</v>
      </c>
      <c r="D53" s="19">
        <f>SUMIFS(Data!$F:$F,Data!$B:$B,$B53,Data!$D:$D,D$2)</f>
        <v>0</v>
      </c>
      <c r="E53" s="19">
        <f>SUMIFS(Data!$F:$F,Data!$B:$B,$B53,Data!$D:$D,E$2)</f>
        <v>0</v>
      </c>
      <c r="F53" s="19">
        <f>SUMIFS(Data!$F:$F,Data!$B:$B,$B53,Data!$D:$D,F$2)</f>
        <v>0</v>
      </c>
      <c r="G53" s="19">
        <f>SUMIFS(Data!$F:$F,Data!$B:$B,$B53,Data!$D:$D,G$2)</f>
        <v>0</v>
      </c>
      <c r="H53" s="19">
        <f>SUMIFS(Data!$F:$F,Data!$B:$B,$B53,Data!$D:$D,H$2)</f>
        <v>0</v>
      </c>
      <c r="I53" s="19">
        <f>SUMIFS(Data!$F:$F,Data!$B:$B,$B53,Data!$D:$D,I$2)</f>
        <v>0</v>
      </c>
      <c r="J53" s="19">
        <f>SUMIFS(Data!$F:$F,Data!$B:$B,$B53,Data!$D:$D,J$2)</f>
        <v>20000</v>
      </c>
      <c r="K53" s="19">
        <f>SUMIFS(Data!$F:$F,Data!$B:$B,$B53,Data!$D:$D,K$2)</f>
        <v>0</v>
      </c>
      <c r="L53" s="19">
        <f>SUMIFS(Data!$F:$F,Data!$B:$B,$B53,Data!$D:$D,L$2)</f>
        <v>0</v>
      </c>
      <c r="M53" s="19">
        <f>SUMIFS(Data!$F:$F,Data!$B:$B,$B53,Data!$D:$D,M$2)</f>
        <v>0</v>
      </c>
      <c r="N53" s="19">
        <f>SUMIFS(Data!$F:$F,Data!$B:$B,$B53,Data!$D:$D,N$2)</f>
        <v>0</v>
      </c>
      <c r="O53" s="19">
        <f>SUMIFS(Data!$F:$F,Data!$B:$B,$B53,Data!$D:$D,O$2)</f>
        <v>0</v>
      </c>
      <c r="P53" s="19">
        <f>SUMIFS(Data!$F:$F,Data!$B:$B,$B53,Data!$D:$D,P$2)</f>
        <v>0</v>
      </c>
      <c r="Q53" s="19">
        <f>SUMIFS(Data!$F:$F,Data!$B:$B,$B53,Data!$D:$D,Q$2)</f>
        <v>0</v>
      </c>
      <c r="R53" s="19">
        <f>SUMIFS(Data!$F:$F,Data!$B:$B,$B53,Data!$D:$D,R$2)</f>
        <v>0</v>
      </c>
      <c r="S53" s="20">
        <f t="shared" si="3"/>
        <v>20000</v>
      </c>
    </row>
    <row r="54" spans="2:19" x14ac:dyDescent="0.25">
      <c r="B54" s="11" t="s">
        <v>122</v>
      </c>
      <c r="C54" s="11" t="str">
        <f>VLOOKUP(B54,Data!B:C,2,FALSE)</f>
        <v>Legacy</v>
      </c>
      <c r="D54" s="19">
        <f>SUMIFS(Data!$F:$F,Data!$B:$B,$B54,Data!$D:$D,D$2)</f>
        <v>8000</v>
      </c>
      <c r="E54" s="19">
        <f>SUMIFS(Data!$F:$F,Data!$B:$B,$B54,Data!$D:$D,E$2)</f>
        <v>0</v>
      </c>
      <c r="F54" s="19">
        <f>SUMIFS(Data!$F:$F,Data!$B:$B,$B54,Data!$D:$D,F$2)</f>
        <v>0</v>
      </c>
      <c r="G54" s="19">
        <f>SUMIFS(Data!$F:$F,Data!$B:$B,$B54,Data!$D:$D,G$2)</f>
        <v>10000</v>
      </c>
      <c r="H54" s="19">
        <f>SUMIFS(Data!$F:$F,Data!$B:$B,$B54,Data!$D:$D,H$2)</f>
        <v>50000</v>
      </c>
      <c r="I54" s="19">
        <f>SUMIFS(Data!$F:$F,Data!$B:$B,$B54,Data!$D:$D,I$2)</f>
        <v>7500</v>
      </c>
      <c r="J54" s="19">
        <f>SUMIFS(Data!$F:$F,Data!$B:$B,$B54,Data!$D:$D,J$2)</f>
        <v>0</v>
      </c>
      <c r="K54" s="19">
        <f>SUMIFS(Data!$F:$F,Data!$B:$B,$B54,Data!$D:$D,K$2)</f>
        <v>0</v>
      </c>
      <c r="L54" s="19">
        <f>SUMIFS(Data!$F:$F,Data!$B:$B,$B54,Data!$D:$D,L$2)</f>
        <v>0</v>
      </c>
      <c r="M54" s="19">
        <f>SUMIFS(Data!$F:$F,Data!$B:$B,$B54,Data!$D:$D,M$2)</f>
        <v>0</v>
      </c>
      <c r="N54" s="19">
        <f>SUMIFS(Data!$F:$F,Data!$B:$B,$B54,Data!$D:$D,N$2)</f>
        <v>5000</v>
      </c>
      <c r="O54" s="19">
        <f>SUMIFS(Data!$F:$F,Data!$B:$B,$B54,Data!$D:$D,O$2)</f>
        <v>0</v>
      </c>
      <c r="P54" s="19">
        <f>SUMIFS(Data!$F:$F,Data!$B:$B,$B54,Data!$D:$D,P$2)</f>
        <v>0</v>
      </c>
      <c r="Q54" s="19">
        <f>SUMIFS(Data!$F:$F,Data!$B:$B,$B54,Data!$D:$D,Q$2)</f>
        <v>0</v>
      </c>
      <c r="R54" s="19">
        <f>SUMIFS(Data!$F:$F,Data!$B:$B,$B54,Data!$D:$D,R$2)</f>
        <v>0</v>
      </c>
      <c r="S54" s="20">
        <f t="shared" si="3"/>
        <v>80500</v>
      </c>
    </row>
    <row r="55" spans="2:19" x14ac:dyDescent="0.25">
      <c r="B55" s="11" t="s">
        <v>114</v>
      </c>
      <c r="C55" s="11" t="str">
        <f>VLOOKUP(B55,Data!B:C,2,FALSE)</f>
        <v>Legacy</v>
      </c>
      <c r="D55" s="19">
        <f>SUMIFS(Data!$F:$F,Data!$B:$B,$B55,Data!$D:$D,D$2)</f>
        <v>0</v>
      </c>
      <c r="E55" s="19">
        <f>SUMIFS(Data!$F:$F,Data!$B:$B,$B55,Data!$D:$D,E$2)</f>
        <v>0</v>
      </c>
      <c r="F55" s="19">
        <f>SUMIFS(Data!$F:$F,Data!$B:$B,$B55,Data!$D:$D,F$2)</f>
        <v>0</v>
      </c>
      <c r="G55" s="19">
        <f>SUMIFS(Data!$F:$F,Data!$B:$B,$B55,Data!$D:$D,G$2)</f>
        <v>0</v>
      </c>
      <c r="H55" s="19">
        <f>SUMIFS(Data!$F:$F,Data!$B:$B,$B55,Data!$D:$D,H$2)</f>
        <v>0</v>
      </c>
      <c r="I55" s="19">
        <f>SUMIFS(Data!$F:$F,Data!$B:$B,$B55,Data!$D:$D,I$2)</f>
        <v>0</v>
      </c>
      <c r="J55" s="19">
        <f>SUMIFS(Data!$F:$F,Data!$B:$B,$B55,Data!$D:$D,J$2)</f>
        <v>0</v>
      </c>
      <c r="K55" s="19">
        <f>SUMIFS(Data!$F:$F,Data!$B:$B,$B55,Data!$D:$D,K$2)</f>
        <v>0</v>
      </c>
      <c r="L55" s="19">
        <f>SUMIFS(Data!$F:$F,Data!$B:$B,$B55,Data!$D:$D,L$2)</f>
        <v>0</v>
      </c>
      <c r="M55" s="19">
        <f>SUMIFS(Data!$F:$F,Data!$B:$B,$B55,Data!$D:$D,M$2)</f>
        <v>0</v>
      </c>
      <c r="N55" s="19">
        <f>SUMIFS(Data!$F:$F,Data!$B:$B,$B55,Data!$D:$D,N$2)</f>
        <v>0</v>
      </c>
      <c r="O55" s="19">
        <f>SUMIFS(Data!$F:$F,Data!$B:$B,$B55,Data!$D:$D,O$2)</f>
        <v>30000</v>
      </c>
      <c r="P55" s="19">
        <f>SUMIFS(Data!$F:$F,Data!$B:$B,$B55,Data!$D:$D,P$2)</f>
        <v>0</v>
      </c>
      <c r="Q55" s="19">
        <f>SUMIFS(Data!$F:$F,Data!$B:$B,$B55,Data!$D:$D,Q$2)</f>
        <v>0</v>
      </c>
      <c r="R55" s="19">
        <f>SUMIFS(Data!$F:$F,Data!$B:$B,$B55,Data!$D:$D,R$2)</f>
        <v>0</v>
      </c>
      <c r="S55" s="20">
        <f t="shared" si="3"/>
        <v>30000</v>
      </c>
    </row>
    <row r="56" spans="2:19" x14ac:dyDescent="0.25">
      <c r="B56" s="11" t="s">
        <v>125</v>
      </c>
      <c r="C56" s="11" t="str">
        <f>VLOOKUP(B56,Data!B:C,2,FALSE)</f>
        <v>Legacy</v>
      </c>
      <c r="D56" s="19">
        <f>SUMIFS(Data!$F:$F,Data!$B:$B,$B56,Data!$D:$D,D$2)</f>
        <v>30000</v>
      </c>
      <c r="E56" s="19">
        <f>SUMIFS(Data!$F:$F,Data!$B:$B,$B56,Data!$D:$D,E$2)</f>
        <v>0</v>
      </c>
      <c r="F56" s="19">
        <f>SUMIFS(Data!$F:$F,Data!$B:$B,$B56,Data!$D:$D,F$2)</f>
        <v>0</v>
      </c>
      <c r="G56" s="19">
        <f>SUMIFS(Data!$F:$F,Data!$B:$B,$B56,Data!$D:$D,G$2)</f>
        <v>6000</v>
      </c>
      <c r="H56" s="19">
        <f>SUMIFS(Data!$F:$F,Data!$B:$B,$B56,Data!$D:$D,H$2)</f>
        <v>0</v>
      </c>
      <c r="I56" s="19">
        <f>SUMIFS(Data!$F:$F,Data!$B:$B,$B56,Data!$D:$D,I$2)</f>
        <v>1500</v>
      </c>
      <c r="J56" s="19">
        <f>SUMIFS(Data!$F:$F,Data!$B:$B,$B56,Data!$D:$D,J$2)</f>
        <v>0</v>
      </c>
      <c r="K56" s="19">
        <f>SUMIFS(Data!$F:$F,Data!$B:$B,$B56,Data!$D:$D,K$2)</f>
        <v>120000</v>
      </c>
      <c r="L56" s="19">
        <f>SUMIFS(Data!$F:$F,Data!$B:$B,$B56,Data!$D:$D,L$2)</f>
        <v>15000</v>
      </c>
      <c r="M56" s="19">
        <f>SUMIFS(Data!$F:$F,Data!$B:$B,$B56,Data!$D:$D,M$2)</f>
        <v>0</v>
      </c>
      <c r="N56" s="19">
        <f>SUMIFS(Data!$F:$F,Data!$B:$B,$B56,Data!$D:$D,N$2)</f>
        <v>0</v>
      </c>
      <c r="O56" s="19">
        <f>SUMIFS(Data!$F:$F,Data!$B:$B,$B56,Data!$D:$D,O$2)</f>
        <v>0</v>
      </c>
      <c r="P56" s="19">
        <f>SUMIFS(Data!$F:$F,Data!$B:$B,$B56,Data!$D:$D,P$2)</f>
        <v>0</v>
      </c>
      <c r="Q56" s="19">
        <f>SUMIFS(Data!$F:$F,Data!$B:$B,$B56,Data!$D:$D,Q$2)</f>
        <v>0</v>
      </c>
      <c r="R56" s="19">
        <f>SUMIFS(Data!$F:$F,Data!$B:$B,$B56,Data!$D:$D,R$2)</f>
        <v>0</v>
      </c>
      <c r="S56" s="20">
        <f t="shared" si="3"/>
        <v>172500</v>
      </c>
    </row>
    <row r="57" spans="2:19" x14ac:dyDescent="0.25">
      <c r="B57" s="11" t="s">
        <v>217</v>
      </c>
      <c r="C57" s="11" t="str">
        <f>VLOOKUP(B57,Data!B:C,2,FALSE)</f>
        <v>Legacy</v>
      </c>
      <c r="D57" s="19">
        <f>SUMIFS(Data!$F:$F,Data!$B:$B,$B57,Data!$D:$D,D$2)</f>
        <v>10000</v>
      </c>
      <c r="E57" s="19">
        <f>SUMIFS(Data!$F:$F,Data!$B:$B,$B57,Data!$D:$D,E$2)</f>
        <v>0</v>
      </c>
      <c r="F57" s="19">
        <f>SUMIFS(Data!$F:$F,Data!$B:$B,$B57,Data!$D:$D,F$2)</f>
        <v>0</v>
      </c>
      <c r="G57" s="19">
        <f>SUMIFS(Data!$F:$F,Data!$B:$B,$B57,Data!$D:$D,G$2)</f>
        <v>0</v>
      </c>
      <c r="H57" s="19">
        <f>SUMIFS(Data!$F:$F,Data!$B:$B,$B57,Data!$D:$D,H$2)</f>
        <v>0</v>
      </c>
      <c r="I57" s="19">
        <f>SUMIFS(Data!$F:$F,Data!$B:$B,$B57,Data!$D:$D,I$2)</f>
        <v>0</v>
      </c>
      <c r="J57" s="19">
        <f>SUMIFS(Data!$F:$F,Data!$B:$B,$B57,Data!$D:$D,J$2)</f>
        <v>0</v>
      </c>
      <c r="K57" s="19">
        <f>SUMIFS(Data!$F:$F,Data!$B:$B,$B57,Data!$D:$D,K$2)</f>
        <v>0</v>
      </c>
      <c r="L57" s="19">
        <f>SUMIFS(Data!$F:$F,Data!$B:$B,$B57,Data!$D:$D,L$2)</f>
        <v>15000</v>
      </c>
      <c r="M57" s="19">
        <f>SUMIFS(Data!$F:$F,Data!$B:$B,$B57,Data!$D:$D,M$2)</f>
        <v>0</v>
      </c>
      <c r="N57" s="19">
        <f>SUMIFS(Data!$F:$F,Data!$B:$B,$B57,Data!$D:$D,N$2)</f>
        <v>0</v>
      </c>
      <c r="O57" s="19">
        <f>SUMIFS(Data!$F:$F,Data!$B:$B,$B57,Data!$D:$D,O$2)</f>
        <v>0</v>
      </c>
      <c r="P57" s="19">
        <f>SUMIFS(Data!$F:$F,Data!$B:$B,$B57,Data!$D:$D,P$2)</f>
        <v>0</v>
      </c>
      <c r="Q57" s="19">
        <f>SUMIFS(Data!$F:$F,Data!$B:$B,$B57,Data!$D:$D,Q$2)</f>
        <v>0</v>
      </c>
      <c r="R57" s="19">
        <f>SUMIFS(Data!$F:$F,Data!$B:$B,$B57,Data!$D:$D,R$2)</f>
        <v>0</v>
      </c>
      <c r="S57" s="20">
        <f t="shared" si="3"/>
        <v>25000</v>
      </c>
    </row>
    <row r="58" spans="2:19" x14ac:dyDescent="0.25">
      <c r="B58" s="11" t="s">
        <v>168</v>
      </c>
      <c r="C58" s="11" t="str">
        <f>VLOOKUP(B58,Data!B:C,2,FALSE)</f>
        <v>Legacy</v>
      </c>
      <c r="D58" s="19">
        <f>SUMIFS(Data!$F:$F,Data!$B:$B,$B58,Data!$D:$D,D$2)</f>
        <v>10000</v>
      </c>
      <c r="E58" s="19">
        <f>SUMIFS(Data!$F:$F,Data!$B:$B,$B58,Data!$D:$D,E$2)</f>
        <v>0</v>
      </c>
      <c r="F58" s="19">
        <f>SUMIFS(Data!$F:$F,Data!$B:$B,$B58,Data!$D:$D,F$2)</f>
        <v>0</v>
      </c>
      <c r="G58" s="19">
        <f>SUMIFS(Data!$F:$F,Data!$B:$B,$B58,Data!$D:$D,G$2)</f>
        <v>0</v>
      </c>
      <c r="H58" s="19">
        <f>SUMIFS(Data!$F:$F,Data!$B:$B,$B58,Data!$D:$D,H$2)</f>
        <v>0</v>
      </c>
      <c r="I58" s="19">
        <f>SUMIFS(Data!$F:$F,Data!$B:$B,$B58,Data!$D:$D,I$2)</f>
        <v>0</v>
      </c>
      <c r="J58" s="19">
        <f>SUMIFS(Data!$F:$F,Data!$B:$B,$B58,Data!$D:$D,J$2)</f>
        <v>0</v>
      </c>
      <c r="K58" s="19">
        <f>SUMIFS(Data!$F:$F,Data!$B:$B,$B58,Data!$D:$D,K$2)</f>
        <v>0</v>
      </c>
      <c r="L58" s="19">
        <f>SUMIFS(Data!$F:$F,Data!$B:$B,$B58,Data!$D:$D,L$2)</f>
        <v>0</v>
      </c>
      <c r="M58" s="19">
        <f>SUMIFS(Data!$F:$F,Data!$B:$B,$B58,Data!$D:$D,M$2)</f>
        <v>0</v>
      </c>
      <c r="N58" s="19">
        <f>SUMIFS(Data!$F:$F,Data!$B:$B,$B58,Data!$D:$D,N$2)</f>
        <v>0</v>
      </c>
      <c r="O58" s="19">
        <f>SUMIFS(Data!$F:$F,Data!$B:$B,$B58,Data!$D:$D,O$2)</f>
        <v>0</v>
      </c>
      <c r="P58" s="19">
        <f>SUMIFS(Data!$F:$F,Data!$B:$B,$B58,Data!$D:$D,P$2)</f>
        <v>0</v>
      </c>
      <c r="Q58" s="19">
        <f>SUMIFS(Data!$F:$F,Data!$B:$B,$B58,Data!$D:$D,Q$2)</f>
        <v>0</v>
      </c>
      <c r="R58" s="19">
        <f>SUMIFS(Data!$F:$F,Data!$B:$B,$B58,Data!$D:$D,R$2)</f>
        <v>0</v>
      </c>
      <c r="S58" s="20">
        <f t="shared" si="3"/>
        <v>10000</v>
      </c>
    </row>
    <row r="59" spans="2:19" x14ac:dyDescent="0.25">
      <c r="B59" s="11" t="s">
        <v>158</v>
      </c>
      <c r="C59" s="11" t="str">
        <f>VLOOKUP(B59,Data!B:C,2,FALSE)</f>
        <v>Legacy</v>
      </c>
      <c r="D59" s="19">
        <f>SUMIFS(Data!$F:$F,Data!$B:$B,$B59,Data!$D:$D,D$2)</f>
        <v>0</v>
      </c>
      <c r="E59" s="19">
        <f>SUMIFS(Data!$F:$F,Data!$B:$B,$B59,Data!$D:$D,E$2)</f>
        <v>0</v>
      </c>
      <c r="F59" s="19">
        <f>SUMIFS(Data!$F:$F,Data!$B:$B,$B59,Data!$D:$D,F$2)</f>
        <v>0</v>
      </c>
      <c r="G59" s="19">
        <f>SUMIFS(Data!$F:$F,Data!$B:$B,$B59,Data!$D:$D,G$2)</f>
        <v>0</v>
      </c>
      <c r="H59" s="19">
        <f>SUMIFS(Data!$F:$F,Data!$B:$B,$B59,Data!$D:$D,H$2)</f>
        <v>0</v>
      </c>
      <c r="I59" s="19">
        <f>SUMIFS(Data!$F:$F,Data!$B:$B,$B59,Data!$D:$D,I$2)</f>
        <v>7500</v>
      </c>
      <c r="J59" s="19">
        <f>SUMIFS(Data!$F:$F,Data!$B:$B,$B59,Data!$D:$D,J$2)</f>
        <v>25000</v>
      </c>
      <c r="K59" s="19">
        <f>SUMIFS(Data!$F:$F,Data!$B:$B,$B59,Data!$D:$D,K$2)</f>
        <v>1500</v>
      </c>
      <c r="L59" s="19">
        <f>SUMIFS(Data!$F:$F,Data!$B:$B,$B59,Data!$D:$D,L$2)</f>
        <v>0</v>
      </c>
      <c r="M59" s="19">
        <f>SUMIFS(Data!$F:$F,Data!$B:$B,$B59,Data!$D:$D,M$2)</f>
        <v>0</v>
      </c>
      <c r="N59" s="19">
        <f>SUMIFS(Data!$F:$F,Data!$B:$B,$B59,Data!$D:$D,N$2)</f>
        <v>0</v>
      </c>
      <c r="O59" s="19">
        <f>SUMIFS(Data!$F:$F,Data!$B:$B,$B59,Data!$D:$D,O$2)</f>
        <v>0</v>
      </c>
      <c r="P59" s="19">
        <f>SUMIFS(Data!$F:$F,Data!$B:$B,$B59,Data!$D:$D,P$2)</f>
        <v>0</v>
      </c>
      <c r="Q59" s="19">
        <f>SUMIFS(Data!$F:$F,Data!$B:$B,$B59,Data!$D:$D,Q$2)</f>
        <v>0</v>
      </c>
      <c r="R59" s="19">
        <f>SUMIFS(Data!$F:$F,Data!$B:$B,$B59,Data!$D:$D,R$2)</f>
        <v>0</v>
      </c>
      <c r="S59" s="20">
        <f t="shared" si="3"/>
        <v>34000</v>
      </c>
    </row>
    <row r="60" spans="2:19" x14ac:dyDescent="0.25">
      <c r="B60" s="11" t="s">
        <v>211</v>
      </c>
      <c r="C60" s="11" t="str">
        <f>VLOOKUP(B60,Data!B:C,2,FALSE)</f>
        <v>Legacy</v>
      </c>
      <c r="D60" s="19">
        <f>SUMIFS(Data!$F:$F,Data!$B:$B,$B60,Data!$D:$D,D$2)</f>
        <v>15000</v>
      </c>
      <c r="E60" s="19">
        <f>SUMIFS(Data!$F:$F,Data!$B:$B,$B60,Data!$D:$D,E$2)</f>
        <v>0</v>
      </c>
      <c r="F60" s="19">
        <f>SUMIFS(Data!$F:$F,Data!$B:$B,$B60,Data!$D:$D,F$2)</f>
        <v>0</v>
      </c>
      <c r="G60" s="19">
        <f>SUMIFS(Data!$F:$F,Data!$B:$B,$B60,Data!$D:$D,G$2)</f>
        <v>0</v>
      </c>
      <c r="H60" s="19">
        <f>SUMIFS(Data!$F:$F,Data!$B:$B,$B60,Data!$D:$D,H$2)</f>
        <v>0</v>
      </c>
      <c r="I60" s="19">
        <f>SUMIFS(Data!$F:$F,Data!$B:$B,$B60,Data!$D:$D,I$2)</f>
        <v>7500</v>
      </c>
      <c r="J60" s="19">
        <f>SUMIFS(Data!$F:$F,Data!$B:$B,$B60,Data!$D:$D,J$2)</f>
        <v>0</v>
      </c>
      <c r="K60" s="19">
        <f>SUMIFS(Data!$F:$F,Data!$B:$B,$B60,Data!$D:$D,K$2)</f>
        <v>0</v>
      </c>
      <c r="L60" s="19">
        <f>SUMIFS(Data!$F:$F,Data!$B:$B,$B60,Data!$D:$D,L$2)</f>
        <v>5000</v>
      </c>
      <c r="M60" s="19">
        <f>SUMIFS(Data!$F:$F,Data!$B:$B,$B60,Data!$D:$D,M$2)</f>
        <v>0</v>
      </c>
      <c r="N60" s="19">
        <f>SUMIFS(Data!$F:$F,Data!$B:$B,$B60,Data!$D:$D,N$2)</f>
        <v>0</v>
      </c>
      <c r="O60" s="19">
        <f>SUMIFS(Data!$F:$F,Data!$B:$B,$B60,Data!$D:$D,O$2)</f>
        <v>0</v>
      </c>
      <c r="P60" s="19">
        <f>SUMIFS(Data!$F:$F,Data!$B:$B,$B60,Data!$D:$D,P$2)</f>
        <v>0</v>
      </c>
      <c r="Q60" s="19">
        <f>SUMIFS(Data!$F:$F,Data!$B:$B,$B60,Data!$D:$D,Q$2)</f>
        <v>0</v>
      </c>
      <c r="R60" s="19">
        <f>SUMIFS(Data!$F:$F,Data!$B:$B,$B60,Data!$D:$D,R$2)</f>
        <v>0</v>
      </c>
      <c r="S60" s="20">
        <f t="shared" si="3"/>
        <v>27500</v>
      </c>
    </row>
    <row r="61" spans="2:19" x14ac:dyDescent="0.25">
      <c r="B61" s="11" t="s">
        <v>127</v>
      </c>
      <c r="C61" s="11" t="str">
        <f>VLOOKUP(B61,Data!B:C,2,FALSE)</f>
        <v>Legacy</v>
      </c>
      <c r="D61" s="19">
        <f>SUMIFS(Data!$F:$F,Data!$B:$B,$B61,Data!$D:$D,D$2)</f>
        <v>0</v>
      </c>
      <c r="E61" s="19">
        <f>SUMIFS(Data!$F:$F,Data!$B:$B,$B61,Data!$D:$D,E$2)</f>
        <v>0</v>
      </c>
      <c r="F61" s="19">
        <f>SUMIFS(Data!$F:$F,Data!$B:$B,$B61,Data!$D:$D,F$2)</f>
        <v>0</v>
      </c>
      <c r="G61" s="19">
        <f>SUMIFS(Data!$F:$F,Data!$B:$B,$B61,Data!$D:$D,G$2)</f>
        <v>0</v>
      </c>
      <c r="H61" s="19">
        <f>SUMIFS(Data!$F:$F,Data!$B:$B,$B61,Data!$D:$D,H$2)</f>
        <v>20000</v>
      </c>
      <c r="I61" s="19">
        <f>SUMIFS(Data!$F:$F,Data!$B:$B,$B61,Data!$D:$D,I$2)</f>
        <v>0</v>
      </c>
      <c r="J61" s="19">
        <f>SUMIFS(Data!$F:$F,Data!$B:$B,$B61,Data!$D:$D,J$2)</f>
        <v>0</v>
      </c>
      <c r="K61" s="19">
        <f>SUMIFS(Data!$F:$F,Data!$B:$B,$B61,Data!$D:$D,K$2)</f>
        <v>0</v>
      </c>
      <c r="L61" s="19">
        <f>SUMIFS(Data!$F:$F,Data!$B:$B,$B61,Data!$D:$D,L$2)</f>
        <v>0</v>
      </c>
      <c r="M61" s="19">
        <f>SUMIFS(Data!$F:$F,Data!$B:$B,$B61,Data!$D:$D,M$2)</f>
        <v>0</v>
      </c>
      <c r="N61" s="19">
        <f>SUMIFS(Data!$F:$F,Data!$B:$B,$B61,Data!$D:$D,N$2)</f>
        <v>0</v>
      </c>
      <c r="O61" s="19">
        <f>SUMIFS(Data!$F:$F,Data!$B:$B,$B61,Data!$D:$D,O$2)</f>
        <v>0</v>
      </c>
      <c r="P61" s="19">
        <f>SUMIFS(Data!$F:$F,Data!$B:$B,$B61,Data!$D:$D,P$2)</f>
        <v>0</v>
      </c>
      <c r="Q61" s="19">
        <f>SUMIFS(Data!$F:$F,Data!$B:$B,$B61,Data!$D:$D,Q$2)</f>
        <v>0</v>
      </c>
      <c r="R61" s="19">
        <f>SUMIFS(Data!$F:$F,Data!$B:$B,$B61,Data!$D:$D,R$2)</f>
        <v>0</v>
      </c>
      <c r="S61" s="20">
        <f t="shared" si="3"/>
        <v>20000</v>
      </c>
    </row>
    <row r="62" spans="2:19" x14ac:dyDescent="0.25">
      <c r="B62" s="13" t="s">
        <v>239</v>
      </c>
      <c r="C62" s="14"/>
      <c r="D62" s="22">
        <f>SUM(D49:D61)</f>
        <v>310000</v>
      </c>
      <c r="E62" s="22">
        <f t="shared" ref="E62:S62" si="4">SUM(E49:E61)</f>
        <v>0</v>
      </c>
      <c r="F62" s="22">
        <f t="shared" si="4"/>
        <v>20000</v>
      </c>
      <c r="G62" s="22">
        <f t="shared" si="4"/>
        <v>76000</v>
      </c>
      <c r="H62" s="22">
        <f t="shared" si="4"/>
        <v>70000</v>
      </c>
      <c r="I62" s="22">
        <f t="shared" si="4"/>
        <v>46500</v>
      </c>
      <c r="J62" s="22">
        <f t="shared" si="4"/>
        <v>55000</v>
      </c>
      <c r="K62" s="22">
        <f t="shared" si="4"/>
        <v>121500</v>
      </c>
      <c r="L62" s="22">
        <f t="shared" si="4"/>
        <v>35000</v>
      </c>
      <c r="M62" s="22">
        <f t="shared" si="4"/>
        <v>0</v>
      </c>
      <c r="N62" s="22">
        <f t="shared" si="4"/>
        <v>5000</v>
      </c>
      <c r="O62" s="22">
        <f t="shared" si="4"/>
        <v>30000</v>
      </c>
      <c r="P62" s="22">
        <f t="shared" si="4"/>
        <v>0</v>
      </c>
      <c r="Q62" s="22">
        <f t="shared" si="4"/>
        <v>0</v>
      </c>
      <c r="R62" s="22">
        <f t="shared" si="4"/>
        <v>0</v>
      </c>
      <c r="S62" s="22">
        <f t="shared" si="4"/>
        <v>769000</v>
      </c>
    </row>
    <row r="63" spans="2:19" x14ac:dyDescent="0.25">
      <c r="S63"/>
    </row>
    <row r="64" spans="2:19" x14ac:dyDescent="0.25">
      <c r="B64" s="28" t="s">
        <v>241</v>
      </c>
      <c r="C64" s="29"/>
      <c r="D64" s="30">
        <f>+D62+D46+D24</f>
        <v>781000</v>
      </c>
      <c r="E64" s="30">
        <f t="shared" ref="E64:S64" si="5">+E62+E46+E24</f>
        <v>288000</v>
      </c>
      <c r="F64" s="30">
        <f t="shared" si="5"/>
        <v>222500</v>
      </c>
      <c r="G64" s="30">
        <f t="shared" si="5"/>
        <v>1108000</v>
      </c>
      <c r="H64" s="30">
        <f t="shared" si="5"/>
        <v>3030500</v>
      </c>
      <c r="I64" s="30">
        <f t="shared" si="5"/>
        <v>230500</v>
      </c>
      <c r="J64" s="30">
        <f t="shared" si="5"/>
        <v>675000</v>
      </c>
      <c r="K64" s="30">
        <f t="shared" si="5"/>
        <v>304000</v>
      </c>
      <c r="L64" s="30">
        <f t="shared" si="5"/>
        <v>170000</v>
      </c>
      <c r="M64" s="30">
        <f t="shared" si="5"/>
        <v>2660000</v>
      </c>
      <c r="N64" s="30">
        <f t="shared" si="5"/>
        <v>1140100</v>
      </c>
      <c r="O64" s="30">
        <f t="shared" si="5"/>
        <v>160000</v>
      </c>
      <c r="P64" s="30">
        <f t="shared" si="5"/>
        <v>41000</v>
      </c>
      <c r="Q64" s="30">
        <f t="shared" si="5"/>
        <v>518000</v>
      </c>
      <c r="R64" s="30">
        <f t="shared" si="5"/>
        <v>260000</v>
      </c>
      <c r="S64" s="30">
        <f t="shared" si="5"/>
        <v>11588600</v>
      </c>
    </row>
    <row r="65" spans="19:19" x14ac:dyDescent="0.25">
      <c r="S65"/>
    </row>
    <row r="66" spans="19:19" x14ac:dyDescent="0.25">
      <c r="S66"/>
    </row>
    <row r="67" spans="19:19" x14ac:dyDescent="0.25">
      <c r="S67"/>
    </row>
    <row r="68" spans="19:19" x14ac:dyDescent="0.25">
      <c r="S68"/>
    </row>
  </sheetData>
  <pageMargins left="0.7" right="0.7" top="0.75" bottom="0.75" header="0.3" footer="0.3"/>
  <pageSetup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5136-3B93-4819-82F7-46F718C79FB3}">
  <dimension ref="B2:CA68"/>
  <sheetViews>
    <sheetView showGridLines="0" view="pageBreakPreview" zoomScale="58" zoomScaleNormal="115" zoomScaleSheetLayoutView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2" sqref="E2"/>
    </sheetView>
  </sheetViews>
  <sheetFormatPr defaultRowHeight="15" x14ac:dyDescent="0.25"/>
  <cols>
    <col min="7" max="7" width="13.140625" bestFit="1" customWidth="1"/>
    <col min="8" max="8" width="13.85546875" bestFit="1" customWidth="1"/>
    <col min="9" max="10" width="12.5703125" customWidth="1"/>
    <col min="11" max="11" width="14" bestFit="1" customWidth="1"/>
    <col min="12" max="13" width="12.5703125" customWidth="1"/>
    <col min="14" max="14" width="19.28515625" bestFit="1" customWidth="1"/>
    <col min="15" max="15" width="12.5703125" customWidth="1"/>
    <col min="16" max="16" width="16.85546875" bestFit="1" customWidth="1"/>
    <col min="17" max="18" width="13.5703125" bestFit="1" customWidth="1"/>
    <col min="19" max="78" width="12.5703125" customWidth="1"/>
    <col min="79" max="79" width="13.140625" style="7" bestFit="1" customWidth="1"/>
  </cols>
  <sheetData>
    <row r="2" spans="2:79" ht="17.25" x14ac:dyDescent="0.4">
      <c r="B2" s="15" t="s">
        <v>238</v>
      </c>
      <c r="C2" s="15" t="s">
        <v>1</v>
      </c>
      <c r="D2" s="27">
        <v>45961</v>
      </c>
      <c r="E2" s="27">
        <f t="shared" ref="E2:G2" si="0">EOMONTH(D2,1)</f>
        <v>45991</v>
      </c>
      <c r="F2" s="27">
        <f t="shared" si="0"/>
        <v>46022</v>
      </c>
      <c r="G2" s="27">
        <f t="shared" si="0"/>
        <v>46053</v>
      </c>
      <c r="H2" s="27">
        <f>EOMONTH(G2,1)</f>
        <v>46081</v>
      </c>
      <c r="I2" s="27">
        <f t="shared" ref="I2:BT2" si="1">EOMONTH(H2,1)</f>
        <v>46112</v>
      </c>
      <c r="J2" s="27">
        <f t="shared" si="1"/>
        <v>46142</v>
      </c>
      <c r="K2" s="27">
        <f t="shared" si="1"/>
        <v>46173</v>
      </c>
      <c r="L2" s="27">
        <f t="shared" si="1"/>
        <v>46203</v>
      </c>
      <c r="M2" s="27">
        <f t="shared" si="1"/>
        <v>46234</v>
      </c>
      <c r="N2" s="27">
        <f t="shared" si="1"/>
        <v>46265</v>
      </c>
      <c r="O2" s="27">
        <f t="shared" si="1"/>
        <v>46295</v>
      </c>
      <c r="P2" s="27">
        <f t="shared" si="1"/>
        <v>46326</v>
      </c>
      <c r="Q2" s="27">
        <f t="shared" si="1"/>
        <v>46356</v>
      </c>
      <c r="R2" s="27">
        <f t="shared" si="1"/>
        <v>46387</v>
      </c>
      <c r="S2" s="27">
        <f t="shared" si="1"/>
        <v>46418</v>
      </c>
      <c r="T2" s="27">
        <f t="shared" si="1"/>
        <v>46446</v>
      </c>
      <c r="U2" s="27">
        <f t="shared" si="1"/>
        <v>46477</v>
      </c>
      <c r="V2" s="27">
        <f t="shared" si="1"/>
        <v>46507</v>
      </c>
      <c r="W2" s="27">
        <f t="shared" si="1"/>
        <v>46538</v>
      </c>
      <c r="X2" s="27">
        <f t="shared" si="1"/>
        <v>46568</v>
      </c>
      <c r="Y2" s="27">
        <f t="shared" si="1"/>
        <v>46599</v>
      </c>
      <c r="Z2" s="27">
        <f t="shared" si="1"/>
        <v>46630</v>
      </c>
      <c r="AA2" s="27">
        <f t="shared" si="1"/>
        <v>46660</v>
      </c>
      <c r="AB2" s="27">
        <f t="shared" si="1"/>
        <v>46691</v>
      </c>
      <c r="AC2" s="27">
        <f t="shared" si="1"/>
        <v>46721</v>
      </c>
      <c r="AD2" s="27">
        <f t="shared" si="1"/>
        <v>46752</v>
      </c>
      <c r="AE2" s="27">
        <f t="shared" si="1"/>
        <v>46783</v>
      </c>
      <c r="AF2" s="27">
        <f t="shared" si="1"/>
        <v>46812</v>
      </c>
      <c r="AG2" s="27">
        <f t="shared" si="1"/>
        <v>46843</v>
      </c>
      <c r="AH2" s="27">
        <f t="shared" si="1"/>
        <v>46873</v>
      </c>
      <c r="AI2" s="27">
        <f t="shared" si="1"/>
        <v>46904</v>
      </c>
      <c r="AJ2" s="27">
        <f t="shared" si="1"/>
        <v>46934</v>
      </c>
      <c r="AK2" s="27">
        <f t="shared" si="1"/>
        <v>46965</v>
      </c>
      <c r="AL2" s="27">
        <f t="shared" si="1"/>
        <v>46996</v>
      </c>
      <c r="AM2" s="27">
        <f t="shared" si="1"/>
        <v>47026</v>
      </c>
      <c r="AN2" s="27">
        <f t="shared" si="1"/>
        <v>47057</v>
      </c>
      <c r="AO2" s="27">
        <f t="shared" si="1"/>
        <v>47087</v>
      </c>
      <c r="AP2" s="27">
        <f t="shared" si="1"/>
        <v>47118</v>
      </c>
      <c r="AQ2" s="27">
        <f t="shared" si="1"/>
        <v>47149</v>
      </c>
      <c r="AR2" s="27">
        <f t="shared" si="1"/>
        <v>47177</v>
      </c>
      <c r="AS2" s="27">
        <f t="shared" si="1"/>
        <v>47208</v>
      </c>
      <c r="AT2" s="27">
        <f t="shared" si="1"/>
        <v>47238</v>
      </c>
      <c r="AU2" s="27">
        <f t="shared" si="1"/>
        <v>47269</v>
      </c>
      <c r="AV2" s="27">
        <f t="shared" si="1"/>
        <v>47299</v>
      </c>
      <c r="AW2" s="27">
        <f t="shared" si="1"/>
        <v>47330</v>
      </c>
      <c r="AX2" s="27">
        <f t="shared" si="1"/>
        <v>47361</v>
      </c>
      <c r="AY2" s="27">
        <f t="shared" si="1"/>
        <v>47391</v>
      </c>
      <c r="AZ2" s="27">
        <f t="shared" si="1"/>
        <v>47422</v>
      </c>
      <c r="BA2" s="27">
        <f t="shared" si="1"/>
        <v>47452</v>
      </c>
      <c r="BB2" s="27">
        <f t="shared" si="1"/>
        <v>47483</v>
      </c>
      <c r="BC2" s="27">
        <f t="shared" si="1"/>
        <v>47514</v>
      </c>
      <c r="BD2" s="27">
        <f t="shared" si="1"/>
        <v>47542</v>
      </c>
      <c r="BE2" s="27">
        <f t="shared" si="1"/>
        <v>47573</v>
      </c>
      <c r="BF2" s="27">
        <f t="shared" si="1"/>
        <v>47603</v>
      </c>
      <c r="BG2" s="27">
        <f t="shared" si="1"/>
        <v>47634</v>
      </c>
      <c r="BH2" s="27">
        <f t="shared" si="1"/>
        <v>47664</v>
      </c>
      <c r="BI2" s="27">
        <f t="shared" si="1"/>
        <v>47695</v>
      </c>
      <c r="BJ2" s="27">
        <f t="shared" si="1"/>
        <v>47726</v>
      </c>
      <c r="BK2" s="27">
        <f t="shared" si="1"/>
        <v>47756</v>
      </c>
      <c r="BL2" s="27">
        <f t="shared" si="1"/>
        <v>47787</v>
      </c>
      <c r="BM2" s="27">
        <f t="shared" si="1"/>
        <v>47817</v>
      </c>
      <c r="BN2" s="27">
        <f t="shared" si="1"/>
        <v>47848</v>
      </c>
      <c r="BO2" s="27">
        <f t="shared" si="1"/>
        <v>47879</v>
      </c>
      <c r="BP2" s="27">
        <f t="shared" si="1"/>
        <v>47907</v>
      </c>
      <c r="BQ2" s="27">
        <f t="shared" si="1"/>
        <v>47938</v>
      </c>
      <c r="BR2" s="27">
        <f t="shared" si="1"/>
        <v>47968</v>
      </c>
      <c r="BS2" s="27">
        <f t="shared" si="1"/>
        <v>47999</v>
      </c>
      <c r="BT2" s="27">
        <f t="shared" si="1"/>
        <v>48029</v>
      </c>
      <c r="BU2" s="27">
        <f t="shared" ref="BU2:BZ2" si="2">EOMONTH(BT2,1)</f>
        <v>48060</v>
      </c>
      <c r="BV2" s="27">
        <f t="shared" si="2"/>
        <v>48091</v>
      </c>
      <c r="BW2" s="27">
        <f t="shared" si="2"/>
        <v>48121</v>
      </c>
      <c r="BX2" s="27">
        <f t="shared" si="2"/>
        <v>48152</v>
      </c>
      <c r="BY2" s="27">
        <f t="shared" si="2"/>
        <v>48182</v>
      </c>
      <c r="BZ2" s="27">
        <f t="shared" si="2"/>
        <v>48213</v>
      </c>
      <c r="CA2" s="16" t="s">
        <v>239</v>
      </c>
    </row>
    <row r="3" spans="2:79" x14ac:dyDescent="0.25">
      <c r="B3" s="10" t="s">
        <v>20</v>
      </c>
      <c r="C3" s="10" t="str">
        <f>VLOOKUP(B3,Data!B:C,2,FALSE)</f>
        <v>JREFI</v>
      </c>
      <c r="D3" s="17">
        <f>SUMIFS(Data!$I:$I,Data!$B:$B,$B3,Data!$G:$G,"&lt;="&amp;D$2,Data!$H:$H,"&gt;="&amp;D$2)</f>
        <v>0</v>
      </c>
      <c r="E3" s="17">
        <f>SUMIFS(Data!$I:$I,Data!$B:$B,$B3,Data!$G:$G,"&lt;="&amp;E$2,Data!$H:$H,"&gt;="&amp;E$2)</f>
        <v>0</v>
      </c>
      <c r="F3" s="17">
        <f>SUMIFS(Data!$I:$I,Data!$B:$B,$B3,Data!$G:$G,"&lt;="&amp;F$2,Data!$H:$H,"&gt;="&amp;F$2)</f>
        <v>0</v>
      </c>
      <c r="G3" s="17">
        <f>SUMIFS(Data!$I:$I,Data!$B:$B,$B3,Data!$G:$G,"&lt;="&amp;G$2,Data!$H:$H,"&gt;="&amp;G$2)</f>
        <v>14500</v>
      </c>
      <c r="H3" s="17">
        <f>SUMIFS(Data!$I:$I,Data!$B:$B,$B3,Data!$G:$G,"&lt;="&amp;H$2,Data!$H:$H,"&gt;="&amp;H$2)</f>
        <v>14500</v>
      </c>
      <c r="I3" s="17">
        <f>SUMIFS(Data!$I:$I,Data!$B:$B,$B3,Data!$G:$G,"&lt;="&amp;I$2,Data!$H:$H,"&gt;="&amp;I$2)</f>
        <v>14500</v>
      </c>
      <c r="J3" s="17">
        <f>SUMIFS(Data!$I:$I,Data!$B:$B,$B3,Data!$G:$G,"&lt;="&amp;J$2,Data!$H:$H,"&gt;="&amp;J$2)</f>
        <v>5000</v>
      </c>
      <c r="K3" s="17">
        <f>SUMIFS(Data!$I:$I,Data!$B:$B,$B3,Data!$G:$G,"&lt;="&amp;K$2,Data!$H:$H,"&gt;="&amp;K$2)</f>
        <v>5000</v>
      </c>
      <c r="L3" s="17">
        <f>SUMIFS(Data!$I:$I,Data!$B:$B,$B3,Data!$G:$G,"&lt;="&amp;L$2,Data!$H:$H,"&gt;="&amp;L$2)</f>
        <v>5000</v>
      </c>
      <c r="M3" s="17">
        <f>SUMIFS(Data!$I:$I,Data!$B:$B,$B3,Data!$G:$G,"&lt;="&amp;M$2,Data!$H:$H,"&gt;="&amp;M$2)</f>
        <v>0</v>
      </c>
      <c r="N3" s="17">
        <f>SUMIFS(Data!$I:$I,Data!$B:$B,$B3,Data!$G:$G,"&lt;="&amp;N$2,Data!$H:$H,"&gt;="&amp;N$2)</f>
        <v>0</v>
      </c>
      <c r="O3" s="17">
        <f>SUMIFS(Data!$I:$I,Data!$B:$B,$B3,Data!$G:$G,"&lt;="&amp;O$2,Data!$H:$H,"&gt;="&amp;O$2)</f>
        <v>0</v>
      </c>
      <c r="P3" s="17">
        <f>SUMIFS(Data!$I:$I,Data!$B:$B,$B3,Data!$G:$G,"&lt;="&amp;P$2,Data!$H:$H,"&gt;="&amp;P$2)</f>
        <v>13333.333333333334</v>
      </c>
      <c r="Q3" s="17">
        <f>SUMIFS(Data!$I:$I,Data!$B:$B,$B3,Data!$G:$G,"&lt;="&amp;Q$2,Data!$H:$H,"&gt;="&amp;Q$2)</f>
        <v>13333.333333333334</v>
      </c>
      <c r="R3" s="17">
        <f>SUMIFS(Data!$I:$I,Data!$B:$B,$B3,Data!$G:$G,"&lt;="&amp;R$2,Data!$H:$H,"&gt;="&amp;R$2)</f>
        <v>13333.333333333334</v>
      </c>
      <c r="S3" s="17">
        <f>SUMIFS(Data!$I:$I,Data!$B:$B,$B3,Data!$G:$G,"&lt;="&amp;S$2,Data!$H:$H,"&gt;="&amp;S$2)</f>
        <v>0</v>
      </c>
      <c r="T3" s="17">
        <f>SUMIFS(Data!$I:$I,Data!$B:$B,$B3,Data!$G:$G,"&lt;="&amp;T$2,Data!$H:$H,"&gt;="&amp;T$2)</f>
        <v>0</v>
      </c>
      <c r="U3" s="17">
        <f>SUMIFS(Data!$I:$I,Data!$B:$B,$B3,Data!$G:$G,"&lt;="&amp;U$2,Data!$H:$H,"&gt;="&amp;U$2)</f>
        <v>0</v>
      </c>
      <c r="V3" s="17">
        <f>SUMIFS(Data!$I:$I,Data!$B:$B,$B3,Data!$G:$G,"&lt;="&amp;V$2,Data!$H:$H,"&gt;="&amp;V$2)</f>
        <v>0</v>
      </c>
      <c r="W3" s="17">
        <f>SUMIFS(Data!$I:$I,Data!$B:$B,$B3,Data!$G:$G,"&lt;="&amp;W$2,Data!$H:$H,"&gt;="&amp;W$2)</f>
        <v>0</v>
      </c>
      <c r="X3" s="17">
        <f>SUMIFS(Data!$I:$I,Data!$B:$B,$B3,Data!$G:$G,"&lt;="&amp;X$2,Data!$H:$H,"&gt;="&amp;X$2)</f>
        <v>0</v>
      </c>
      <c r="Y3" s="17">
        <f>SUMIFS(Data!$I:$I,Data!$B:$B,$B3,Data!$G:$G,"&lt;="&amp;Y$2,Data!$H:$H,"&gt;="&amp;Y$2)</f>
        <v>0</v>
      </c>
      <c r="Z3" s="17">
        <f>SUMIFS(Data!$I:$I,Data!$B:$B,$B3,Data!$G:$G,"&lt;="&amp;Z$2,Data!$H:$H,"&gt;="&amp;Z$2)</f>
        <v>0</v>
      </c>
      <c r="AA3" s="17">
        <f>SUMIFS(Data!$I:$I,Data!$B:$B,$B3,Data!$G:$G,"&lt;="&amp;AA$2,Data!$H:$H,"&gt;="&amp;AA$2)</f>
        <v>0</v>
      </c>
      <c r="AB3" s="17">
        <f>SUMIFS(Data!$I:$I,Data!$B:$B,$B3,Data!$G:$G,"&lt;="&amp;AB$2,Data!$H:$H,"&gt;="&amp;AB$2)</f>
        <v>0</v>
      </c>
      <c r="AC3" s="17">
        <f>SUMIFS(Data!$I:$I,Data!$B:$B,$B3,Data!$G:$G,"&lt;="&amp;AC$2,Data!$H:$H,"&gt;="&amp;AC$2)</f>
        <v>0</v>
      </c>
      <c r="AD3" s="17">
        <f>SUMIFS(Data!$I:$I,Data!$B:$B,$B3,Data!$G:$G,"&lt;="&amp;AD$2,Data!$H:$H,"&gt;="&amp;AD$2)</f>
        <v>0</v>
      </c>
      <c r="AE3" s="17">
        <f>SUMIFS(Data!$I:$I,Data!$B:$B,$B3,Data!$G:$G,"&lt;="&amp;AE$2,Data!$H:$H,"&gt;="&amp;AE$2)</f>
        <v>0</v>
      </c>
      <c r="AF3" s="17">
        <f>SUMIFS(Data!$I:$I,Data!$B:$B,$B3,Data!$G:$G,"&lt;="&amp;AF$2,Data!$H:$H,"&gt;="&amp;AF$2)</f>
        <v>0</v>
      </c>
      <c r="AG3" s="17">
        <f>SUMIFS(Data!$I:$I,Data!$B:$B,$B3,Data!$G:$G,"&lt;="&amp;AG$2,Data!$H:$H,"&gt;="&amp;AG$2)</f>
        <v>0</v>
      </c>
      <c r="AH3" s="17">
        <f>SUMIFS(Data!$I:$I,Data!$B:$B,$B3,Data!$G:$G,"&lt;="&amp;AH$2,Data!$H:$H,"&gt;="&amp;AH$2)</f>
        <v>0</v>
      </c>
      <c r="AI3" s="17">
        <f>SUMIFS(Data!$I:$I,Data!$B:$B,$B3,Data!$G:$G,"&lt;="&amp;AI$2,Data!$H:$H,"&gt;="&amp;AI$2)</f>
        <v>0</v>
      </c>
      <c r="AJ3" s="17">
        <f>SUMIFS(Data!$I:$I,Data!$B:$B,$B3,Data!$G:$G,"&lt;="&amp;AJ$2,Data!$H:$H,"&gt;="&amp;AJ$2)</f>
        <v>0</v>
      </c>
      <c r="AK3" s="17">
        <f>SUMIFS(Data!$I:$I,Data!$B:$B,$B3,Data!$G:$G,"&lt;="&amp;AK$2,Data!$H:$H,"&gt;="&amp;AK$2)</f>
        <v>0</v>
      </c>
      <c r="AL3" s="17">
        <f>SUMIFS(Data!$I:$I,Data!$B:$B,$B3,Data!$G:$G,"&lt;="&amp;AL$2,Data!$H:$H,"&gt;="&amp;AL$2)</f>
        <v>0</v>
      </c>
      <c r="AM3" s="17">
        <f>SUMIFS(Data!$I:$I,Data!$B:$B,$B3,Data!$G:$G,"&lt;="&amp;AM$2,Data!$H:$H,"&gt;="&amp;AM$2)</f>
        <v>0</v>
      </c>
      <c r="AN3" s="17">
        <f>SUMIFS(Data!$I:$I,Data!$B:$B,$B3,Data!$G:$G,"&lt;="&amp;AN$2,Data!$H:$H,"&gt;="&amp;AN$2)</f>
        <v>0</v>
      </c>
      <c r="AO3" s="17">
        <f>SUMIFS(Data!$I:$I,Data!$B:$B,$B3,Data!$G:$G,"&lt;="&amp;AO$2,Data!$H:$H,"&gt;="&amp;AO$2)</f>
        <v>0</v>
      </c>
      <c r="AP3" s="17">
        <f>SUMIFS(Data!$I:$I,Data!$B:$B,$B3,Data!$G:$G,"&lt;="&amp;AP$2,Data!$H:$H,"&gt;="&amp;AP$2)</f>
        <v>0</v>
      </c>
      <c r="AQ3" s="17">
        <f>SUMIFS(Data!$I:$I,Data!$B:$B,$B3,Data!$G:$G,"&lt;="&amp;AQ$2,Data!$H:$H,"&gt;="&amp;AQ$2)</f>
        <v>0</v>
      </c>
      <c r="AR3" s="17">
        <f>SUMIFS(Data!$I:$I,Data!$B:$B,$B3,Data!$G:$G,"&lt;="&amp;AR$2,Data!$H:$H,"&gt;="&amp;AR$2)</f>
        <v>0</v>
      </c>
      <c r="AS3" s="17">
        <f>SUMIFS(Data!$I:$I,Data!$B:$B,$B3,Data!$G:$G,"&lt;="&amp;AS$2,Data!$H:$H,"&gt;="&amp;AS$2)</f>
        <v>0</v>
      </c>
      <c r="AT3" s="17">
        <f>SUMIFS(Data!$I:$I,Data!$B:$B,$B3,Data!$G:$G,"&lt;="&amp;AT$2,Data!$H:$H,"&gt;="&amp;AT$2)</f>
        <v>0</v>
      </c>
      <c r="AU3" s="17">
        <f>SUMIFS(Data!$I:$I,Data!$B:$B,$B3,Data!$G:$G,"&lt;="&amp;AU$2,Data!$H:$H,"&gt;="&amp;AU$2)</f>
        <v>0</v>
      </c>
      <c r="AV3" s="17">
        <f>SUMIFS(Data!$I:$I,Data!$B:$B,$B3,Data!$G:$G,"&lt;="&amp;AV$2,Data!$H:$H,"&gt;="&amp;AV$2)</f>
        <v>0</v>
      </c>
      <c r="AW3" s="17">
        <f>SUMIFS(Data!$I:$I,Data!$B:$B,$B3,Data!$G:$G,"&lt;="&amp;AW$2,Data!$H:$H,"&gt;="&amp;AW$2)</f>
        <v>0</v>
      </c>
      <c r="AX3" s="17">
        <f>SUMIFS(Data!$I:$I,Data!$B:$B,$B3,Data!$G:$G,"&lt;="&amp;AX$2,Data!$H:$H,"&gt;="&amp;AX$2)</f>
        <v>0</v>
      </c>
      <c r="AY3" s="17">
        <f>SUMIFS(Data!$I:$I,Data!$B:$B,$B3,Data!$G:$G,"&lt;="&amp;AY$2,Data!$H:$H,"&gt;="&amp;AY$2)</f>
        <v>0</v>
      </c>
      <c r="AZ3" s="17">
        <f>SUMIFS(Data!$I:$I,Data!$B:$B,$B3,Data!$G:$G,"&lt;="&amp;AZ$2,Data!$H:$H,"&gt;="&amp;AZ$2)</f>
        <v>0</v>
      </c>
      <c r="BA3" s="17">
        <f>SUMIFS(Data!$I:$I,Data!$B:$B,$B3,Data!$G:$G,"&lt;="&amp;BA$2,Data!$H:$H,"&gt;="&amp;BA$2)</f>
        <v>0</v>
      </c>
      <c r="BB3" s="17">
        <f>SUMIFS(Data!$I:$I,Data!$B:$B,$B3,Data!$G:$G,"&lt;="&amp;BB$2,Data!$H:$H,"&gt;="&amp;BB$2)</f>
        <v>0</v>
      </c>
      <c r="BC3" s="17">
        <f>SUMIFS(Data!$I:$I,Data!$B:$B,$B3,Data!$G:$G,"&lt;="&amp;BC$2,Data!$H:$H,"&gt;="&amp;BC$2)</f>
        <v>0</v>
      </c>
      <c r="BD3" s="17">
        <f>SUMIFS(Data!$I:$I,Data!$B:$B,$B3,Data!$G:$G,"&lt;="&amp;BD$2,Data!$H:$H,"&gt;="&amp;BD$2)</f>
        <v>0</v>
      </c>
      <c r="BE3" s="17">
        <f>SUMIFS(Data!$I:$I,Data!$B:$B,$B3,Data!$G:$G,"&lt;="&amp;BE$2,Data!$H:$H,"&gt;="&amp;BE$2)</f>
        <v>0</v>
      </c>
      <c r="BF3" s="17">
        <f>SUMIFS(Data!$I:$I,Data!$B:$B,$B3,Data!$G:$G,"&lt;="&amp;BF$2,Data!$H:$H,"&gt;="&amp;BF$2)</f>
        <v>0</v>
      </c>
      <c r="BG3" s="17">
        <f>SUMIFS(Data!$I:$I,Data!$B:$B,$B3,Data!$G:$G,"&lt;="&amp;BG$2,Data!$H:$H,"&gt;="&amp;BG$2)</f>
        <v>0</v>
      </c>
      <c r="BH3" s="17">
        <f>SUMIFS(Data!$I:$I,Data!$B:$B,$B3,Data!$G:$G,"&lt;="&amp;BH$2,Data!$H:$H,"&gt;="&amp;BH$2)</f>
        <v>0</v>
      </c>
      <c r="BI3" s="17">
        <f>SUMIFS(Data!$I:$I,Data!$B:$B,$B3,Data!$G:$G,"&lt;="&amp;BI$2,Data!$H:$H,"&gt;="&amp;BI$2)</f>
        <v>0</v>
      </c>
      <c r="BJ3" s="17">
        <f>SUMIFS(Data!$I:$I,Data!$B:$B,$B3,Data!$G:$G,"&lt;="&amp;BJ$2,Data!$H:$H,"&gt;="&amp;BJ$2)</f>
        <v>0</v>
      </c>
      <c r="BK3" s="17">
        <f>SUMIFS(Data!$I:$I,Data!$B:$B,$B3,Data!$G:$G,"&lt;="&amp;BK$2,Data!$H:$H,"&gt;="&amp;BK$2)</f>
        <v>0</v>
      </c>
      <c r="BL3" s="17">
        <f>SUMIFS(Data!$I:$I,Data!$B:$B,$B3,Data!$G:$G,"&lt;="&amp;BL$2,Data!$H:$H,"&gt;="&amp;BL$2)</f>
        <v>0</v>
      </c>
      <c r="BM3" s="17">
        <f>SUMIFS(Data!$I:$I,Data!$B:$B,$B3,Data!$G:$G,"&lt;="&amp;BM$2,Data!$H:$H,"&gt;="&amp;BM$2)</f>
        <v>0</v>
      </c>
      <c r="BN3" s="17">
        <f>SUMIFS(Data!$I:$I,Data!$B:$B,$B3,Data!$G:$G,"&lt;="&amp;BN$2,Data!$H:$H,"&gt;="&amp;BN$2)</f>
        <v>0</v>
      </c>
      <c r="BO3" s="17">
        <f>SUMIFS(Data!$I:$I,Data!$B:$B,$B3,Data!$G:$G,"&lt;="&amp;BO$2,Data!$H:$H,"&gt;="&amp;BO$2)</f>
        <v>0</v>
      </c>
      <c r="BP3" s="17">
        <f>SUMIFS(Data!$I:$I,Data!$B:$B,$B3,Data!$G:$G,"&lt;="&amp;BP$2,Data!$H:$H,"&gt;="&amp;BP$2)</f>
        <v>0</v>
      </c>
      <c r="BQ3" s="17">
        <f>SUMIFS(Data!$I:$I,Data!$B:$B,$B3,Data!$G:$G,"&lt;="&amp;BQ$2,Data!$H:$H,"&gt;="&amp;BQ$2)</f>
        <v>0</v>
      </c>
      <c r="BR3" s="17">
        <f>SUMIFS(Data!$I:$I,Data!$B:$B,$B3,Data!$G:$G,"&lt;="&amp;BR$2,Data!$H:$H,"&gt;="&amp;BR$2)</f>
        <v>0</v>
      </c>
      <c r="BS3" s="17">
        <f>SUMIFS(Data!$I:$I,Data!$B:$B,$B3,Data!$G:$G,"&lt;="&amp;BS$2,Data!$H:$H,"&gt;="&amp;BS$2)</f>
        <v>0</v>
      </c>
      <c r="BT3" s="17">
        <f>SUMIFS(Data!$I:$I,Data!$B:$B,$B3,Data!$G:$G,"&lt;="&amp;BT$2,Data!$H:$H,"&gt;="&amp;BT$2)</f>
        <v>0</v>
      </c>
      <c r="BU3" s="17">
        <f>SUMIFS(Data!$I:$I,Data!$B:$B,$B3,Data!$G:$G,"&lt;="&amp;BU$2,Data!$H:$H,"&gt;="&amp;BU$2)</f>
        <v>0</v>
      </c>
      <c r="BV3" s="17">
        <f>SUMIFS(Data!$I:$I,Data!$B:$B,$B3,Data!$G:$G,"&lt;="&amp;BV$2,Data!$H:$H,"&gt;="&amp;BV$2)</f>
        <v>0</v>
      </c>
      <c r="BW3" s="17">
        <f>SUMIFS(Data!$I:$I,Data!$B:$B,$B3,Data!$G:$G,"&lt;="&amp;BW$2,Data!$H:$H,"&gt;="&amp;BW$2)</f>
        <v>0</v>
      </c>
      <c r="BX3" s="17">
        <f>SUMIFS(Data!$I:$I,Data!$B:$B,$B3,Data!$G:$G,"&lt;="&amp;BX$2,Data!$H:$H,"&gt;="&amp;BX$2)</f>
        <v>0</v>
      </c>
      <c r="BY3" s="17">
        <f>SUMIFS(Data!$I:$I,Data!$B:$B,$B3,Data!$G:$G,"&lt;="&amp;BY$2,Data!$H:$H,"&gt;="&amp;BY$2)</f>
        <v>0</v>
      </c>
      <c r="BZ3" s="17">
        <f>SUMIFS(Data!$I:$I,Data!$B:$B,$B3,Data!$G:$G,"&lt;="&amp;BZ$2,Data!$H:$H,"&gt;="&amp;BZ$2)</f>
        <v>0</v>
      </c>
      <c r="CA3" s="18">
        <f>SUM(D3:BZ3)</f>
        <v>98499.999999999985</v>
      </c>
    </row>
    <row r="4" spans="2:79" x14ac:dyDescent="0.25">
      <c r="B4" s="11" t="s">
        <v>28</v>
      </c>
      <c r="C4" s="11" t="str">
        <f>VLOOKUP(B4,Data!B:C,2,FALSE)</f>
        <v>JREFI</v>
      </c>
      <c r="D4" s="19">
        <f>SUMIFS(Data!$I:$I,Data!$B:$B,$B4,Data!$G:$G,"&lt;="&amp;D$2,Data!$H:$H,"&gt;="&amp;D$2)</f>
        <v>0</v>
      </c>
      <c r="E4" s="19">
        <f>SUMIFS(Data!$I:$I,Data!$B:$B,$B4,Data!$G:$G,"&lt;="&amp;E$2,Data!$H:$H,"&gt;="&amp;E$2)</f>
        <v>0</v>
      </c>
      <c r="F4" s="19">
        <f>SUMIFS(Data!$I:$I,Data!$B:$B,$B4,Data!$G:$G,"&lt;="&amp;F$2,Data!$H:$H,"&gt;="&amp;F$2)</f>
        <v>0</v>
      </c>
      <c r="G4" s="19">
        <f>SUMIFS(Data!$I:$I,Data!$B:$B,$B4,Data!$G:$G,"&lt;="&amp;G$2,Data!$H:$H,"&gt;="&amp;G$2)</f>
        <v>1666.6666666666667</v>
      </c>
      <c r="H4" s="19">
        <f>SUMIFS(Data!$I:$I,Data!$B:$B,$B4,Data!$G:$G,"&lt;="&amp;H$2,Data!$H:$H,"&gt;="&amp;H$2)</f>
        <v>1666.6666666666667</v>
      </c>
      <c r="I4" s="19">
        <f>SUMIFS(Data!$I:$I,Data!$B:$B,$B4,Data!$G:$G,"&lt;="&amp;I$2,Data!$H:$H,"&gt;="&amp;I$2)</f>
        <v>10000</v>
      </c>
      <c r="J4" s="19">
        <f>SUMIFS(Data!$I:$I,Data!$B:$B,$B4,Data!$G:$G,"&lt;="&amp;J$2,Data!$H:$H,"&gt;="&amp;J$2)</f>
        <v>8333.3333333333339</v>
      </c>
      <c r="K4" s="19">
        <f>SUMIFS(Data!$I:$I,Data!$B:$B,$B4,Data!$G:$G,"&lt;="&amp;K$2,Data!$H:$H,"&gt;="&amp;K$2)</f>
        <v>8333.3333333333339</v>
      </c>
      <c r="L4" s="19">
        <f>SUMIFS(Data!$I:$I,Data!$B:$B,$B4,Data!$G:$G,"&lt;="&amp;L$2,Data!$H:$H,"&gt;="&amp;L$2)</f>
        <v>6666.666666666667</v>
      </c>
      <c r="M4" s="19">
        <f>SUMIFS(Data!$I:$I,Data!$B:$B,$B4,Data!$G:$G,"&lt;="&amp;M$2,Data!$H:$H,"&gt;="&amp;M$2)</f>
        <v>6666.666666666667</v>
      </c>
      <c r="N4" s="19">
        <f>SUMIFS(Data!$I:$I,Data!$B:$B,$B4,Data!$G:$G,"&lt;="&amp;N$2,Data!$H:$H,"&gt;="&amp;N$2)</f>
        <v>6666.666666666667</v>
      </c>
      <c r="O4" s="19">
        <f>SUMIFS(Data!$I:$I,Data!$B:$B,$B4,Data!$G:$G,"&lt;="&amp;O$2,Data!$H:$H,"&gt;="&amp;O$2)</f>
        <v>0</v>
      </c>
      <c r="P4" s="19">
        <f>SUMIFS(Data!$I:$I,Data!$B:$B,$B4,Data!$G:$G,"&lt;="&amp;P$2,Data!$H:$H,"&gt;="&amp;P$2)</f>
        <v>0</v>
      </c>
      <c r="Q4" s="19">
        <f>SUMIFS(Data!$I:$I,Data!$B:$B,$B4,Data!$G:$G,"&lt;="&amp;Q$2,Data!$H:$H,"&gt;="&amp;Q$2)</f>
        <v>0</v>
      </c>
      <c r="R4" s="19">
        <f>SUMIFS(Data!$I:$I,Data!$B:$B,$B4,Data!$G:$G,"&lt;="&amp;R$2,Data!$H:$H,"&gt;="&amp;R$2)</f>
        <v>1704.5454545454545</v>
      </c>
      <c r="S4" s="19">
        <f>SUMIFS(Data!$I:$I,Data!$B:$B,$B4,Data!$G:$G,"&lt;="&amp;S$2,Data!$H:$H,"&gt;="&amp;S$2)</f>
        <v>1704.5454545454545</v>
      </c>
      <c r="T4" s="19">
        <f>SUMIFS(Data!$I:$I,Data!$B:$B,$B4,Data!$G:$G,"&lt;="&amp;T$2,Data!$H:$H,"&gt;="&amp;T$2)</f>
        <v>1704.5454545454545</v>
      </c>
      <c r="U4" s="19">
        <f>SUMIFS(Data!$I:$I,Data!$B:$B,$B4,Data!$G:$G,"&lt;="&amp;U$2,Data!$H:$H,"&gt;="&amp;U$2)</f>
        <v>0</v>
      </c>
      <c r="V4" s="19">
        <f>SUMIFS(Data!$I:$I,Data!$B:$B,$B4,Data!$G:$G,"&lt;="&amp;V$2,Data!$H:$H,"&gt;="&amp;V$2)</f>
        <v>0</v>
      </c>
      <c r="W4" s="19">
        <f>SUMIFS(Data!$I:$I,Data!$B:$B,$B4,Data!$G:$G,"&lt;="&amp;W$2,Data!$H:$H,"&gt;="&amp;W$2)</f>
        <v>0</v>
      </c>
      <c r="X4" s="19">
        <f>SUMIFS(Data!$I:$I,Data!$B:$B,$B4,Data!$G:$G,"&lt;="&amp;X$2,Data!$H:$H,"&gt;="&amp;X$2)</f>
        <v>0</v>
      </c>
      <c r="Y4" s="19">
        <f>SUMIFS(Data!$I:$I,Data!$B:$B,$B4,Data!$G:$G,"&lt;="&amp;Y$2,Data!$H:$H,"&gt;="&amp;Y$2)</f>
        <v>0</v>
      </c>
      <c r="Z4" s="19">
        <f>SUMIFS(Data!$I:$I,Data!$B:$B,$B4,Data!$G:$G,"&lt;="&amp;Z$2,Data!$H:$H,"&gt;="&amp;Z$2)</f>
        <v>0</v>
      </c>
      <c r="AA4" s="19">
        <f>SUMIFS(Data!$I:$I,Data!$B:$B,$B4,Data!$G:$G,"&lt;="&amp;AA$2,Data!$H:$H,"&gt;="&amp;AA$2)</f>
        <v>0</v>
      </c>
      <c r="AB4" s="19">
        <f>SUMIFS(Data!$I:$I,Data!$B:$B,$B4,Data!$G:$G,"&lt;="&amp;AB$2,Data!$H:$H,"&gt;="&amp;AB$2)</f>
        <v>0</v>
      </c>
      <c r="AC4" s="19">
        <f>SUMIFS(Data!$I:$I,Data!$B:$B,$B4,Data!$G:$G,"&lt;="&amp;AC$2,Data!$H:$H,"&gt;="&amp;AC$2)</f>
        <v>0</v>
      </c>
      <c r="AD4" s="19">
        <f>SUMIFS(Data!$I:$I,Data!$B:$B,$B4,Data!$G:$G,"&lt;="&amp;AD$2,Data!$H:$H,"&gt;="&amp;AD$2)</f>
        <v>0</v>
      </c>
      <c r="AE4" s="19">
        <f>SUMIFS(Data!$I:$I,Data!$B:$B,$B4,Data!$G:$G,"&lt;="&amp;AE$2,Data!$H:$H,"&gt;="&amp;AE$2)</f>
        <v>0</v>
      </c>
      <c r="AF4" s="19">
        <f>SUMIFS(Data!$I:$I,Data!$B:$B,$B4,Data!$G:$G,"&lt;="&amp;AF$2,Data!$H:$H,"&gt;="&amp;AF$2)</f>
        <v>0</v>
      </c>
      <c r="AG4" s="19">
        <f>SUMIFS(Data!$I:$I,Data!$B:$B,$B4,Data!$G:$G,"&lt;="&amp;AG$2,Data!$H:$H,"&gt;="&amp;AG$2)</f>
        <v>0</v>
      </c>
      <c r="AH4" s="19">
        <f>SUMIFS(Data!$I:$I,Data!$B:$B,$B4,Data!$G:$G,"&lt;="&amp;AH$2,Data!$H:$H,"&gt;="&amp;AH$2)</f>
        <v>0</v>
      </c>
      <c r="AI4" s="19">
        <f>SUMIFS(Data!$I:$I,Data!$B:$B,$B4,Data!$G:$G,"&lt;="&amp;AI$2,Data!$H:$H,"&gt;="&amp;AI$2)</f>
        <v>0</v>
      </c>
      <c r="AJ4" s="19">
        <f>SUMIFS(Data!$I:$I,Data!$B:$B,$B4,Data!$G:$G,"&lt;="&amp;AJ$2,Data!$H:$H,"&gt;="&amp;AJ$2)</f>
        <v>0</v>
      </c>
      <c r="AK4" s="19">
        <f>SUMIFS(Data!$I:$I,Data!$B:$B,$B4,Data!$G:$G,"&lt;="&amp;AK$2,Data!$H:$H,"&gt;="&amp;AK$2)</f>
        <v>0</v>
      </c>
      <c r="AL4" s="19">
        <f>SUMIFS(Data!$I:$I,Data!$B:$B,$B4,Data!$G:$G,"&lt;="&amp;AL$2,Data!$H:$H,"&gt;="&amp;AL$2)</f>
        <v>0</v>
      </c>
      <c r="AM4" s="19">
        <f>SUMIFS(Data!$I:$I,Data!$B:$B,$B4,Data!$G:$G,"&lt;="&amp;AM$2,Data!$H:$H,"&gt;="&amp;AM$2)</f>
        <v>0</v>
      </c>
      <c r="AN4" s="19">
        <f>SUMIFS(Data!$I:$I,Data!$B:$B,$B4,Data!$G:$G,"&lt;="&amp;AN$2,Data!$H:$H,"&gt;="&amp;AN$2)</f>
        <v>0</v>
      </c>
      <c r="AO4" s="19">
        <f>SUMIFS(Data!$I:$I,Data!$B:$B,$B4,Data!$G:$G,"&lt;="&amp;AO$2,Data!$H:$H,"&gt;="&amp;AO$2)</f>
        <v>0</v>
      </c>
      <c r="AP4" s="19">
        <f>SUMIFS(Data!$I:$I,Data!$B:$B,$B4,Data!$G:$G,"&lt;="&amp;AP$2,Data!$H:$H,"&gt;="&amp;AP$2)</f>
        <v>0</v>
      </c>
      <c r="AQ4" s="19">
        <f>SUMIFS(Data!$I:$I,Data!$B:$B,$B4,Data!$G:$G,"&lt;="&amp;AQ$2,Data!$H:$H,"&gt;="&amp;AQ$2)</f>
        <v>0</v>
      </c>
      <c r="AR4" s="19">
        <f>SUMIFS(Data!$I:$I,Data!$B:$B,$B4,Data!$G:$G,"&lt;="&amp;AR$2,Data!$H:$H,"&gt;="&amp;AR$2)</f>
        <v>0</v>
      </c>
      <c r="AS4" s="19">
        <f>SUMIFS(Data!$I:$I,Data!$B:$B,$B4,Data!$G:$G,"&lt;="&amp;AS$2,Data!$H:$H,"&gt;="&amp;AS$2)</f>
        <v>0</v>
      </c>
      <c r="AT4" s="19">
        <f>SUMIFS(Data!$I:$I,Data!$B:$B,$B4,Data!$G:$G,"&lt;="&amp;AT$2,Data!$H:$H,"&gt;="&amp;AT$2)</f>
        <v>0</v>
      </c>
      <c r="AU4" s="19">
        <f>SUMIFS(Data!$I:$I,Data!$B:$B,$B4,Data!$G:$G,"&lt;="&amp;AU$2,Data!$H:$H,"&gt;="&amp;AU$2)</f>
        <v>0</v>
      </c>
      <c r="AV4" s="19">
        <f>SUMIFS(Data!$I:$I,Data!$B:$B,$B4,Data!$G:$G,"&lt;="&amp;AV$2,Data!$H:$H,"&gt;="&amp;AV$2)</f>
        <v>0</v>
      </c>
      <c r="AW4" s="19">
        <f>SUMIFS(Data!$I:$I,Data!$B:$B,$B4,Data!$G:$G,"&lt;="&amp;AW$2,Data!$H:$H,"&gt;="&amp;AW$2)</f>
        <v>0</v>
      </c>
      <c r="AX4" s="19">
        <f>SUMIFS(Data!$I:$I,Data!$B:$B,$B4,Data!$G:$G,"&lt;="&amp;AX$2,Data!$H:$H,"&gt;="&amp;AX$2)</f>
        <v>0</v>
      </c>
      <c r="AY4" s="19">
        <f>SUMIFS(Data!$I:$I,Data!$B:$B,$B4,Data!$G:$G,"&lt;="&amp;AY$2,Data!$H:$H,"&gt;="&amp;AY$2)</f>
        <v>0</v>
      </c>
      <c r="AZ4" s="19">
        <f>SUMIFS(Data!$I:$I,Data!$B:$B,$B4,Data!$G:$G,"&lt;="&amp;AZ$2,Data!$H:$H,"&gt;="&amp;AZ$2)</f>
        <v>0</v>
      </c>
      <c r="BA4" s="19">
        <f>SUMIFS(Data!$I:$I,Data!$B:$B,$B4,Data!$G:$G,"&lt;="&amp;BA$2,Data!$H:$H,"&gt;="&amp;BA$2)</f>
        <v>0</v>
      </c>
      <c r="BB4" s="19">
        <f>SUMIFS(Data!$I:$I,Data!$B:$B,$B4,Data!$G:$G,"&lt;="&amp;BB$2,Data!$H:$H,"&gt;="&amp;BB$2)</f>
        <v>0</v>
      </c>
      <c r="BC4" s="19">
        <f>SUMIFS(Data!$I:$I,Data!$B:$B,$B4,Data!$G:$G,"&lt;="&amp;BC$2,Data!$H:$H,"&gt;="&amp;BC$2)</f>
        <v>0</v>
      </c>
      <c r="BD4" s="19">
        <f>SUMIFS(Data!$I:$I,Data!$B:$B,$B4,Data!$G:$G,"&lt;="&amp;BD$2,Data!$H:$H,"&gt;="&amp;BD$2)</f>
        <v>0</v>
      </c>
      <c r="BE4" s="19">
        <f>SUMIFS(Data!$I:$I,Data!$B:$B,$B4,Data!$G:$G,"&lt;="&amp;BE$2,Data!$H:$H,"&gt;="&amp;BE$2)</f>
        <v>0</v>
      </c>
      <c r="BF4" s="19">
        <f>SUMIFS(Data!$I:$I,Data!$B:$B,$B4,Data!$G:$G,"&lt;="&amp;BF$2,Data!$H:$H,"&gt;="&amp;BF$2)</f>
        <v>0</v>
      </c>
      <c r="BG4" s="19">
        <f>SUMIFS(Data!$I:$I,Data!$B:$B,$B4,Data!$G:$G,"&lt;="&amp;BG$2,Data!$H:$H,"&gt;="&amp;BG$2)</f>
        <v>0</v>
      </c>
      <c r="BH4" s="19">
        <f>SUMIFS(Data!$I:$I,Data!$B:$B,$B4,Data!$G:$G,"&lt;="&amp;BH$2,Data!$H:$H,"&gt;="&amp;BH$2)</f>
        <v>0</v>
      </c>
      <c r="BI4" s="19">
        <f>SUMIFS(Data!$I:$I,Data!$B:$B,$B4,Data!$G:$G,"&lt;="&amp;BI$2,Data!$H:$H,"&gt;="&amp;BI$2)</f>
        <v>0</v>
      </c>
      <c r="BJ4" s="19">
        <f>SUMIFS(Data!$I:$I,Data!$B:$B,$B4,Data!$G:$G,"&lt;="&amp;BJ$2,Data!$H:$H,"&gt;="&amp;BJ$2)</f>
        <v>0</v>
      </c>
      <c r="BK4" s="19">
        <f>SUMIFS(Data!$I:$I,Data!$B:$B,$B4,Data!$G:$G,"&lt;="&amp;BK$2,Data!$H:$H,"&gt;="&amp;BK$2)</f>
        <v>0</v>
      </c>
      <c r="BL4" s="19">
        <f>SUMIFS(Data!$I:$I,Data!$B:$B,$B4,Data!$G:$G,"&lt;="&amp;BL$2,Data!$H:$H,"&gt;="&amp;BL$2)</f>
        <v>0</v>
      </c>
      <c r="BM4" s="19">
        <f>SUMIFS(Data!$I:$I,Data!$B:$B,$B4,Data!$G:$G,"&lt;="&amp;BM$2,Data!$H:$H,"&gt;="&amp;BM$2)</f>
        <v>0</v>
      </c>
      <c r="BN4" s="19">
        <f>SUMIFS(Data!$I:$I,Data!$B:$B,$B4,Data!$G:$G,"&lt;="&amp;BN$2,Data!$H:$H,"&gt;="&amp;BN$2)</f>
        <v>0</v>
      </c>
      <c r="BO4" s="19">
        <f>SUMIFS(Data!$I:$I,Data!$B:$B,$B4,Data!$G:$G,"&lt;="&amp;BO$2,Data!$H:$H,"&gt;="&amp;BO$2)</f>
        <v>0</v>
      </c>
      <c r="BP4" s="19">
        <f>SUMIFS(Data!$I:$I,Data!$B:$B,$B4,Data!$G:$G,"&lt;="&amp;BP$2,Data!$H:$H,"&gt;="&amp;BP$2)</f>
        <v>0</v>
      </c>
      <c r="BQ4" s="19">
        <f>SUMIFS(Data!$I:$I,Data!$B:$B,$B4,Data!$G:$G,"&lt;="&amp;BQ$2,Data!$H:$H,"&gt;="&amp;BQ$2)</f>
        <v>0</v>
      </c>
      <c r="BR4" s="19">
        <f>SUMIFS(Data!$I:$I,Data!$B:$B,$B4,Data!$G:$G,"&lt;="&amp;BR$2,Data!$H:$H,"&gt;="&amp;BR$2)</f>
        <v>0</v>
      </c>
      <c r="BS4" s="19">
        <f>SUMIFS(Data!$I:$I,Data!$B:$B,$B4,Data!$G:$G,"&lt;="&amp;BS$2,Data!$H:$H,"&gt;="&amp;BS$2)</f>
        <v>0</v>
      </c>
      <c r="BT4" s="19">
        <f>SUMIFS(Data!$I:$I,Data!$B:$B,$B4,Data!$G:$G,"&lt;="&amp;BT$2,Data!$H:$H,"&gt;="&amp;BT$2)</f>
        <v>0</v>
      </c>
      <c r="BU4" s="19">
        <f>SUMIFS(Data!$I:$I,Data!$B:$B,$B4,Data!$G:$G,"&lt;="&amp;BU$2,Data!$H:$H,"&gt;="&amp;BU$2)</f>
        <v>0</v>
      </c>
      <c r="BV4" s="19">
        <f>SUMIFS(Data!$I:$I,Data!$B:$B,$B4,Data!$G:$G,"&lt;="&amp;BV$2,Data!$H:$H,"&gt;="&amp;BV$2)</f>
        <v>0</v>
      </c>
      <c r="BW4" s="19">
        <f>SUMIFS(Data!$I:$I,Data!$B:$B,$B4,Data!$G:$G,"&lt;="&amp;BW$2,Data!$H:$H,"&gt;="&amp;BW$2)</f>
        <v>0</v>
      </c>
      <c r="BX4" s="19">
        <f>SUMIFS(Data!$I:$I,Data!$B:$B,$B4,Data!$G:$G,"&lt;="&amp;BX$2,Data!$H:$H,"&gt;="&amp;BX$2)</f>
        <v>0</v>
      </c>
      <c r="BY4" s="19">
        <f>SUMIFS(Data!$I:$I,Data!$B:$B,$B4,Data!$G:$G,"&lt;="&amp;BY$2,Data!$H:$H,"&gt;="&amp;BY$2)</f>
        <v>0</v>
      </c>
      <c r="BZ4" s="19">
        <f>SUMIFS(Data!$I:$I,Data!$B:$B,$B4,Data!$G:$G,"&lt;="&amp;BZ$2,Data!$H:$H,"&gt;="&amp;BZ$2)</f>
        <v>0</v>
      </c>
      <c r="CA4" s="20">
        <f t="shared" ref="CA4:CA24" si="3">SUM(D4:BZ4)</f>
        <v>55113.63636363636</v>
      </c>
    </row>
    <row r="5" spans="2:79" x14ac:dyDescent="0.25">
      <c r="B5" s="11" t="s">
        <v>30</v>
      </c>
      <c r="C5" s="11" t="str">
        <f>VLOOKUP(B5,Data!B:C,2,FALSE)</f>
        <v>JREFI</v>
      </c>
      <c r="D5" s="19">
        <f>SUMIFS(Data!$I:$I,Data!$B:$B,$B5,Data!$G:$G,"&lt;="&amp;D$2,Data!$H:$H,"&gt;="&amp;D$2)</f>
        <v>0</v>
      </c>
      <c r="E5" s="19">
        <f>SUMIFS(Data!$I:$I,Data!$B:$B,$B5,Data!$G:$G,"&lt;="&amp;E$2,Data!$H:$H,"&gt;="&amp;E$2)</f>
        <v>0</v>
      </c>
      <c r="F5" s="19">
        <f>SUMIFS(Data!$I:$I,Data!$B:$B,$B5,Data!$G:$G,"&lt;="&amp;F$2,Data!$H:$H,"&gt;="&amp;F$2)</f>
        <v>0</v>
      </c>
      <c r="G5" s="19">
        <f>SUMIFS(Data!$I:$I,Data!$B:$B,$B5,Data!$G:$G,"&lt;="&amp;G$2,Data!$H:$H,"&gt;="&amp;G$2)</f>
        <v>16833.333333333336</v>
      </c>
      <c r="H5" s="19">
        <f>SUMIFS(Data!$I:$I,Data!$B:$B,$B5,Data!$G:$G,"&lt;="&amp;H$2,Data!$H:$H,"&gt;="&amp;H$2)</f>
        <v>16833.333333333336</v>
      </c>
      <c r="I5" s="19">
        <f>SUMIFS(Data!$I:$I,Data!$B:$B,$B5,Data!$G:$G,"&lt;="&amp;I$2,Data!$H:$H,"&gt;="&amp;I$2)</f>
        <v>16833.333333333336</v>
      </c>
      <c r="J5" s="19">
        <f>SUMIFS(Data!$I:$I,Data!$B:$B,$B5,Data!$G:$G,"&lt;="&amp;J$2,Data!$H:$H,"&gt;="&amp;J$2)</f>
        <v>12666.666666666666</v>
      </c>
      <c r="K5" s="19">
        <f>SUMIFS(Data!$I:$I,Data!$B:$B,$B5,Data!$G:$G,"&lt;="&amp;K$2,Data!$H:$H,"&gt;="&amp;K$2)</f>
        <v>12666.666666666666</v>
      </c>
      <c r="L5" s="19">
        <f>SUMIFS(Data!$I:$I,Data!$B:$B,$B5,Data!$G:$G,"&lt;="&amp;L$2,Data!$H:$H,"&gt;="&amp;L$2)</f>
        <v>12666.666666666666</v>
      </c>
      <c r="M5" s="19">
        <f>SUMIFS(Data!$I:$I,Data!$B:$B,$B5,Data!$G:$G,"&lt;="&amp;M$2,Data!$H:$H,"&gt;="&amp;M$2)</f>
        <v>1000</v>
      </c>
      <c r="N5" s="19">
        <f>SUMIFS(Data!$I:$I,Data!$B:$B,$B5,Data!$G:$G,"&lt;="&amp;N$2,Data!$H:$H,"&gt;="&amp;N$2)</f>
        <v>1000</v>
      </c>
      <c r="O5" s="19">
        <f>SUMIFS(Data!$I:$I,Data!$B:$B,$B5,Data!$G:$G,"&lt;="&amp;O$2,Data!$H:$H,"&gt;="&amp;O$2)</f>
        <v>1000</v>
      </c>
      <c r="P5" s="19">
        <f>SUMIFS(Data!$I:$I,Data!$B:$B,$B5,Data!$G:$G,"&lt;="&amp;P$2,Data!$H:$H,"&gt;="&amp;P$2)</f>
        <v>1000</v>
      </c>
      <c r="Q5" s="19">
        <f>SUMIFS(Data!$I:$I,Data!$B:$B,$B5,Data!$G:$G,"&lt;="&amp;Q$2,Data!$H:$H,"&gt;="&amp;Q$2)</f>
        <v>1000</v>
      </c>
      <c r="R5" s="19">
        <f>SUMIFS(Data!$I:$I,Data!$B:$B,$B5,Data!$G:$G,"&lt;="&amp;R$2,Data!$H:$H,"&gt;="&amp;R$2)</f>
        <v>1000</v>
      </c>
      <c r="S5" s="19">
        <f>SUMIFS(Data!$I:$I,Data!$B:$B,$B5,Data!$G:$G,"&lt;="&amp;S$2,Data!$H:$H,"&gt;="&amp;S$2)</f>
        <v>1000</v>
      </c>
      <c r="T5" s="19">
        <f>SUMIFS(Data!$I:$I,Data!$B:$B,$B5,Data!$G:$G,"&lt;="&amp;T$2,Data!$H:$H,"&gt;="&amp;T$2)</f>
        <v>1000</v>
      </c>
      <c r="U5" s="19">
        <f>SUMIFS(Data!$I:$I,Data!$B:$B,$B5,Data!$G:$G,"&lt;="&amp;U$2,Data!$H:$H,"&gt;="&amp;U$2)</f>
        <v>1000</v>
      </c>
      <c r="V5" s="19">
        <f>SUMIFS(Data!$I:$I,Data!$B:$B,$B5,Data!$G:$G,"&lt;="&amp;V$2,Data!$H:$H,"&gt;="&amp;V$2)</f>
        <v>1000</v>
      </c>
      <c r="W5" s="19">
        <f>SUMIFS(Data!$I:$I,Data!$B:$B,$B5,Data!$G:$G,"&lt;="&amp;W$2,Data!$H:$H,"&gt;="&amp;W$2)</f>
        <v>1000</v>
      </c>
      <c r="X5" s="19">
        <f>SUMIFS(Data!$I:$I,Data!$B:$B,$B5,Data!$G:$G,"&lt;="&amp;X$2,Data!$H:$H,"&gt;="&amp;X$2)</f>
        <v>1000</v>
      </c>
      <c r="Y5" s="19">
        <f>SUMIFS(Data!$I:$I,Data!$B:$B,$B5,Data!$G:$G,"&lt;="&amp;Y$2,Data!$H:$H,"&gt;="&amp;Y$2)</f>
        <v>1000</v>
      </c>
      <c r="Z5" s="19">
        <f>SUMIFS(Data!$I:$I,Data!$B:$B,$B5,Data!$G:$G,"&lt;="&amp;Z$2,Data!$H:$H,"&gt;="&amp;Z$2)</f>
        <v>1000</v>
      </c>
      <c r="AA5" s="19">
        <f>SUMIFS(Data!$I:$I,Data!$B:$B,$B5,Data!$G:$G,"&lt;="&amp;AA$2,Data!$H:$H,"&gt;="&amp;AA$2)</f>
        <v>1000</v>
      </c>
      <c r="AB5" s="19">
        <f>SUMIFS(Data!$I:$I,Data!$B:$B,$B5,Data!$G:$G,"&lt;="&amp;AB$2,Data!$H:$H,"&gt;="&amp;AB$2)</f>
        <v>1000</v>
      </c>
      <c r="AC5" s="19">
        <f>SUMIFS(Data!$I:$I,Data!$B:$B,$B5,Data!$G:$G,"&lt;="&amp;AC$2,Data!$H:$H,"&gt;="&amp;AC$2)</f>
        <v>1000</v>
      </c>
      <c r="AD5" s="19">
        <f>SUMIFS(Data!$I:$I,Data!$B:$B,$B5,Data!$G:$G,"&lt;="&amp;AD$2,Data!$H:$H,"&gt;="&amp;AD$2)</f>
        <v>1000</v>
      </c>
      <c r="AE5" s="19">
        <f>SUMIFS(Data!$I:$I,Data!$B:$B,$B5,Data!$G:$G,"&lt;="&amp;AE$2,Data!$H:$H,"&gt;="&amp;AE$2)</f>
        <v>1000</v>
      </c>
      <c r="AF5" s="19">
        <f>SUMIFS(Data!$I:$I,Data!$B:$B,$B5,Data!$G:$G,"&lt;="&amp;AF$2,Data!$H:$H,"&gt;="&amp;AF$2)</f>
        <v>1000</v>
      </c>
      <c r="AG5" s="19">
        <f>SUMIFS(Data!$I:$I,Data!$B:$B,$B5,Data!$G:$G,"&lt;="&amp;AG$2,Data!$H:$H,"&gt;="&amp;AG$2)</f>
        <v>1000</v>
      </c>
      <c r="AH5" s="19">
        <f>SUMIFS(Data!$I:$I,Data!$B:$B,$B5,Data!$G:$G,"&lt;="&amp;AH$2,Data!$H:$H,"&gt;="&amp;AH$2)</f>
        <v>1000</v>
      </c>
      <c r="AI5" s="19">
        <f>SUMIFS(Data!$I:$I,Data!$B:$B,$B5,Data!$G:$G,"&lt;="&amp;AI$2,Data!$H:$H,"&gt;="&amp;AI$2)</f>
        <v>1000</v>
      </c>
      <c r="AJ5" s="19">
        <f>SUMIFS(Data!$I:$I,Data!$B:$B,$B5,Data!$G:$G,"&lt;="&amp;AJ$2,Data!$H:$H,"&gt;="&amp;AJ$2)</f>
        <v>1000</v>
      </c>
      <c r="AK5" s="19">
        <f>SUMIFS(Data!$I:$I,Data!$B:$B,$B5,Data!$G:$G,"&lt;="&amp;AK$2,Data!$H:$H,"&gt;="&amp;AK$2)</f>
        <v>1000</v>
      </c>
      <c r="AL5" s="19">
        <f>SUMIFS(Data!$I:$I,Data!$B:$B,$B5,Data!$G:$G,"&lt;="&amp;AL$2,Data!$H:$H,"&gt;="&amp;AL$2)</f>
        <v>1000</v>
      </c>
      <c r="AM5" s="19">
        <f>SUMIFS(Data!$I:$I,Data!$B:$B,$B5,Data!$G:$G,"&lt;="&amp;AM$2,Data!$H:$H,"&gt;="&amp;AM$2)</f>
        <v>1000</v>
      </c>
      <c r="AN5" s="19">
        <f>SUMIFS(Data!$I:$I,Data!$B:$B,$B5,Data!$G:$G,"&lt;="&amp;AN$2,Data!$H:$H,"&gt;="&amp;AN$2)</f>
        <v>1000</v>
      </c>
      <c r="AO5" s="19">
        <f>SUMIFS(Data!$I:$I,Data!$B:$B,$B5,Data!$G:$G,"&lt;="&amp;AO$2,Data!$H:$H,"&gt;="&amp;AO$2)</f>
        <v>1000</v>
      </c>
      <c r="AP5" s="19">
        <f>SUMIFS(Data!$I:$I,Data!$B:$B,$B5,Data!$G:$G,"&lt;="&amp;AP$2,Data!$H:$H,"&gt;="&amp;AP$2)</f>
        <v>1000</v>
      </c>
      <c r="AQ5" s="19">
        <f>SUMIFS(Data!$I:$I,Data!$B:$B,$B5,Data!$G:$G,"&lt;="&amp;AQ$2,Data!$H:$H,"&gt;="&amp;AQ$2)</f>
        <v>1000</v>
      </c>
      <c r="AR5" s="19">
        <f>SUMIFS(Data!$I:$I,Data!$B:$B,$B5,Data!$G:$G,"&lt;="&amp;AR$2,Data!$H:$H,"&gt;="&amp;AR$2)</f>
        <v>1000</v>
      </c>
      <c r="AS5" s="19">
        <f>SUMIFS(Data!$I:$I,Data!$B:$B,$B5,Data!$G:$G,"&lt;="&amp;AS$2,Data!$H:$H,"&gt;="&amp;AS$2)</f>
        <v>1000</v>
      </c>
      <c r="AT5" s="19">
        <f>SUMIFS(Data!$I:$I,Data!$B:$B,$B5,Data!$G:$G,"&lt;="&amp;AT$2,Data!$H:$H,"&gt;="&amp;AT$2)</f>
        <v>1000</v>
      </c>
      <c r="AU5" s="19">
        <f>SUMIFS(Data!$I:$I,Data!$B:$B,$B5,Data!$G:$G,"&lt;="&amp;AU$2,Data!$H:$H,"&gt;="&amp;AU$2)</f>
        <v>1000</v>
      </c>
      <c r="AV5" s="19">
        <f>SUMIFS(Data!$I:$I,Data!$B:$B,$B5,Data!$G:$G,"&lt;="&amp;AV$2,Data!$H:$H,"&gt;="&amp;AV$2)</f>
        <v>1000</v>
      </c>
      <c r="AW5" s="19">
        <f>SUMIFS(Data!$I:$I,Data!$B:$B,$B5,Data!$G:$G,"&lt;="&amp;AW$2,Data!$H:$H,"&gt;="&amp;AW$2)</f>
        <v>1000</v>
      </c>
      <c r="AX5" s="19">
        <f>SUMIFS(Data!$I:$I,Data!$B:$B,$B5,Data!$G:$G,"&lt;="&amp;AX$2,Data!$H:$H,"&gt;="&amp;AX$2)</f>
        <v>1000</v>
      </c>
      <c r="AY5" s="19">
        <f>SUMIFS(Data!$I:$I,Data!$B:$B,$B5,Data!$G:$G,"&lt;="&amp;AY$2,Data!$H:$H,"&gt;="&amp;AY$2)</f>
        <v>1000</v>
      </c>
      <c r="AZ5" s="19">
        <f>SUMIFS(Data!$I:$I,Data!$B:$B,$B5,Data!$G:$G,"&lt;="&amp;AZ$2,Data!$H:$H,"&gt;="&amp;AZ$2)</f>
        <v>1000</v>
      </c>
      <c r="BA5" s="19">
        <f>SUMIFS(Data!$I:$I,Data!$B:$B,$B5,Data!$G:$G,"&lt;="&amp;BA$2,Data!$H:$H,"&gt;="&amp;BA$2)</f>
        <v>1000</v>
      </c>
      <c r="BB5" s="19">
        <f>SUMIFS(Data!$I:$I,Data!$B:$B,$B5,Data!$G:$G,"&lt;="&amp;BB$2,Data!$H:$H,"&gt;="&amp;BB$2)</f>
        <v>1000</v>
      </c>
      <c r="BC5" s="19">
        <f>SUMIFS(Data!$I:$I,Data!$B:$B,$B5,Data!$G:$G,"&lt;="&amp;BC$2,Data!$H:$H,"&gt;="&amp;BC$2)</f>
        <v>1000</v>
      </c>
      <c r="BD5" s="19">
        <f>SUMIFS(Data!$I:$I,Data!$B:$B,$B5,Data!$G:$G,"&lt;="&amp;BD$2,Data!$H:$H,"&gt;="&amp;BD$2)</f>
        <v>1000</v>
      </c>
      <c r="BE5" s="19">
        <f>SUMIFS(Data!$I:$I,Data!$B:$B,$B5,Data!$G:$G,"&lt;="&amp;BE$2,Data!$H:$H,"&gt;="&amp;BE$2)</f>
        <v>1000</v>
      </c>
      <c r="BF5" s="19">
        <f>SUMIFS(Data!$I:$I,Data!$B:$B,$B5,Data!$G:$G,"&lt;="&amp;BF$2,Data!$H:$H,"&gt;="&amp;BF$2)</f>
        <v>1000</v>
      </c>
      <c r="BG5" s="19">
        <f>SUMIFS(Data!$I:$I,Data!$B:$B,$B5,Data!$G:$G,"&lt;="&amp;BG$2,Data!$H:$H,"&gt;="&amp;BG$2)</f>
        <v>1000</v>
      </c>
      <c r="BH5" s="19">
        <f>SUMIFS(Data!$I:$I,Data!$B:$B,$B5,Data!$G:$G,"&lt;="&amp;BH$2,Data!$H:$H,"&gt;="&amp;BH$2)</f>
        <v>1000</v>
      </c>
      <c r="BI5" s="19">
        <f>SUMIFS(Data!$I:$I,Data!$B:$B,$B5,Data!$G:$G,"&lt;="&amp;BI$2,Data!$H:$H,"&gt;="&amp;BI$2)</f>
        <v>1000</v>
      </c>
      <c r="BJ5" s="19">
        <f>SUMIFS(Data!$I:$I,Data!$B:$B,$B5,Data!$G:$G,"&lt;="&amp;BJ$2,Data!$H:$H,"&gt;="&amp;BJ$2)</f>
        <v>1000</v>
      </c>
      <c r="BK5" s="19">
        <f>SUMIFS(Data!$I:$I,Data!$B:$B,$B5,Data!$G:$G,"&lt;="&amp;BK$2,Data!$H:$H,"&gt;="&amp;BK$2)</f>
        <v>1000</v>
      </c>
      <c r="BL5" s="19">
        <f>SUMIFS(Data!$I:$I,Data!$B:$B,$B5,Data!$G:$G,"&lt;="&amp;BL$2,Data!$H:$H,"&gt;="&amp;BL$2)</f>
        <v>1000</v>
      </c>
      <c r="BM5" s="19">
        <f>SUMIFS(Data!$I:$I,Data!$B:$B,$B5,Data!$G:$G,"&lt;="&amp;BM$2,Data!$H:$H,"&gt;="&amp;BM$2)</f>
        <v>1000</v>
      </c>
      <c r="BN5" s="19">
        <f>SUMIFS(Data!$I:$I,Data!$B:$B,$B5,Data!$G:$G,"&lt;="&amp;BN$2,Data!$H:$H,"&gt;="&amp;BN$2)</f>
        <v>1000</v>
      </c>
      <c r="BO5" s="19">
        <f>SUMIFS(Data!$I:$I,Data!$B:$B,$B5,Data!$G:$G,"&lt;="&amp;BO$2,Data!$H:$H,"&gt;="&amp;BO$2)</f>
        <v>1000</v>
      </c>
      <c r="BP5" s="19">
        <f>SUMIFS(Data!$I:$I,Data!$B:$B,$B5,Data!$G:$G,"&lt;="&amp;BP$2,Data!$H:$H,"&gt;="&amp;BP$2)</f>
        <v>1000</v>
      </c>
      <c r="BQ5" s="19">
        <f>SUMIFS(Data!$I:$I,Data!$B:$B,$B5,Data!$G:$G,"&lt;="&amp;BQ$2,Data!$H:$H,"&gt;="&amp;BQ$2)</f>
        <v>1000</v>
      </c>
      <c r="BR5" s="19">
        <f>SUMIFS(Data!$I:$I,Data!$B:$B,$B5,Data!$G:$G,"&lt;="&amp;BR$2,Data!$H:$H,"&gt;="&amp;BR$2)</f>
        <v>1000</v>
      </c>
      <c r="BS5" s="19">
        <f>SUMIFS(Data!$I:$I,Data!$B:$B,$B5,Data!$G:$G,"&lt;="&amp;BS$2,Data!$H:$H,"&gt;="&amp;BS$2)</f>
        <v>1000</v>
      </c>
      <c r="BT5" s="19">
        <f>SUMIFS(Data!$I:$I,Data!$B:$B,$B5,Data!$G:$G,"&lt;="&amp;BT$2,Data!$H:$H,"&gt;="&amp;BT$2)</f>
        <v>1000</v>
      </c>
      <c r="BU5" s="19">
        <f>SUMIFS(Data!$I:$I,Data!$B:$B,$B5,Data!$G:$G,"&lt;="&amp;BU$2,Data!$H:$H,"&gt;="&amp;BU$2)</f>
        <v>1000</v>
      </c>
      <c r="BV5" s="19">
        <f>SUMIFS(Data!$I:$I,Data!$B:$B,$B5,Data!$G:$G,"&lt;="&amp;BV$2,Data!$H:$H,"&gt;="&amp;BV$2)</f>
        <v>1000</v>
      </c>
      <c r="BW5" s="19">
        <f>SUMIFS(Data!$I:$I,Data!$B:$B,$B5,Data!$G:$G,"&lt;="&amp;BW$2,Data!$H:$H,"&gt;="&amp;BW$2)</f>
        <v>1000</v>
      </c>
      <c r="BX5" s="19">
        <f>SUMIFS(Data!$I:$I,Data!$B:$B,$B5,Data!$G:$G,"&lt;="&amp;BX$2,Data!$H:$H,"&gt;="&amp;BX$2)</f>
        <v>1000</v>
      </c>
      <c r="BY5" s="19">
        <f>SUMIFS(Data!$I:$I,Data!$B:$B,$B5,Data!$G:$G,"&lt;="&amp;BY$2,Data!$H:$H,"&gt;="&amp;BY$2)</f>
        <v>1000</v>
      </c>
      <c r="BZ5" s="19">
        <f>SUMIFS(Data!$I:$I,Data!$B:$B,$B5,Data!$G:$G,"&lt;="&amp;BZ$2,Data!$H:$H,"&gt;="&amp;BZ$2)</f>
        <v>1000</v>
      </c>
      <c r="CA5" s="20">
        <f t="shared" si="3"/>
        <v>154500</v>
      </c>
    </row>
    <row r="6" spans="2:79" x14ac:dyDescent="0.25">
      <c r="B6" s="11" t="s">
        <v>36</v>
      </c>
      <c r="C6" s="11" t="str">
        <f>VLOOKUP(B6,Data!B:C,2,FALSE)</f>
        <v>JREFI</v>
      </c>
      <c r="D6" s="19">
        <f>SUMIFS(Data!$I:$I,Data!$B:$B,$B6,Data!$G:$G,"&lt;="&amp;D$2,Data!$H:$H,"&gt;="&amp;D$2)</f>
        <v>0</v>
      </c>
      <c r="E6" s="19">
        <f>SUMIFS(Data!$I:$I,Data!$B:$B,$B6,Data!$G:$G,"&lt;="&amp;E$2,Data!$H:$H,"&gt;="&amp;E$2)</f>
        <v>0</v>
      </c>
      <c r="F6" s="19">
        <f>SUMIFS(Data!$I:$I,Data!$B:$B,$B6,Data!$G:$G,"&lt;="&amp;F$2,Data!$H:$H,"&gt;="&amp;F$2)</f>
        <v>0</v>
      </c>
      <c r="G6" s="19">
        <f>SUMIFS(Data!$I:$I,Data!$B:$B,$B6,Data!$G:$G,"&lt;="&amp;G$2,Data!$H:$H,"&gt;="&amp;G$2)</f>
        <v>2500</v>
      </c>
      <c r="H6" s="19">
        <f>SUMIFS(Data!$I:$I,Data!$B:$B,$B6,Data!$G:$G,"&lt;="&amp;H$2,Data!$H:$H,"&gt;="&amp;H$2)</f>
        <v>2500</v>
      </c>
      <c r="I6" s="19">
        <f>SUMIFS(Data!$I:$I,Data!$B:$B,$B6,Data!$G:$G,"&lt;="&amp;I$2,Data!$H:$H,"&gt;="&amp;I$2)</f>
        <v>2500</v>
      </c>
      <c r="J6" s="19">
        <f>SUMIFS(Data!$I:$I,Data!$B:$B,$B6,Data!$G:$G,"&lt;="&amp;J$2,Data!$H:$H,"&gt;="&amp;J$2)</f>
        <v>6666.666666666667</v>
      </c>
      <c r="K6" s="19">
        <f>SUMIFS(Data!$I:$I,Data!$B:$B,$B6,Data!$G:$G,"&lt;="&amp;K$2,Data!$H:$H,"&gt;="&amp;K$2)</f>
        <v>6666.666666666667</v>
      </c>
      <c r="L6" s="19">
        <f>SUMIFS(Data!$I:$I,Data!$B:$B,$B6,Data!$G:$G,"&lt;="&amp;L$2,Data!$H:$H,"&gt;="&amp;L$2)</f>
        <v>6666.666666666667</v>
      </c>
      <c r="M6" s="19">
        <f>SUMIFS(Data!$I:$I,Data!$B:$B,$B6,Data!$G:$G,"&lt;="&amp;M$2,Data!$H:$H,"&gt;="&amp;M$2)</f>
        <v>13333.333333333334</v>
      </c>
      <c r="N6" s="19">
        <f>SUMIFS(Data!$I:$I,Data!$B:$B,$B6,Data!$G:$G,"&lt;="&amp;N$2,Data!$H:$H,"&gt;="&amp;N$2)</f>
        <v>13333.333333333334</v>
      </c>
      <c r="O6" s="19">
        <f>SUMIFS(Data!$I:$I,Data!$B:$B,$B6,Data!$G:$G,"&lt;="&amp;O$2,Data!$H:$H,"&gt;="&amp;O$2)</f>
        <v>13333.333333333334</v>
      </c>
      <c r="P6" s="19">
        <f>SUMIFS(Data!$I:$I,Data!$B:$B,$B6,Data!$G:$G,"&lt;="&amp;P$2,Data!$H:$H,"&gt;="&amp;P$2)</f>
        <v>0</v>
      </c>
      <c r="Q6" s="19">
        <f>SUMIFS(Data!$I:$I,Data!$B:$B,$B6,Data!$G:$G,"&lt;="&amp;Q$2,Data!$H:$H,"&gt;="&amp;Q$2)</f>
        <v>0</v>
      </c>
      <c r="R6" s="19">
        <f>SUMIFS(Data!$I:$I,Data!$B:$B,$B6,Data!$G:$G,"&lt;="&amp;R$2,Data!$H:$H,"&gt;="&amp;R$2)</f>
        <v>0</v>
      </c>
      <c r="S6" s="19">
        <f>SUMIFS(Data!$I:$I,Data!$B:$B,$B6,Data!$G:$G,"&lt;="&amp;S$2,Data!$H:$H,"&gt;="&amp;S$2)</f>
        <v>0</v>
      </c>
      <c r="T6" s="19">
        <f>SUMIFS(Data!$I:$I,Data!$B:$B,$B6,Data!$G:$G,"&lt;="&amp;T$2,Data!$H:$H,"&gt;="&amp;T$2)</f>
        <v>0</v>
      </c>
      <c r="U6" s="19">
        <f>SUMIFS(Data!$I:$I,Data!$B:$B,$B6,Data!$G:$G,"&lt;="&amp;U$2,Data!$H:$H,"&gt;="&amp;U$2)</f>
        <v>0</v>
      </c>
      <c r="V6" s="19">
        <f>SUMIFS(Data!$I:$I,Data!$B:$B,$B6,Data!$G:$G,"&lt;="&amp;V$2,Data!$H:$H,"&gt;="&amp;V$2)</f>
        <v>0</v>
      </c>
      <c r="W6" s="19">
        <f>SUMIFS(Data!$I:$I,Data!$B:$B,$B6,Data!$G:$G,"&lt;="&amp;W$2,Data!$H:$H,"&gt;="&amp;W$2)</f>
        <v>0</v>
      </c>
      <c r="X6" s="19">
        <f>SUMIFS(Data!$I:$I,Data!$B:$B,$B6,Data!$G:$G,"&lt;="&amp;X$2,Data!$H:$H,"&gt;="&amp;X$2)</f>
        <v>0</v>
      </c>
      <c r="Y6" s="19">
        <f>SUMIFS(Data!$I:$I,Data!$B:$B,$B6,Data!$G:$G,"&lt;="&amp;Y$2,Data!$H:$H,"&gt;="&amp;Y$2)</f>
        <v>0</v>
      </c>
      <c r="Z6" s="19">
        <f>SUMIFS(Data!$I:$I,Data!$B:$B,$B6,Data!$G:$G,"&lt;="&amp;Z$2,Data!$H:$H,"&gt;="&amp;Z$2)</f>
        <v>0</v>
      </c>
      <c r="AA6" s="19">
        <f>SUMIFS(Data!$I:$I,Data!$B:$B,$B6,Data!$G:$G,"&lt;="&amp;AA$2,Data!$H:$H,"&gt;="&amp;AA$2)</f>
        <v>0</v>
      </c>
      <c r="AB6" s="19">
        <f>SUMIFS(Data!$I:$I,Data!$B:$B,$B6,Data!$G:$G,"&lt;="&amp;AB$2,Data!$H:$H,"&gt;="&amp;AB$2)</f>
        <v>0</v>
      </c>
      <c r="AC6" s="19">
        <f>SUMIFS(Data!$I:$I,Data!$B:$B,$B6,Data!$G:$G,"&lt;="&amp;AC$2,Data!$H:$H,"&gt;="&amp;AC$2)</f>
        <v>0</v>
      </c>
      <c r="AD6" s="19">
        <f>SUMIFS(Data!$I:$I,Data!$B:$B,$B6,Data!$G:$G,"&lt;="&amp;AD$2,Data!$H:$H,"&gt;="&amp;AD$2)</f>
        <v>0</v>
      </c>
      <c r="AE6" s="19">
        <f>SUMIFS(Data!$I:$I,Data!$B:$B,$B6,Data!$G:$G,"&lt;="&amp;AE$2,Data!$H:$H,"&gt;="&amp;AE$2)</f>
        <v>0</v>
      </c>
      <c r="AF6" s="19">
        <f>SUMIFS(Data!$I:$I,Data!$B:$B,$B6,Data!$G:$G,"&lt;="&amp;AF$2,Data!$H:$H,"&gt;="&amp;AF$2)</f>
        <v>0</v>
      </c>
      <c r="AG6" s="19">
        <f>SUMIFS(Data!$I:$I,Data!$B:$B,$B6,Data!$G:$G,"&lt;="&amp;AG$2,Data!$H:$H,"&gt;="&amp;AG$2)</f>
        <v>0</v>
      </c>
      <c r="AH6" s="19">
        <f>SUMIFS(Data!$I:$I,Data!$B:$B,$B6,Data!$G:$G,"&lt;="&amp;AH$2,Data!$H:$H,"&gt;="&amp;AH$2)</f>
        <v>0</v>
      </c>
      <c r="AI6" s="19">
        <f>SUMIFS(Data!$I:$I,Data!$B:$B,$B6,Data!$G:$G,"&lt;="&amp;AI$2,Data!$H:$H,"&gt;="&amp;AI$2)</f>
        <v>0</v>
      </c>
      <c r="AJ6" s="19">
        <f>SUMIFS(Data!$I:$I,Data!$B:$B,$B6,Data!$G:$G,"&lt;="&amp;AJ$2,Data!$H:$H,"&gt;="&amp;AJ$2)</f>
        <v>0</v>
      </c>
      <c r="AK6" s="19">
        <f>SUMIFS(Data!$I:$I,Data!$B:$B,$B6,Data!$G:$G,"&lt;="&amp;AK$2,Data!$H:$H,"&gt;="&amp;AK$2)</f>
        <v>0</v>
      </c>
      <c r="AL6" s="19">
        <f>SUMIFS(Data!$I:$I,Data!$B:$B,$B6,Data!$G:$G,"&lt;="&amp;AL$2,Data!$H:$H,"&gt;="&amp;AL$2)</f>
        <v>0</v>
      </c>
      <c r="AM6" s="19">
        <f>SUMIFS(Data!$I:$I,Data!$B:$B,$B6,Data!$G:$G,"&lt;="&amp;AM$2,Data!$H:$H,"&gt;="&amp;AM$2)</f>
        <v>0</v>
      </c>
      <c r="AN6" s="19">
        <f>SUMIFS(Data!$I:$I,Data!$B:$B,$B6,Data!$G:$G,"&lt;="&amp;AN$2,Data!$H:$H,"&gt;="&amp;AN$2)</f>
        <v>0</v>
      </c>
      <c r="AO6" s="19">
        <f>SUMIFS(Data!$I:$I,Data!$B:$B,$B6,Data!$G:$G,"&lt;="&amp;AO$2,Data!$H:$H,"&gt;="&amp;AO$2)</f>
        <v>0</v>
      </c>
      <c r="AP6" s="19">
        <f>SUMIFS(Data!$I:$I,Data!$B:$B,$B6,Data!$G:$G,"&lt;="&amp;AP$2,Data!$H:$H,"&gt;="&amp;AP$2)</f>
        <v>0</v>
      </c>
      <c r="AQ6" s="19">
        <f>SUMIFS(Data!$I:$I,Data!$B:$B,$B6,Data!$G:$G,"&lt;="&amp;AQ$2,Data!$H:$H,"&gt;="&amp;AQ$2)</f>
        <v>0</v>
      </c>
      <c r="AR6" s="19">
        <f>SUMIFS(Data!$I:$I,Data!$B:$B,$B6,Data!$G:$G,"&lt;="&amp;AR$2,Data!$H:$H,"&gt;="&amp;AR$2)</f>
        <v>0</v>
      </c>
      <c r="AS6" s="19">
        <f>SUMIFS(Data!$I:$I,Data!$B:$B,$B6,Data!$G:$G,"&lt;="&amp;AS$2,Data!$H:$H,"&gt;="&amp;AS$2)</f>
        <v>0</v>
      </c>
      <c r="AT6" s="19">
        <f>SUMIFS(Data!$I:$I,Data!$B:$B,$B6,Data!$G:$G,"&lt;="&amp;AT$2,Data!$H:$H,"&gt;="&amp;AT$2)</f>
        <v>0</v>
      </c>
      <c r="AU6" s="19">
        <f>SUMIFS(Data!$I:$I,Data!$B:$B,$B6,Data!$G:$G,"&lt;="&amp;AU$2,Data!$H:$H,"&gt;="&amp;AU$2)</f>
        <v>0</v>
      </c>
      <c r="AV6" s="19">
        <f>SUMIFS(Data!$I:$I,Data!$B:$B,$B6,Data!$G:$G,"&lt;="&amp;AV$2,Data!$H:$H,"&gt;="&amp;AV$2)</f>
        <v>0</v>
      </c>
      <c r="AW6" s="19">
        <f>SUMIFS(Data!$I:$I,Data!$B:$B,$B6,Data!$G:$G,"&lt;="&amp;AW$2,Data!$H:$H,"&gt;="&amp;AW$2)</f>
        <v>0</v>
      </c>
      <c r="AX6" s="19">
        <f>SUMIFS(Data!$I:$I,Data!$B:$B,$B6,Data!$G:$G,"&lt;="&amp;AX$2,Data!$H:$H,"&gt;="&amp;AX$2)</f>
        <v>0</v>
      </c>
      <c r="AY6" s="19">
        <f>SUMIFS(Data!$I:$I,Data!$B:$B,$B6,Data!$G:$G,"&lt;="&amp;AY$2,Data!$H:$H,"&gt;="&amp;AY$2)</f>
        <v>0</v>
      </c>
      <c r="AZ6" s="19">
        <f>SUMIFS(Data!$I:$I,Data!$B:$B,$B6,Data!$G:$G,"&lt;="&amp;AZ$2,Data!$H:$H,"&gt;="&amp;AZ$2)</f>
        <v>0</v>
      </c>
      <c r="BA6" s="19">
        <f>SUMIFS(Data!$I:$I,Data!$B:$B,$B6,Data!$G:$G,"&lt;="&amp;BA$2,Data!$H:$H,"&gt;="&amp;BA$2)</f>
        <v>0</v>
      </c>
      <c r="BB6" s="19">
        <f>SUMIFS(Data!$I:$I,Data!$B:$B,$B6,Data!$G:$G,"&lt;="&amp;BB$2,Data!$H:$H,"&gt;="&amp;BB$2)</f>
        <v>0</v>
      </c>
      <c r="BC6" s="19">
        <f>SUMIFS(Data!$I:$I,Data!$B:$B,$B6,Data!$G:$G,"&lt;="&amp;BC$2,Data!$H:$H,"&gt;="&amp;BC$2)</f>
        <v>0</v>
      </c>
      <c r="BD6" s="19">
        <f>SUMIFS(Data!$I:$I,Data!$B:$B,$B6,Data!$G:$G,"&lt;="&amp;BD$2,Data!$H:$H,"&gt;="&amp;BD$2)</f>
        <v>0</v>
      </c>
      <c r="BE6" s="19">
        <f>SUMIFS(Data!$I:$I,Data!$B:$B,$B6,Data!$G:$G,"&lt;="&amp;BE$2,Data!$H:$H,"&gt;="&amp;BE$2)</f>
        <v>0</v>
      </c>
      <c r="BF6" s="19">
        <f>SUMIFS(Data!$I:$I,Data!$B:$B,$B6,Data!$G:$G,"&lt;="&amp;BF$2,Data!$H:$H,"&gt;="&amp;BF$2)</f>
        <v>0</v>
      </c>
      <c r="BG6" s="19">
        <f>SUMIFS(Data!$I:$I,Data!$B:$B,$B6,Data!$G:$G,"&lt;="&amp;BG$2,Data!$H:$H,"&gt;="&amp;BG$2)</f>
        <v>0</v>
      </c>
      <c r="BH6" s="19">
        <f>SUMIFS(Data!$I:$I,Data!$B:$B,$B6,Data!$G:$G,"&lt;="&amp;BH$2,Data!$H:$H,"&gt;="&amp;BH$2)</f>
        <v>0</v>
      </c>
      <c r="BI6" s="19">
        <f>SUMIFS(Data!$I:$I,Data!$B:$B,$B6,Data!$G:$G,"&lt;="&amp;BI$2,Data!$H:$H,"&gt;="&amp;BI$2)</f>
        <v>0</v>
      </c>
      <c r="BJ6" s="19">
        <f>SUMIFS(Data!$I:$I,Data!$B:$B,$B6,Data!$G:$G,"&lt;="&amp;BJ$2,Data!$H:$H,"&gt;="&amp;BJ$2)</f>
        <v>0</v>
      </c>
      <c r="BK6" s="19">
        <f>SUMIFS(Data!$I:$I,Data!$B:$B,$B6,Data!$G:$G,"&lt;="&amp;BK$2,Data!$H:$H,"&gt;="&amp;BK$2)</f>
        <v>0</v>
      </c>
      <c r="BL6" s="19">
        <f>SUMIFS(Data!$I:$I,Data!$B:$B,$B6,Data!$G:$G,"&lt;="&amp;BL$2,Data!$H:$H,"&gt;="&amp;BL$2)</f>
        <v>0</v>
      </c>
      <c r="BM6" s="19">
        <f>SUMIFS(Data!$I:$I,Data!$B:$B,$B6,Data!$G:$G,"&lt;="&amp;BM$2,Data!$H:$H,"&gt;="&amp;BM$2)</f>
        <v>0</v>
      </c>
      <c r="BN6" s="19">
        <f>SUMIFS(Data!$I:$I,Data!$B:$B,$B6,Data!$G:$G,"&lt;="&amp;BN$2,Data!$H:$H,"&gt;="&amp;BN$2)</f>
        <v>0</v>
      </c>
      <c r="BO6" s="19">
        <f>SUMIFS(Data!$I:$I,Data!$B:$B,$B6,Data!$G:$G,"&lt;="&amp;BO$2,Data!$H:$H,"&gt;="&amp;BO$2)</f>
        <v>0</v>
      </c>
      <c r="BP6" s="19">
        <f>SUMIFS(Data!$I:$I,Data!$B:$B,$B6,Data!$G:$G,"&lt;="&amp;BP$2,Data!$H:$H,"&gt;="&amp;BP$2)</f>
        <v>0</v>
      </c>
      <c r="BQ6" s="19">
        <f>SUMIFS(Data!$I:$I,Data!$B:$B,$B6,Data!$G:$G,"&lt;="&amp;BQ$2,Data!$H:$H,"&gt;="&amp;BQ$2)</f>
        <v>0</v>
      </c>
      <c r="BR6" s="19">
        <f>SUMIFS(Data!$I:$I,Data!$B:$B,$B6,Data!$G:$G,"&lt;="&amp;BR$2,Data!$H:$H,"&gt;="&amp;BR$2)</f>
        <v>0</v>
      </c>
      <c r="BS6" s="19">
        <f>SUMIFS(Data!$I:$I,Data!$B:$B,$B6,Data!$G:$G,"&lt;="&amp;BS$2,Data!$H:$H,"&gt;="&amp;BS$2)</f>
        <v>0</v>
      </c>
      <c r="BT6" s="19">
        <f>SUMIFS(Data!$I:$I,Data!$B:$B,$B6,Data!$G:$G,"&lt;="&amp;BT$2,Data!$H:$H,"&gt;="&amp;BT$2)</f>
        <v>0</v>
      </c>
      <c r="BU6" s="19">
        <f>SUMIFS(Data!$I:$I,Data!$B:$B,$B6,Data!$G:$G,"&lt;="&amp;BU$2,Data!$H:$H,"&gt;="&amp;BU$2)</f>
        <v>0</v>
      </c>
      <c r="BV6" s="19">
        <f>SUMIFS(Data!$I:$I,Data!$B:$B,$B6,Data!$G:$G,"&lt;="&amp;BV$2,Data!$H:$H,"&gt;="&amp;BV$2)</f>
        <v>0</v>
      </c>
      <c r="BW6" s="19">
        <f>SUMIFS(Data!$I:$I,Data!$B:$B,$B6,Data!$G:$G,"&lt;="&amp;BW$2,Data!$H:$H,"&gt;="&amp;BW$2)</f>
        <v>0</v>
      </c>
      <c r="BX6" s="19">
        <f>SUMIFS(Data!$I:$I,Data!$B:$B,$B6,Data!$G:$G,"&lt;="&amp;BX$2,Data!$H:$H,"&gt;="&amp;BX$2)</f>
        <v>0</v>
      </c>
      <c r="BY6" s="19">
        <f>SUMIFS(Data!$I:$I,Data!$B:$B,$B6,Data!$G:$G,"&lt;="&amp;BY$2,Data!$H:$H,"&gt;="&amp;BY$2)</f>
        <v>0</v>
      </c>
      <c r="BZ6" s="19">
        <f>SUMIFS(Data!$I:$I,Data!$B:$B,$B6,Data!$G:$G,"&lt;="&amp;BZ$2,Data!$H:$H,"&gt;="&amp;BZ$2)</f>
        <v>0</v>
      </c>
      <c r="CA6" s="20">
        <f t="shared" si="3"/>
        <v>67500</v>
      </c>
    </row>
    <row r="7" spans="2:79" x14ac:dyDescent="0.25">
      <c r="B7" s="11" t="s">
        <v>37</v>
      </c>
      <c r="C7" s="11" t="str">
        <f>VLOOKUP(B7,Data!B:C,2,FALSE)</f>
        <v>JREFI</v>
      </c>
      <c r="D7" s="19">
        <f>SUMIFS(Data!$I:$I,Data!$B:$B,$B7,Data!$G:$G,"&lt;="&amp;D$2,Data!$H:$H,"&gt;="&amp;D$2)</f>
        <v>0</v>
      </c>
      <c r="E7" s="19">
        <f>SUMIFS(Data!$I:$I,Data!$B:$B,$B7,Data!$G:$G,"&lt;="&amp;E$2,Data!$H:$H,"&gt;="&amp;E$2)</f>
        <v>0</v>
      </c>
      <c r="F7" s="19">
        <f>SUMIFS(Data!$I:$I,Data!$B:$B,$B7,Data!$G:$G,"&lt;="&amp;F$2,Data!$H:$H,"&gt;="&amp;F$2)</f>
        <v>0</v>
      </c>
      <c r="G7" s="19">
        <f>SUMIFS(Data!$I:$I,Data!$B:$B,$B7,Data!$G:$G,"&lt;="&amp;G$2,Data!$H:$H,"&gt;="&amp;G$2)</f>
        <v>1666.6666666666667</v>
      </c>
      <c r="H7" s="19">
        <f>SUMIFS(Data!$I:$I,Data!$B:$B,$B7,Data!$G:$G,"&lt;="&amp;H$2,Data!$H:$H,"&gt;="&amp;H$2)</f>
        <v>1666.6666666666667</v>
      </c>
      <c r="I7" s="19">
        <f>SUMIFS(Data!$I:$I,Data!$B:$B,$B7,Data!$G:$G,"&lt;="&amp;I$2,Data!$H:$H,"&gt;="&amp;I$2)</f>
        <v>1666.6666666666667</v>
      </c>
      <c r="J7" s="19">
        <f>SUMIFS(Data!$I:$I,Data!$B:$B,$B7,Data!$G:$G,"&lt;="&amp;J$2,Data!$H:$H,"&gt;="&amp;J$2)</f>
        <v>2500</v>
      </c>
      <c r="K7" s="19">
        <f>SUMIFS(Data!$I:$I,Data!$B:$B,$B7,Data!$G:$G,"&lt;="&amp;K$2,Data!$H:$H,"&gt;="&amp;K$2)</f>
        <v>2500</v>
      </c>
      <c r="L7" s="19">
        <f>SUMIFS(Data!$I:$I,Data!$B:$B,$B7,Data!$G:$G,"&lt;="&amp;L$2,Data!$H:$H,"&gt;="&amp;L$2)</f>
        <v>2500</v>
      </c>
      <c r="M7" s="19">
        <f>SUMIFS(Data!$I:$I,Data!$B:$B,$B7,Data!$G:$G,"&lt;="&amp;M$2,Data!$H:$H,"&gt;="&amp;M$2)</f>
        <v>8333.3333333333339</v>
      </c>
      <c r="N7" s="19">
        <f>SUMIFS(Data!$I:$I,Data!$B:$B,$B7,Data!$G:$G,"&lt;="&amp;N$2,Data!$H:$H,"&gt;="&amp;N$2)</f>
        <v>8333.3333333333339</v>
      </c>
      <c r="O7" s="19">
        <f>SUMIFS(Data!$I:$I,Data!$B:$B,$B7,Data!$G:$G,"&lt;="&amp;O$2,Data!$H:$H,"&gt;="&amp;O$2)</f>
        <v>8333.3333333333339</v>
      </c>
      <c r="P7" s="19">
        <f>SUMIFS(Data!$I:$I,Data!$B:$B,$B7,Data!$G:$G,"&lt;="&amp;P$2,Data!$H:$H,"&gt;="&amp;P$2)</f>
        <v>0</v>
      </c>
      <c r="Q7" s="19">
        <f>SUMIFS(Data!$I:$I,Data!$B:$B,$B7,Data!$G:$G,"&lt;="&amp;Q$2,Data!$H:$H,"&gt;="&amp;Q$2)</f>
        <v>0</v>
      </c>
      <c r="R7" s="19">
        <f>SUMIFS(Data!$I:$I,Data!$B:$B,$B7,Data!$G:$G,"&lt;="&amp;R$2,Data!$H:$H,"&gt;="&amp;R$2)</f>
        <v>0</v>
      </c>
      <c r="S7" s="19">
        <f>SUMIFS(Data!$I:$I,Data!$B:$B,$B7,Data!$G:$G,"&lt;="&amp;S$2,Data!$H:$H,"&gt;="&amp;S$2)</f>
        <v>0</v>
      </c>
      <c r="T7" s="19">
        <f>SUMIFS(Data!$I:$I,Data!$B:$B,$B7,Data!$G:$G,"&lt;="&amp;T$2,Data!$H:$H,"&gt;="&amp;T$2)</f>
        <v>0</v>
      </c>
      <c r="U7" s="19">
        <f>SUMIFS(Data!$I:$I,Data!$B:$B,$B7,Data!$G:$G,"&lt;="&amp;U$2,Data!$H:$H,"&gt;="&amp;U$2)</f>
        <v>0</v>
      </c>
      <c r="V7" s="19">
        <f>SUMIFS(Data!$I:$I,Data!$B:$B,$B7,Data!$G:$G,"&lt;="&amp;V$2,Data!$H:$H,"&gt;="&amp;V$2)</f>
        <v>0</v>
      </c>
      <c r="W7" s="19">
        <f>SUMIFS(Data!$I:$I,Data!$B:$B,$B7,Data!$G:$G,"&lt;="&amp;W$2,Data!$H:$H,"&gt;="&amp;W$2)</f>
        <v>0</v>
      </c>
      <c r="X7" s="19">
        <f>SUMIFS(Data!$I:$I,Data!$B:$B,$B7,Data!$G:$G,"&lt;="&amp;X$2,Data!$H:$H,"&gt;="&amp;X$2)</f>
        <v>0</v>
      </c>
      <c r="Y7" s="19">
        <f>SUMIFS(Data!$I:$I,Data!$B:$B,$B7,Data!$G:$G,"&lt;="&amp;Y$2,Data!$H:$H,"&gt;="&amp;Y$2)</f>
        <v>0</v>
      </c>
      <c r="Z7" s="19">
        <f>SUMIFS(Data!$I:$I,Data!$B:$B,$B7,Data!$G:$G,"&lt;="&amp;Z$2,Data!$H:$H,"&gt;="&amp;Z$2)</f>
        <v>0</v>
      </c>
      <c r="AA7" s="19">
        <f>SUMIFS(Data!$I:$I,Data!$B:$B,$B7,Data!$G:$G,"&lt;="&amp;AA$2,Data!$H:$H,"&gt;="&amp;AA$2)</f>
        <v>0</v>
      </c>
      <c r="AB7" s="19">
        <f>SUMIFS(Data!$I:$I,Data!$B:$B,$B7,Data!$G:$G,"&lt;="&amp;AB$2,Data!$H:$H,"&gt;="&amp;AB$2)</f>
        <v>0</v>
      </c>
      <c r="AC7" s="19">
        <f>SUMIFS(Data!$I:$I,Data!$B:$B,$B7,Data!$G:$G,"&lt;="&amp;AC$2,Data!$H:$H,"&gt;="&amp;AC$2)</f>
        <v>0</v>
      </c>
      <c r="AD7" s="19">
        <f>SUMIFS(Data!$I:$I,Data!$B:$B,$B7,Data!$G:$G,"&lt;="&amp;AD$2,Data!$H:$H,"&gt;="&amp;AD$2)</f>
        <v>0</v>
      </c>
      <c r="AE7" s="19">
        <f>SUMIFS(Data!$I:$I,Data!$B:$B,$B7,Data!$G:$G,"&lt;="&amp;AE$2,Data!$H:$H,"&gt;="&amp;AE$2)</f>
        <v>0</v>
      </c>
      <c r="AF7" s="19">
        <f>SUMIFS(Data!$I:$I,Data!$B:$B,$B7,Data!$G:$G,"&lt;="&amp;AF$2,Data!$H:$H,"&gt;="&amp;AF$2)</f>
        <v>0</v>
      </c>
      <c r="AG7" s="19">
        <f>SUMIFS(Data!$I:$I,Data!$B:$B,$B7,Data!$G:$G,"&lt;="&amp;AG$2,Data!$H:$H,"&gt;="&amp;AG$2)</f>
        <v>0</v>
      </c>
      <c r="AH7" s="19">
        <f>SUMIFS(Data!$I:$I,Data!$B:$B,$B7,Data!$G:$G,"&lt;="&amp;AH$2,Data!$H:$H,"&gt;="&amp;AH$2)</f>
        <v>0</v>
      </c>
      <c r="AI7" s="19">
        <f>SUMIFS(Data!$I:$I,Data!$B:$B,$B7,Data!$G:$G,"&lt;="&amp;AI$2,Data!$H:$H,"&gt;="&amp;AI$2)</f>
        <v>0</v>
      </c>
      <c r="AJ7" s="19">
        <f>SUMIFS(Data!$I:$I,Data!$B:$B,$B7,Data!$G:$G,"&lt;="&amp;AJ$2,Data!$H:$H,"&gt;="&amp;AJ$2)</f>
        <v>0</v>
      </c>
      <c r="AK7" s="19">
        <f>SUMIFS(Data!$I:$I,Data!$B:$B,$B7,Data!$G:$G,"&lt;="&amp;AK$2,Data!$H:$H,"&gt;="&amp;AK$2)</f>
        <v>0</v>
      </c>
      <c r="AL7" s="19">
        <f>SUMIFS(Data!$I:$I,Data!$B:$B,$B7,Data!$G:$G,"&lt;="&amp;AL$2,Data!$H:$H,"&gt;="&amp;AL$2)</f>
        <v>0</v>
      </c>
      <c r="AM7" s="19">
        <f>SUMIFS(Data!$I:$I,Data!$B:$B,$B7,Data!$G:$G,"&lt;="&amp;AM$2,Data!$H:$H,"&gt;="&amp;AM$2)</f>
        <v>0</v>
      </c>
      <c r="AN7" s="19">
        <f>SUMIFS(Data!$I:$I,Data!$B:$B,$B7,Data!$G:$G,"&lt;="&amp;AN$2,Data!$H:$H,"&gt;="&amp;AN$2)</f>
        <v>0</v>
      </c>
      <c r="AO7" s="19">
        <f>SUMIFS(Data!$I:$I,Data!$B:$B,$B7,Data!$G:$G,"&lt;="&amp;AO$2,Data!$H:$H,"&gt;="&amp;AO$2)</f>
        <v>0</v>
      </c>
      <c r="AP7" s="19">
        <f>SUMIFS(Data!$I:$I,Data!$B:$B,$B7,Data!$G:$G,"&lt;="&amp;AP$2,Data!$H:$H,"&gt;="&amp;AP$2)</f>
        <v>0</v>
      </c>
      <c r="AQ7" s="19">
        <f>SUMIFS(Data!$I:$I,Data!$B:$B,$B7,Data!$G:$G,"&lt;="&amp;AQ$2,Data!$H:$H,"&gt;="&amp;AQ$2)</f>
        <v>0</v>
      </c>
      <c r="AR7" s="19">
        <f>SUMIFS(Data!$I:$I,Data!$B:$B,$B7,Data!$G:$G,"&lt;="&amp;AR$2,Data!$H:$H,"&gt;="&amp;AR$2)</f>
        <v>0</v>
      </c>
      <c r="AS7" s="19">
        <f>SUMIFS(Data!$I:$I,Data!$B:$B,$B7,Data!$G:$G,"&lt;="&amp;AS$2,Data!$H:$H,"&gt;="&amp;AS$2)</f>
        <v>0</v>
      </c>
      <c r="AT7" s="19">
        <f>SUMIFS(Data!$I:$I,Data!$B:$B,$B7,Data!$G:$G,"&lt;="&amp;AT$2,Data!$H:$H,"&gt;="&amp;AT$2)</f>
        <v>0</v>
      </c>
      <c r="AU7" s="19">
        <f>SUMIFS(Data!$I:$I,Data!$B:$B,$B7,Data!$G:$G,"&lt;="&amp;AU$2,Data!$H:$H,"&gt;="&amp;AU$2)</f>
        <v>0</v>
      </c>
      <c r="AV7" s="19">
        <f>SUMIFS(Data!$I:$I,Data!$B:$B,$B7,Data!$G:$G,"&lt;="&amp;AV$2,Data!$H:$H,"&gt;="&amp;AV$2)</f>
        <v>0</v>
      </c>
      <c r="AW7" s="19">
        <f>SUMIFS(Data!$I:$I,Data!$B:$B,$B7,Data!$G:$G,"&lt;="&amp;AW$2,Data!$H:$H,"&gt;="&amp;AW$2)</f>
        <v>0</v>
      </c>
      <c r="AX7" s="19">
        <f>SUMIFS(Data!$I:$I,Data!$B:$B,$B7,Data!$G:$G,"&lt;="&amp;AX$2,Data!$H:$H,"&gt;="&amp;AX$2)</f>
        <v>0</v>
      </c>
      <c r="AY7" s="19">
        <f>SUMIFS(Data!$I:$I,Data!$B:$B,$B7,Data!$G:$G,"&lt;="&amp;AY$2,Data!$H:$H,"&gt;="&amp;AY$2)</f>
        <v>0</v>
      </c>
      <c r="AZ7" s="19">
        <f>SUMIFS(Data!$I:$I,Data!$B:$B,$B7,Data!$G:$G,"&lt;="&amp;AZ$2,Data!$H:$H,"&gt;="&amp;AZ$2)</f>
        <v>0</v>
      </c>
      <c r="BA7" s="19">
        <f>SUMIFS(Data!$I:$I,Data!$B:$B,$B7,Data!$G:$G,"&lt;="&amp;BA$2,Data!$H:$H,"&gt;="&amp;BA$2)</f>
        <v>0</v>
      </c>
      <c r="BB7" s="19">
        <f>SUMIFS(Data!$I:$I,Data!$B:$B,$B7,Data!$G:$G,"&lt;="&amp;BB$2,Data!$H:$H,"&gt;="&amp;BB$2)</f>
        <v>0</v>
      </c>
      <c r="BC7" s="19">
        <f>SUMIFS(Data!$I:$I,Data!$B:$B,$B7,Data!$G:$G,"&lt;="&amp;BC$2,Data!$H:$H,"&gt;="&amp;BC$2)</f>
        <v>0</v>
      </c>
      <c r="BD7" s="19">
        <f>SUMIFS(Data!$I:$I,Data!$B:$B,$B7,Data!$G:$G,"&lt;="&amp;BD$2,Data!$H:$H,"&gt;="&amp;BD$2)</f>
        <v>0</v>
      </c>
      <c r="BE7" s="19">
        <f>SUMIFS(Data!$I:$I,Data!$B:$B,$B7,Data!$G:$G,"&lt;="&amp;BE$2,Data!$H:$H,"&gt;="&amp;BE$2)</f>
        <v>0</v>
      </c>
      <c r="BF7" s="19">
        <f>SUMIFS(Data!$I:$I,Data!$B:$B,$B7,Data!$G:$G,"&lt;="&amp;BF$2,Data!$H:$H,"&gt;="&amp;BF$2)</f>
        <v>0</v>
      </c>
      <c r="BG7" s="19">
        <f>SUMIFS(Data!$I:$I,Data!$B:$B,$B7,Data!$G:$G,"&lt;="&amp;BG$2,Data!$H:$H,"&gt;="&amp;BG$2)</f>
        <v>0</v>
      </c>
      <c r="BH7" s="19">
        <f>SUMIFS(Data!$I:$I,Data!$B:$B,$B7,Data!$G:$G,"&lt;="&amp;BH$2,Data!$H:$H,"&gt;="&amp;BH$2)</f>
        <v>0</v>
      </c>
      <c r="BI7" s="19">
        <f>SUMIFS(Data!$I:$I,Data!$B:$B,$B7,Data!$G:$G,"&lt;="&amp;BI$2,Data!$H:$H,"&gt;="&amp;BI$2)</f>
        <v>0</v>
      </c>
      <c r="BJ7" s="19">
        <f>SUMIFS(Data!$I:$I,Data!$B:$B,$B7,Data!$G:$G,"&lt;="&amp;BJ$2,Data!$H:$H,"&gt;="&amp;BJ$2)</f>
        <v>0</v>
      </c>
      <c r="BK7" s="19">
        <f>SUMIFS(Data!$I:$I,Data!$B:$B,$B7,Data!$G:$G,"&lt;="&amp;BK$2,Data!$H:$H,"&gt;="&amp;BK$2)</f>
        <v>0</v>
      </c>
      <c r="BL7" s="19">
        <f>SUMIFS(Data!$I:$I,Data!$B:$B,$B7,Data!$G:$G,"&lt;="&amp;BL$2,Data!$H:$H,"&gt;="&amp;BL$2)</f>
        <v>0</v>
      </c>
      <c r="BM7" s="19">
        <f>SUMIFS(Data!$I:$I,Data!$B:$B,$B7,Data!$G:$G,"&lt;="&amp;BM$2,Data!$H:$H,"&gt;="&amp;BM$2)</f>
        <v>0</v>
      </c>
      <c r="BN7" s="19">
        <f>SUMIFS(Data!$I:$I,Data!$B:$B,$B7,Data!$G:$G,"&lt;="&amp;BN$2,Data!$H:$H,"&gt;="&amp;BN$2)</f>
        <v>0</v>
      </c>
      <c r="BO7" s="19">
        <f>SUMIFS(Data!$I:$I,Data!$B:$B,$B7,Data!$G:$G,"&lt;="&amp;BO$2,Data!$H:$H,"&gt;="&amp;BO$2)</f>
        <v>0</v>
      </c>
      <c r="BP7" s="19">
        <f>SUMIFS(Data!$I:$I,Data!$B:$B,$B7,Data!$G:$G,"&lt;="&amp;BP$2,Data!$H:$H,"&gt;="&amp;BP$2)</f>
        <v>0</v>
      </c>
      <c r="BQ7" s="19">
        <f>SUMIFS(Data!$I:$I,Data!$B:$B,$B7,Data!$G:$G,"&lt;="&amp;BQ$2,Data!$H:$H,"&gt;="&amp;BQ$2)</f>
        <v>0</v>
      </c>
      <c r="BR7" s="19">
        <f>SUMIFS(Data!$I:$I,Data!$B:$B,$B7,Data!$G:$G,"&lt;="&amp;BR$2,Data!$H:$H,"&gt;="&amp;BR$2)</f>
        <v>0</v>
      </c>
      <c r="BS7" s="19">
        <f>SUMIFS(Data!$I:$I,Data!$B:$B,$B7,Data!$G:$G,"&lt;="&amp;BS$2,Data!$H:$H,"&gt;="&amp;BS$2)</f>
        <v>0</v>
      </c>
      <c r="BT7" s="19">
        <f>SUMIFS(Data!$I:$I,Data!$B:$B,$B7,Data!$G:$G,"&lt;="&amp;BT$2,Data!$H:$H,"&gt;="&amp;BT$2)</f>
        <v>0</v>
      </c>
      <c r="BU7" s="19">
        <f>SUMIFS(Data!$I:$I,Data!$B:$B,$B7,Data!$G:$G,"&lt;="&amp;BU$2,Data!$H:$H,"&gt;="&amp;BU$2)</f>
        <v>0</v>
      </c>
      <c r="BV7" s="19">
        <f>SUMIFS(Data!$I:$I,Data!$B:$B,$B7,Data!$G:$G,"&lt;="&amp;BV$2,Data!$H:$H,"&gt;="&amp;BV$2)</f>
        <v>0</v>
      </c>
      <c r="BW7" s="19">
        <f>SUMIFS(Data!$I:$I,Data!$B:$B,$B7,Data!$G:$G,"&lt;="&amp;BW$2,Data!$H:$H,"&gt;="&amp;BW$2)</f>
        <v>0</v>
      </c>
      <c r="BX7" s="19">
        <f>SUMIFS(Data!$I:$I,Data!$B:$B,$B7,Data!$G:$G,"&lt;="&amp;BX$2,Data!$H:$H,"&gt;="&amp;BX$2)</f>
        <v>0</v>
      </c>
      <c r="BY7" s="19">
        <f>SUMIFS(Data!$I:$I,Data!$B:$B,$B7,Data!$G:$G,"&lt;="&amp;BY$2,Data!$H:$H,"&gt;="&amp;BY$2)</f>
        <v>0</v>
      </c>
      <c r="BZ7" s="19">
        <f>SUMIFS(Data!$I:$I,Data!$B:$B,$B7,Data!$G:$G,"&lt;="&amp;BZ$2,Data!$H:$H,"&gt;="&amp;BZ$2)</f>
        <v>0</v>
      </c>
      <c r="CA7" s="20">
        <f t="shared" si="3"/>
        <v>37500.000000000007</v>
      </c>
    </row>
    <row r="8" spans="2:79" x14ac:dyDescent="0.25">
      <c r="B8" s="11" t="s">
        <v>171</v>
      </c>
      <c r="C8" s="11" t="str">
        <f>VLOOKUP(B8,Data!B:C,2,FALSE)</f>
        <v>JREFI</v>
      </c>
      <c r="D8" s="19">
        <f>SUMIFS(Data!$I:$I,Data!$B:$B,$B8,Data!$G:$G,"&lt;="&amp;D$2,Data!$H:$H,"&gt;="&amp;D$2)</f>
        <v>0</v>
      </c>
      <c r="E8" s="19">
        <f>SUMIFS(Data!$I:$I,Data!$B:$B,$B8,Data!$G:$G,"&lt;="&amp;E$2,Data!$H:$H,"&gt;="&amp;E$2)</f>
        <v>0</v>
      </c>
      <c r="F8" s="19">
        <f>SUMIFS(Data!$I:$I,Data!$B:$B,$B8,Data!$G:$G,"&lt;="&amp;F$2,Data!$H:$H,"&gt;="&amp;F$2)</f>
        <v>0</v>
      </c>
      <c r="G8" s="19">
        <f>SUMIFS(Data!$I:$I,Data!$B:$B,$B8,Data!$G:$G,"&lt;="&amp;G$2,Data!$H:$H,"&gt;="&amp;G$2)</f>
        <v>0</v>
      </c>
      <c r="H8" s="19">
        <f>SUMIFS(Data!$I:$I,Data!$B:$B,$B8,Data!$G:$G,"&lt;="&amp;H$2,Data!$H:$H,"&gt;="&amp;H$2)</f>
        <v>0</v>
      </c>
      <c r="I8" s="19">
        <f>SUMIFS(Data!$I:$I,Data!$B:$B,$B8,Data!$G:$G,"&lt;="&amp;I$2,Data!$H:$H,"&gt;="&amp;I$2)</f>
        <v>0</v>
      </c>
      <c r="J8" s="19">
        <f>SUMIFS(Data!$I:$I,Data!$B:$B,$B8,Data!$G:$G,"&lt;="&amp;J$2,Data!$H:$H,"&gt;="&amp;J$2)</f>
        <v>0</v>
      </c>
      <c r="K8" s="19">
        <f>SUMIFS(Data!$I:$I,Data!$B:$B,$B8,Data!$G:$G,"&lt;="&amp;K$2,Data!$H:$H,"&gt;="&amp;K$2)</f>
        <v>0</v>
      </c>
      <c r="L8" s="19">
        <f>SUMIFS(Data!$I:$I,Data!$B:$B,$B8,Data!$G:$G,"&lt;="&amp;L$2,Data!$H:$H,"&gt;="&amp;L$2)</f>
        <v>0</v>
      </c>
      <c r="M8" s="19">
        <f>SUMIFS(Data!$I:$I,Data!$B:$B,$B8,Data!$G:$G,"&lt;="&amp;M$2,Data!$H:$H,"&gt;="&amp;M$2)</f>
        <v>10000</v>
      </c>
      <c r="N8" s="19">
        <f>SUMIFS(Data!$I:$I,Data!$B:$B,$B8,Data!$G:$G,"&lt;="&amp;N$2,Data!$H:$H,"&gt;="&amp;N$2)</f>
        <v>10000</v>
      </c>
      <c r="O8" s="19">
        <f>SUMIFS(Data!$I:$I,Data!$B:$B,$B8,Data!$G:$G,"&lt;="&amp;O$2,Data!$H:$H,"&gt;="&amp;O$2)</f>
        <v>10000</v>
      </c>
      <c r="P8" s="19">
        <f>SUMIFS(Data!$I:$I,Data!$B:$B,$B8,Data!$G:$G,"&lt;="&amp;P$2,Data!$H:$H,"&gt;="&amp;P$2)</f>
        <v>5833.3333333333339</v>
      </c>
      <c r="Q8" s="19">
        <f>SUMIFS(Data!$I:$I,Data!$B:$B,$B8,Data!$G:$G,"&lt;="&amp;Q$2,Data!$H:$H,"&gt;="&amp;Q$2)</f>
        <v>5833.3333333333339</v>
      </c>
      <c r="R8" s="19">
        <f>SUMIFS(Data!$I:$I,Data!$B:$B,$B8,Data!$G:$G,"&lt;="&amp;R$2,Data!$H:$H,"&gt;="&amp;R$2)</f>
        <v>5833.3333333333339</v>
      </c>
      <c r="S8" s="19">
        <f>SUMIFS(Data!$I:$I,Data!$B:$B,$B8,Data!$G:$G,"&lt;="&amp;S$2,Data!$H:$H,"&gt;="&amp;S$2)</f>
        <v>0</v>
      </c>
      <c r="T8" s="19">
        <f>SUMIFS(Data!$I:$I,Data!$B:$B,$B8,Data!$G:$G,"&lt;="&amp;T$2,Data!$H:$H,"&gt;="&amp;T$2)</f>
        <v>0</v>
      </c>
      <c r="U8" s="19">
        <f>SUMIFS(Data!$I:$I,Data!$B:$B,$B8,Data!$G:$G,"&lt;="&amp;U$2,Data!$H:$H,"&gt;="&amp;U$2)</f>
        <v>0</v>
      </c>
      <c r="V8" s="19">
        <f>SUMIFS(Data!$I:$I,Data!$B:$B,$B8,Data!$G:$G,"&lt;="&amp;V$2,Data!$H:$H,"&gt;="&amp;V$2)</f>
        <v>0</v>
      </c>
      <c r="W8" s="19">
        <f>SUMIFS(Data!$I:$I,Data!$B:$B,$B8,Data!$G:$G,"&lt;="&amp;W$2,Data!$H:$H,"&gt;="&amp;W$2)</f>
        <v>0</v>
      </c>
      <c r="X8" s="19">
        <f>SUMIFS(Data!$I:$I,Data!$B:$B,$B8,Data!$G:$G,"&lt;="&amp;X$2,Data!$H:$H,"&gt;="&amp;X$2)</f>
        <v>0</v>
      </c>
      <c r="Y8" s="19">
        <f>SUMIFS(Data!$I:$I,Data!$B:$B,$B8,Data!$G:$G,"&lt;="&amp;Y$2,Data!$H:$H,"&gt;="&amp;Y$2)</f>
        <v>0</v>
      </c>
      <c r="Z8" s="19">
        <f>SUMIFS(Data!$I:$I,Data!$B:$B,$B8,Data!$G:$G,"&lt;="&amp;Z$2,Data!$H:$H,"&gt;="&amp;Z$2)</f>
        <v>0</v>
      </c>
      <c r="AA8" s="19">
        <f>SUMIFS(Data!$I:$I,Data!$B:$B,$B8,Data!$G:$G,"&lt;="&amp;AA$2,Data!$H:$H,"&gt;="&amp;AA$2)</f>
        <v>0</v>
      </c>
      <c r="AB8" s="19">
        <f>SUMIFS(Data!$I:$I,Data!$B:$B,$B8,Data!$G:$G,"&lt;="&amp;AB$2,Data!$H:$H,"&gt;="&amp;AB$2)</f>
        <v>0</v>
      </c>
      <c r="AC8" s="19">
        <f>SUMIFS(Data!$I:$I,Data!$B:$B,$B8,Data!$G:$G,"&lt;="&amp;AC$2,Data!$H:$H,"&gt;="&amp;AC$2)</f>
        <v>0</v>
      </c>
      <c r="AD8" s="19">
        <f>SUMIFS(Data!$I:$I,Data!$B:$B,$B8,Data!$G:$G,"&lt;="&amp;AD$2,Data!$H:$H,"&gt;="&amp;AD$2)</f>
        <v>0</v>
      </c>
      <c r="AE8" s="19">
        <f>SUMIFS(Data!$I:$I,Data!$B:$B,$B8,Data!$G:$G,"&lt;="&amp;AE$2,Data!$H:$H,"&gt;="&amp;AE$2)</f>
        <v>0</v>
      </c>
      <c r="AF8" s="19">
        <f>SUMIFS(Data!$I:$I,Data!$B:$B,$B8,Data!$G:$G,"&lt;="&amp;AF$2,Data!$H:$H,"&gt;="&amp;AF$2)</f>
        <v>0</v>
      </c>
      <c r="AG8" s="19">
        <f>SUMIFS(Data!$I:$I,Data!$B:$B,$B8,Data!$G:$G,"&lt;="&amp;AG$2,Data!$H:$H,"&gt;="&amp;AG$2)</f>
        <v>0</v>
      </c>
      <c r="AH8" s="19">
        <f>SUMIFS(Data!$I:$I,Data!$B:$B,$B8,Data!$G:$G,"&lt;="&amp;AH$2,Data!$H:$H,"&gt;="&amp;AH$2)</f>
        <v>0</v>
      </c>
      <c r="AI8" s="19">
        <f>SUMIFS(Data!$I:$I,Data!$B:$B,$B8,Data!$G:$G,"&lt;="&amp;AI$2,Data!$H:$H,"&gt;="&amp;AI$2)</f>
        <v>0</v>
      </c>
      <c r="AJ8" s="19">
        <f>SUMIFS(Data!$I:$I,Data!$B:$B,$B8,Data!$G:$G,"&lt;="&amp;AJ$2,Data!$H:$H,"&gt;="&amp;AJ$2)</f>
        <v>0</v>
      </c>
      <c r="AK8" s="19">
        <f>SUMIFS(Data!$I:$I,Data!$B:$B,$B8,Data!$G:$G,"&lt;="&amp;AK$2,Data!$H:$H,"&gt;="&amp;AK$2)</f>
        <v>0</v>
      </c>
      <c r="AL8" s="19">
        <f>SUMIFS(Data!$I:$I,Data!$B:$B,$B8,Data!$G:$G,"&lt;="&amp;AL$2,Data!$H:$H,"&gt;="&amp;AL$2)</f>
        <v>0</v>
      </c>
      <c r="AM8" s="19">
        <f>SUMIFS(Data!$I:$I,Data!$B:$B,$B8,Data!$G:$G,"&lt;="&amp;AM$2,Data!$H:$H,"&gt;="&amp;AM$2)</f>
        <v>0</v>
      </c>
      <c r="AN8" s="19">
        <f>SUMIFS(Data!$I:$I,Data!$B:$B,$B8,Data!$G:$G,"&lt;="&amp;AN$2,Data!$H:$H,"&gt;="&amp;AN$2)</f>
        <v>0</v>
      </c>
      <c r="AO8" s="19">
        <f>SUMIFS(Data!$I:$I,Data!$B:$B,$B8,Data!$G:$G,"&lt;="&amp;AO$2,Data!$H:$H,"&gt;="&amp;AO$2)</f>
        <v>0</v>
      </c>
      <c r="AP8" s="19">
        <f>SUMIFS(Data!$I:$I,Data!$B:$B,$B8,Data!$G:$G,"&lt;="&amp;AP$2,Data!$H:$H,"&gt;="&amp;AP$2)</f>
        <v>0</v>
      </c>
      <c r="AQ8" s="19">
        <f>SUMIFS(Data!$I:$I,Data!$B:$B,$B8,Data!$G:$G,"&lt;="&amp;AQ$2,Data!$H:$H,"&gt;="&amp;AQ$2)</f>
        <v>0</v>
      </c>
      <c r="AR8" s="19">
        <f>SUMIFS(Data!$I:$I,Data!$B:$B,$B8,Data!$G:$G,"&lt;="&amp;AR$2,Data!$H:$H,"&gt;="&amp;AR$2)</f>
        <v>0</v>
      </c>
      <c r="AS8" s="19">
        <f>SUMIFS(Data!$I:$I,Data!$B:$B,$B8,Data!$G:$G,"&lt;="&amp;AS$2,Data!$H:$H,"&gt;="&amp;AS$2)</f>
        <v>0</v>
      </c>
      <c r="AT8" s="19">
        <f>SUMIFS(Data!$I:$I,Data!$B:$B,$B8,Data!$G:$G,"&lt;="&amp;AT$2,Data!$H:$H,"&gt;="&amp;AT$2)</f>
        <v>0</v>
      </c>
      <c r="AU8" s="19">
        <f>SUMIFS(Data!$I:$I,Data!$B:$B,$B8,Data!$G:$G,"&lt;="&amp;AU$2,Data!$H:$H,"&gt;="&amp;AU$2)</f>
        <v>0</v>
      </c>
      <c r="AV8" s="19">
        <f>SUMIFS(Data!$I:$I,Data!$B:$B,$B8,Data!$G:$G,"&lt;="&amp;AV$2,Data!$H:$H,"&gt;="&amp;AV$2)</f>
        <v>0</v>
      </c>
      <c r="AW8" s="19">
        <f>SUMIFS(Data!$I:$I,Data!$B:$B,$B8,Data!$G:$G,"&lt;="&amp;AW$2,Data!$H:$H,"&gt;="&amp;AW$2)</f>
        <v>0</v>
      </c>
      <c r="AX8" s="19">
        <f>SUMIFS(Data!$I:$I,Data!$B:$B,$B8,Data!$G:$G,"&lt;="&amp;AX$2,Data!$H:$H,"&gt;="&amp;AX$2)</f>
        <v>0</v>
      </c>
      <c r="AY8" s="19">
        <f>SUMIFS(Data!$I:$I,Data!$B:$B,$B8,Data!$G:$G,"&lt;="&amp;AY$2,Data!$H:$H,"&gt;="&amp;AY$2)</f>
        <v>0</v>
      </c>
      <c r="AZ8" s="19">
        <f>SUMIFS(Data!$I:$I,Data!$B:$B,$B8,Data!$G:$G,"&lt;="&amp;AZ$2,Data!$H:$H,"&gt;="&amp;AZ$2)</f>
        <v>0</v>
      </c>
      <c r="BA8" s="19">
        <f>SUMIFS(Data!$I:$I,Data!$B:$B,$B8,Data!$G:$G,"&lt;="&amp;BA$2,Data!$H:$H,"&gt;="&amp;BA$2)</f>
        <v>0</v>
      </c>
      <c r="BB8" s="19">
        <f>SUMIFS(Data!$I:$I,Data!$B:$B,$B8,Data!$G:$G,"&lt;="&amp;BB$2,Data!$H:$H,"&gt;="&amp;BB$2)</f>
        <v>0</v>
      </c>
      <c r="BC8" s="19">
        <f>SUMIFS(Data!$I:$I,Data!$B:$B,$B8,Data!$G:$G,"&lt;="&amp;BC$2,Data!$H:$H,"&gt;="&amp;BC$2)</f>
        <v>0</v>
      </c>
      <c r="BD8" s="19">
        <f>SUMIFS(Data!$I:$I,Data!$B:$B,$B8,Data!$G:$G,"&lt;="&amp;BD$2,Data!$H:$H,"&gt;="&amp;BD$2)</f>
        <v>0</v>
      </c>
      <c r="BE8" s="19">
        <f>SUMIFS(Data!$I:$I,Data!$B:$B,$B8,Data!$G:$G,"&lt;="&amp;BE$2,Data!$H:$H,"&gt;="&amp;BE$2)</f>
        <v>0</v>
      </c>
      <c r="BF8" s="19">
        <f>SUMIFS(Data!$I:$I,Data!$B:$B,$B8,Data!$G:$G,"&lt;="&amp;BF$2,Data!$H:$H,"&gt;="&amp;BF$2)</f>
        <v>0</v>
      </c>
      <c r="BG8" s="19">
        <f>SUMIFS(Data!$I:$I,Data!$B:$B,$B8,Data!$G:$G,"&lt;="&amp;BG$2,Data!$H:$H,"&gt;="&amp;BG$2)</f>
        <v>0</v>
      </c>
      <c r="BH8" s="19">
        <f>SUMIFS(Data!$I:$I,Data!$B:$B,$B8,Data!$G:$G,"&lt;="&amp;BH$2,Data!$H:$H,"&gt;="&amp;BH$2)</f>
        <v>0</v>
      </c>
      <c r="BI8" s="19">
        <f>SUMIFS(Data!$I:$I,Data!$B:$B,$B8,Data!$G:$G,"&lt;="&amp;BI$2,Data!$H:$H,"&gt;="&amp;BI$2)</f>
        <v>0</v>
      </c>
      <c r="BJ8" s="19">
        <f>SUMIFS(Data!$I:$I,Data!$B:$B,$B8,Data!$G:$G,"&lt;="&amp;BJ$2,Data!$H:$H,"&gt;="&amp;BJ$2)</f>
        <v>0</v>
      </c>
      <c r="BK8" s="19">
        <f>SUMIFS(Data!$I:$I,Data!$B:$B,$B8,Data!$G:$G,"&lt;="&amp;BK$2,Data!$H:$H,"&gt;="&amp;BK$2)</f>
        <v>0</v>
      </c>
      <c r="BL8" s="19">
        <f>SUMIFS(Data!$I:$I,Data!$B:$B,$B8,Data!$G:$G,"&lt;="&amp;BL$2,Data!$H:$H,"&gt;="&amp;BL$2)</f>
        <v>0</v>
      </c>
      <c r="BM8" s="19">
        <f>SUMIFS(Data!$I:$I,Data!$B:$B,$B8,Data!$G:$G,"&lt;="&amp;BM$2,Data!$H:$H,"&gt;="&amp;BM$2)</f>
        <v>0</v>
      </c>
      <c r="BN8" s="19">
        <f>SUMIFS(Data!$I:$I,Data!$B:$B,$B8,Data!$G:$G,"&lt;="&amp;BN$2,Data!$H:$H,"&gt;="&amp;BN$2)</f>
        <v>0</v>
      </c>
      <c r="BO8" s="19">
        <f>SUMIFS(Data!$I:$I,Data!$B:$B,$B8,Data!$G:$G,"&lt;="&amp;BO$2,Data!$H:$H,"&gt;="&amp;BO$2)</f>
        <v>0</v>
      </c>
      <c r="BP8" s="19">
        <f>SUMIFS(Data!$I:$I,Data!$B:$B,$B8,Data!$G:$G,"&lt;="&amp;BP$2,Data!$H:$H,"&gt;="&amp;BP$2)</f>
        <v>0</v>
      </c>
      <c r="BQ8" s="19">
        <f>SUMIFS(Data!$I:$I,Data!$B:$B,$B8,Data!$G:$G,"&lt;="&amp;BQ$2,Data!$H:$H,"&gt;="&amp;BQ$2)</f>
        <v>0</v>
      </c>
      <c r="BR8" s="19">
        <f>SUMIFS(Data!$I:$I,Data!$B:$B,$B8,Data!$G:$G,"&lt;="&amp;BR$2,Data!$H:$H,"&gt;="&amp;BR$2)</f>
        <v>0</v>
      </c>
      <c r="BS8" s="19">
        <f>SUMIFS(Data!$I:$I,Data!$B:$B,$B8,Data!$G:$G,"&lt;="&amp;BS$2,Data!$H:$H,"&gt;="&amp;BS$2)</f>
        <v>0</v>
      </c>
      <c r="BT8" s="19">
        <f>SUMIFS(Data!$I:$I,Data!$B:$B,$B8,Data!$G:$G,"&lt;="&amp;BT$2,Data!$H:$H,"&gt;="&amp;BT$2)</f>
        <v>0</v>
      </c>
      <c r="BU8" s="19">
        <f>SUMIFS(Data!$I:$I,Data!$B:$B,$B8,Data!$G:$G,"&lt;="&amp;BU$2,Data!$H:$H,"&gt;="&amp;BU$2)</f>
        <v>0</v>
      </c>
      <c r="BV8" s="19">
        <f>SUMIFS(Data!$I:$I,Data!$B:$B,$B8,Data!$G:$G,"&lt;="&amp;BV$2,Data!$H:$H,"&gt;="&amp;BV$2)</f>
        <v>0</v>
      </c>
      <c r="BW8" s="19">
        <f>SUMIFS(Data!$I:$I,Data!$B:$B,$B8,Data!$G:$G,"&lt;="&amp;BW$2,Data!$H:$H,"&gt;="&amp;BW$2)</f>
        <v>0</v>
      </c>
      <c r="BX8" s="19">
        <f>SUMIFS(Data!$I:$I,Data!$B:$B,$B8,Data!$G:$G,"&lt;="&amp;BX$2,Data!$H:$H,"&gt;="&amp;BX$2)</f>
        <v>0</v>
      </c>
      <c r="BY8" s="19">
        <f>SUMIFS(Data!$I:$I,Data!$B:$B,$B8,Data!$G:$G,"&lt;="&amp;BY$2,Data!$H:$H,"&gt;="&amp;BY$2)</f>
        <v>0</v>
      </c>
      <c r="BZ8" s="19">
        <f>SUMIFS(Data!$I:$I,Data!$B:$B,$B8,Data!$G:$G,"&lt;="&amp;BZ$2,Data!$H:$H,"&gt;="&amp;BZ$2)</f>
        <v>0</v>
      </c>
      <c r="CA8" s="20">
        <f t="shared" si="3"/>
        <v>47500.000000000007</v>
      </c>
    </row>
    <row r="9" spans="2:79" x14ac:dyDescent="0.25">
      <c r="B9" s="11" t="s">
        <v>40</v>
      </c>
      <c r="C9" s="11" t="str">
        <f>VLOOKUP(B9,Data!B:C,2,FALSE)</f>
        <v>JREFI</v>
      </c>
      <c r="D9" s="19">
        <f>SUMIFS(Data!$I:$I,Data!$B:$B,$B9,Data!$G:$G,"&lt;="&amp;D$2,Data!$H:$H,"&gt;="&amp;D$2)</f>
        <v>0</v>
      </c>
      <c r="E9" s="19">
        <f>SUMIFS(Data!$I:$I,Data!$B:$B,$B9,Data!$G:$G,"&lt;="&amp;E$2,Data!$H:$H,"&gt;="&amp;E$2)</f>
        <v>0</v>
      </c>
      <c r="F9" s="19">
        <f>SUMIFS(Data!$I:$I,Data!$B:$B,$B9,Data!$G:$G,"&lt;="&amp;F$2,Data!$H:$H,"&gt;="&amp;F$2)</f>
        <v>0</v>
      </c>
      <c r="G9" s="19">
        <f>SUMIFS(Data!$I:$I,Data!$B:$B,$B9,Data!$G:$G,"&lt;="&amp;G$2,Data!$H:$H,"&gt;="&amp;G$2)</f>
        <v>10000</v>
      </c>
      <c r="H9" s="19">
        <f>SUMIFS(Data!$I:$I,Data!$B:$B,$B9,Data!$G:$G,"&lt;="&amp;H$2,Data!$H:$H,"&gt;="&amp;H$2)</f>
        <v>10000</v>
      </c>
      <c r="I9" s="19">
        <f>SUMIFS(Data!$I:$I,Data!$B:$B,$B9,Data!$G:$G,"&lt;="&amp;I$2,Data!$H:$H,"&gt;="&amp;I$2)</f>
        <v>10000</v>
      </c>
      <c r="J9" s="19">
        <f>SUMIFS(Data!$I:$I,Data!$B:$B,$B9,Data!$G:$G,"&lt;="&amp;J$2,Data!$H:$H,"&gt;="&amp;J$2)</f>
        <v>6333.333333333333</v>
      </c>
      <c r="K9" s="19">
        <f>SUMIFS(Data!$I:$I,Data!$B:$B,$B9,Data!$G:$G,"&lt;="&amp;K$2,Data!$H:$H,"&gt;="&amp;K$2)</f>
        <v>6333.333333333333</v>
      </c>
      <c r="L9" s="19">
        <f>SUMIFS(Data!$I:$I,Data!$B:$B,$B9,Data!$G:$G,"&lt;="&amp;L$2,Data!$H:$H,"&gt;="&amp;L$2)</f>
        <v>6333.333333333333</v>
      </c>
      <c r="M9" s="19">
        <f>SUMIFS(Data!$I:$I,Data!$B:$B,$B9,Data!$G:$G,"&lt;="&amp;M$2,Data!$H:$H,"&gt;="&amp;M$2)</f>
        <v>10000</v>
      </c>
      <c r="N9" s="19">
        <f>SUMIFS(Data!$I:$I,Data!$B:$B,$B9,Data!$G:$G,"&lt;="&amp;N$2,Data!$H:$H,"&gt;="&amp;N$2)</f>
        <v>10000</v>
      </c>
      <c r="O9" s="19">
        <f>SUMIFS(Data!$I:$I,Data!$B:$B,$B9,Data!$G:$G,"&lt;="&amp;O$2,Data!$H:$H,"&gt;="&amp;O$2)</f>
        <v>10000</v>
      </c>
      <c r="P9" s="19">
        <f>SUMIFS(Data!$I:$I,Data!$B:$B,$B9,Data!$G:$G,"&lt;="&amp;P$2,Data!$H:$H,"&gt;="&amp;P$2)</f>
        <v>5000</v>
      </c>
      <c r="Q9" s="19">
        <f>SUMIFS(Data!$I:$I,Data!$B:$B,$B9,Data!$G:$G,"&lt;="&amp;Q$2,Data!$H:$H,"&gt;="&amp;Q$2)</f>
        <v>5000</v>
      </c>
      <c r="R9" s="19">
        <f>SUMIFS(Data!$I:$I,Data!$B:$B,$B9,Data!$G:$G,"&lt;="&amp;R$2,Data!$H:$H,"&gt;="&amp;R$2)</f>
        <v>5000</v>
      </c>
      <c r="S9" s="19">
        <f>SUMIFS(Data!$I:$I,Data!$B:$B,$B9,Data!$G:$G,"&lt;="&amp;S$2,Data!$H:$H,"&gt;="&amp;S$2)</f>
        <v>5000</v>
      </c>
      <c r="T9" s="19">
        <f>SUMIFS(Data!$I:$I,Data!$B:$B,$B9,Data!$G:$G,"&lt;="&amp;T$2,Data!$H:$H,"&gt;="&amp;T$2)</f>
        <v>5000</v>
      </c>
      <c r="U9" s="19">
        <f>SUMIFS(Data!$I:$I,Data!$B:$B,$B9,Data!$G:$G,"&lt;="&amp;U$2,Data!$H:$H,"&gt;="&amp;U$2)</f>
        <v>5000</v>
      </c>
      <c r="V9" s="19">
        <f>SUMIFS(Data!$I:$I,Data!$B:$B,$B9,Data!$G:$G,"&lt;="&amp;V$2,Data!$H:$H,"&gt;="&amp;V$2)</f>
        <v>5000</v>
      </c>
      <c r="W9" s="19">
        <f>SUMIFS(Data!$I:$I,Data!$B:$B,$B9,Data!$G:$G,"&lt;="&amp;W$2,Data!$H:$H,"&gt;="&amp;W$2)</f>
        <v>5000</v>
      </c>
      <c r="X9" s="19">
        <f>SUMIFS(Data!$I:$I,Data!$B:$B,$B9,Data!$G:$G,"&lt;="&amp;X$2,Data!$H:$H,"&gt;="&amp;X$2)</f>
        <v>5000</v>
      </c>
      <c r="Y9" s="19">
        <f>SUMIFS(Data!$I:$I,Data!$B:$B,$B9,Data!$G:$G,"&lt;="&amp;Y$2,Data!$H:$H,"&gt;="&amp;Y$2)</f>
        <v>5000</v>
      </c>
      <c r="Z9" s="19">
        <f>SUMIFS(Data!$I:$I,Data!$B:$B,$B9,Data!$G:$G,"&lt;="&amp;Z$2,Data!$H:$H,"&gt;="&amp;Z$2)</f>
        <v>5000</v>
      </c>
      <c r="AA9" s="19">
        <f>SUMIFS(Data!$I:$I,Data!$B:$B,$B9,Data!$G:$G,"&lt;="&amp;AA$2,Data!$H:$H,"&gt;="&amp;AA$2)</f>
        <v>5000</v>
      </c>
      <c r="AB9" s="19">
        <f>SUMIFS(Data!$I:$I,Data!$B:$B,$B9,Data!$G:$G,"&lt;="&amp;AB$2,Data!$H:$H,"&gt;="&amp;AB$2)</f>
        <v>5000</v>
      </c>
      <c r="AC9" s="19">
        <f>SUMIFS(Data!$I:$I,Data!$B:$B,$B9,Data!$G:$G,"&lt;="&amp;AC$2,Data!$H:$H,"&gt;="&amp;AC$2)</f>
        <v>5000</v>
      </c>
      <c r="AD9" s="19">
        <f>SUMIFS(Data!$I:$I,Data!$B:$B,$B9,Data!$G:$G,"&lt;="&amp;AD$2,Data!$H:$H,"&gt;="&amp;AD$2)</f>
        <v>5000</v>
      </c>
      <c r="AE9" s="19">
        <f>SUMIFS(Data!$I:$I,Data!$B:$B,$B9,Data!$G:$G,"&lt;="&amp;AE$2,Data!$H:$H,"&gt;="&amp;AE$2)</f>
        <v>5000</v>
      </c>
      <c r="AF9" s="19">
        <f>SUMIFS(Data!$I:$I,Data!$B:$B,$B9,Data!$G:$G,"&lt;="&amp;AF$2,Data!$H:$H,"&gt;="&amp;AF$2)</f>
        <v>5000</v>
      </c>
      <c r="AG9" s="19">
        <f>SUMIFS(Data!$I:$I,Data!$B:$B,$B9,Data!$G:$G,"&lt;="&amp;AG$2,Data!$H:$H,"&gt;="&amp;AG$2)</f>
        <v>5000</v>
      </c>
      <c r="AH9" s="19">
        <f>SUMIFS(Data!$I:$I,Data!$B:$B,$B9,Data!$G:$G,"&lt;="&amp;AH$2,Data!$H:$H,"&gt;="&amp;AH$2)</f>
        <v>5000</v>
      </c>
      <c r="AI9" s="19">
        <f>SUMIFS(Data!$I:$I,Data!$B:$B,$B9,Data!$G:$G,"&lt;="&amp;AI$2,Data!$H:$H,"&gt;="&amp;AI$2)</f>
        <v>5000</v>
      </c>
      <c r="AJ9" s="19">
        <f>SUMIFS(Data!$I:$I,Data!$B:$B,$B9,Data!$G:$G,"&lt;="&amp;AJ$2,Data!$H:$H,"&gt;="&amp;AJ$2)</f>
        <v>5000</v>
      </c>
      <c r="AK9" s="19">
        <f>SUMIFS(Data!$I:$I,Data!$B:$B,$B9,Data!$G:$G,"&lt;="&amp;AK$2,Data!$H:$H,"&gt;="&amp;AK$2)</f>
        <v>5000</v>
      </c>
      <c r="AL9" s="19">
        <f>SUMIFS(Data!$I:$I,Data!$B:$B,$B9,Data!$G:$G,"&lt;="&amp;AL$2,Data!$H:$H,"&gt;="&amp;AL$2)</f>
        <v>5000</v>
      </c>
      <c r="AM9" s="19">
        <f>SUMIFS(Data!$I:$I,Data!$B:$B,$B9,Data!$G:$G,"&lt;="&amp;AM$2,Data!$H:$H,"&gt;="&amp;AM$2)</f>
        <v>5000</v>
      </c>
      <c r="AN9" s="19">
        <f>SUMIFS(Data!$I:$I,Data!$B:$B,$B9,Data!$G:$G,"&lt;="&amp;AN$2,Data!$H:$H,"&gt;="&amp;AN$2)</f>
        <v>5000</v>
      </c>
      <c r="AO9" s="19">
        <f>SUMIFS(Data!$I:$I,Data!$B:$B,$B9,Data!$G:$G,"&lt;="&amp;AO$2,Data!$H:$H,"&gt;="&amp;AO$2)</f>
        <v>5000</v>
      </c>
      <c r="AP9" s="19">
        <f>SUMIFS(Data!$I:$I,Data!$B:$B,$B9,Data!$G:$G,"&lt;="&amp;AP$2,Data!$H:$H,"&gt;="&amp;AP$2)</f>
        <v>5000</v>
      </c>
      <c r="AQ9" s="19">
        <f>SUMIFS(Data!$I:$I,Data!$B:$B,$B9,Data!$G:$G,"&lt;="&amp;AQ$2,Data!$H:$H,"&gt;="&amp;AQ$2)</f>
        <v>5000</v>
      </c>
      <c r="AR9" s="19">
        <f>SUMIFS(Data!$I:$I,Data!$B:$B,$B9,Data!$G:$G,"&lt;="&amp;AR$2,Data!$H:$H,"&gt;="&amp;AR$2)</f>
        <v>5000</v>
      </c>
      <c r="AS9" s="19">
        <f>SUMIFS(Data!$I:$I,Data!$B:$B,$B9,Data!$G:$G,"&lt;="&amp;AS$2,Data!$H:$H,"&gt;="&amp;AS$2)</f>
        <v>5000</v>
      </c>
      <c r="AT9" s="19">
        <f>SUMIFS(Data!$I:$I,Data!$B:$B,$B9,Data!$G:$G,"&lt;="&amp;AT$2,Data!$H:$H,"&gt;="&amp;AT$2)</f>
        <v>5000</v>
      </c>
      <c r="AU9" s="19">
        <f>SUMIFS(Data!$I:$I,Data!$B:$B,$B9,Data!$G:$G,"&lt;="&amp;AU$2,Data!$H:$H,"&gt;="&amp;AU$2)</f>
        <v>5000</v>
      </c>
      <c r="AV9" s="19">
        <f>SUMIFS(Data!$I:$I,Data!$B:$B,$B9,Data!$G:$G,"&lt;="&amp;AV$2,Data!$H:$H,"&gt;="&amp;AV$2)</f>
        <v>5000</v>
      </c>
      <c r="AW9" s="19">
        <f>SUMIFS(Data!$I:$I,Data!$B:$B,$B9,Data!$G:$G,"&lt;="&amp;AW$2,Data!$H:$H,"&gt;="&amp;AW$2)</f>
        <v>5000</v>
      </c>
      <c r="AX9" s="19">
        <f>SUMIFS(Data!$I:$I,Data!$B:$B,$B9,Data!$G:$G,"&lt;="&amp;AX$2,Data!$H:$H,"&gt;="&amp;AX$2)</f>
        <v>5000</v>
      </c>
      <c r="AY9" s="19">
        <f>SUMIFS(Data!$I:$I,Data!$B:$B,$B9,Data!$G:$G,"&lt;="&amp;AY$2,Data!$H:$H,"&gt;="&amp;AY$2)</f>
        <v>5000</v>
      </c>
      <c r="AZ9" s="19">
        <f>SUMIFS(Data!$I:$I,Data!$B:$B,$B9,Data!$G:$G,"&lt;="&amp;AZ$2,Data!$H:$H,"&gt;="&amp;AZ$2)</f>
        <v>5000</v>
      </c>
      <c r="BA9" s="19">
        <f>SUMIFS(Data!$I:$I,Data!$B:$B,$B9,Data!$G:$G,"&lt;="&amp;BA$2,Data!$H:$H,"&gt;="&amp;BA$2)</f>
        <v>5000</v>
      </c>
      <c r="BB9" s="19">
        <f>SUMIFS(Data!$I:$I,Data!$B:$B,$B9,Data!$G:$G,"&lt;="&amp;BB$2,Data!$H:$H,"&gt;="&amp;BB$2)</f>
        <v>5000</v>
      </c>
      <c r="BC9" s="19">
        <f>SUMIFS(Data!$I:$I,Data!$B:$B,$B9,Data!$G:$G,"&lt;="&amp;BC$2,Data!$H:$H,"&gt;="&amp;BC$2)</f>
        <v>5000</v>
      </c>
      <c r="BD9" s="19">
        <f>SUMIFS(Data!$I:$I,Data!$B:$B,$B9,Data!$G:$G,"&lt;="&amp;BD$2,Data!$H:$H,"&gt;="&amp;BD$2)</f>
        <v>5000</v>
      </c>
      <c r="BE9" s="19">
        <f>SUMIFS(Data!$I:$I,Data!$B:$B,$B9,Data!$G:$G,"&lt;="&amp;BE$2,Data!$H:$H,"&gt;="&amp;BE$2)</f>
        <v>5000</v>
      </c>
      <c r="BF9" s="19">
        <f>SUMIFS(Data!$I:$I,Data!$B:$B,$B9,Data!$G:$G,"&lt;="&amp;BF$2,Data!$H:$H,"&gt;="&amp;BF$2)</f>
        <v>5000</v>
      </c>
      <c r="BG9" s="19">
        <f>SUMIFS(Data!$I:$I,Data!$B:$B,$B9,Data!$G:$G,"&lt;="&amp;BG$2,Data!$H:$H,"&gt;="&amp;BG$2)</f>
        <v>5000</v>
      </c>
      <c r="BH9" s="19">
        <f>SUMIFS(Data!$I:$I,Data!$B:$B,$B9,Data!$G:$G,"&lt;="&amp;BH$2,Data!$H:$H,"&gt;="&amp;BH$2)</f>
        <v>5000</v>
      </c>
      <c r="BI9" s="19">
        <f>SUMIFS(Data!$I:$I,Data!$B:$B,$B9,Data!$G:$G,"&lt;="&amp;BI$2,Data!$H:$H,"&gt;="&amp;BI$2)</f>
        <v>5000</v>
      </c>
      <c r="BJ9" s="19">
        <f>SUMIFS(Data!$I:$I,Data!$B:$B,$B9,Data!$G:$G,"&lt;="&amp;BJ$2,Data!$H:$H,"&gt;="&amp;BJ$2)</f>
        <v>5000</v>
      </c>
      <c r="BK9" s="19">
        <f>SUMIFS(Data!$I:$I,Data!$B:$B,$B9,Data!$G:$G,"&lt;="&amp;BK$2,Data!$H:$H,"&gt;="&amp;BK$2)</f>
        <v>5000</v>
      </c>
      <c r="BL9" s="19">
        <f>SUMIFS(Data!$I:$I,Data!$B:$B,$B9,Data!$G:$G,"&lt;="&amp;BL$2,Data!$H:$H,"&gt;="&amp;BL$2)</f>
        <v>5000</v>
      </c>
      <c r="BM9" s="19">
        <f>SUMIFS(Data!$I:$I,Data!$B:$B,$B9,Data!$G:$G,"&lt;="&amp;BM$2,Data!$H:$H,"&gt;="&amp;BM$2)</f>
        <v>5000</v>
      </c>
      <c r="BN9" s="19">
        <f>SUMIFS(Data!$I:$I,Data!$B:$B,$B9,Data!$G:$G,"&lt;="&amp;BN$2,Data!$H:$H,"&gt;="&amp;BN$2)</f>
        <v>5000</v>
      </c>
      <c r="BO9" s="19">
        <f>SUMIFS(Data!$I:$I,Data!$B:$B,$B9,Data!$G:$G,"&lt;="&amp;BO$2,Data!$H:$H,"&gt;="&amp;BO$2)</f>
        <v>5000</v>
      </c>
      <c r="BP9" s="19">
        <f>SUMIFS(Data!$I:$I,Data!$B:$B,$B9,Data!$G:$G,"&lt;="&amp;BP$2,Data!$H:$H,"&gt;="&amp;BP$2)</f>
        <v>5000</v>
      </c>
      <c r="BQ9" s="19">
        <f>SUMIFS(Data!$I:$I,Data!$B:$B,$B9,Data!$G:$G,"&lt;="&amp;BQ$2,Data!$H:$H,"&gt;="&amp;BQ$2)</f>
        <v>5000</v>
      </c>
      <c r="BR9" s="19">
        <f>SUMIFS(Data!$I:$I,Data!$B:$B,$B9,Data!$G:$G,"&lt;="&amp;BR$2,Data!$H:$H,"&gt;="&amp;BR$2)</f>
        <v>5000</v>
      </c>
      <c r="BS9" s="19">
        <f>SUMIFS(Data!$I:$I,Data!$B:$B,$B9,Data!$G:$G,"&lt;="&amp;BS$2,Data!$H:$H,"&gt;="&amp;BS$2)</f>
        <v>5000</v>
      </c>
      <c r="BT9" s="19">
        <f>SUMIFS(Data!$I:$I,Data!$B:$B,$B9,Data!$G:$G,"&lt;="&amp;BT$2,Data!$H:$H,"&gt;="&amp;BT$2)</f>
        <v>5000</v>
      </c>
      <c r="BU9" s="19">
        <f>SUMIFS(Data!$I:$I,Data!$B:$B,$B9,Data!$G:$G,"&lt;="&amp;BU$2,Data!$H:$H,"&gt;="&amp;BU$2)</f>
        <v>5000</v>
      </c>
      <c r="BV9" s="19">
        <f>SUMIFS(Data!$I:$I,Data!$B:$B,$B9,Data!$G:$G,"&lt;="&amp;BV$2,Data!$H:$H,"&gt;="&amp;BV$2)</f>
        <v>5000</v>
      </c>
      <c r="BW9" s="19">
        <f>SUMIFS(Data!$I:$I,Data!$B:$B,$B9,Data!$G:$G,"&lt;="&amp;BW$2,Data!$H:$H,"&gt;="&amp;BW$2)</f>
        <v>5000</v>
      </c>
      <c r="BX9" s="19">
        <f>SUMIFS(Data!$I:$I,Data!$B:$B,$B9,Data!$G:$G,"&lt;="&amp;BX$2,Data!$H:$H,"&gt;="&amp;BX$2)</f>
        <v>5000</v>
      </c>
      <c r="BY9" s="19">
        <f>SUMIFS(Data!$I:$I,Data!$B:$B,$B9,Data!$G:$G,"&lt;="&amp;BY$2,Data!$H:$H,"&gt;="&amp;BY$2)</f>
        <v>5000</v>
      </c>
      <c r="BZ9" s="19">
        <f>SUMIFS(Data!$I:$I,Data!$B:$B,$B9,Data!$G:$G,"&lt;="&amp;BZ$2,Data!$H:$H,"&gt;="&amp;BZ$2)</f>
        <v>5000</v>
      </c>
      <c r="CA9" s="20">
        <f t="shared" si="3"/>
        <v>394000</v>
      </c>
    </row>
    <row r="10" spans="2:79" x14ac:dyDescent="0.25">
      <c r="B10" s="11" t="s">
        <v>43</v>
      </c>
      <c r="C10" s="11" t="str">
        <f>VLOOKUP(B10,Data!B:C,2,FALSE)</f>
        <v>JREFI</v>
      </c>
      <c r="D10" s="19">
        <f>SUMIFS(Data!$I:$I,Data!$B:$B,$B10,Data!$G:$G,"&lt;="&amp;D$2,Data!$H:$H,"&gt;="&amp;D$2)</f>
        <v>0</v>
      </c>
      <c r="E10" s="19">
        <f>SUMIFS(Data!$I:$I,Data!$B:$B,$B10,Data!$G:$G,"&lt;="&amp;E$2,Data!$H:$H,"&gt;="&amp;E$2)</f>
        <v>0</v>
      </c>
      <c r="F10" s="19">
        <f>SUMIFS(Data!$I:$I,Data!$B:$B,$B10,Data!$G:$G,"&lt;="&amp;F$2,Data!$H:$H,"&gt;="&amp;F$2)</f>
        <v>0</v>
      </c>
      <c r="G10" s="19">
        <f>SUMIFS(Data!$I:$I,Data!$B:$B,$B10,Data!$G:$G,"&lt;="&amp;G$2,Data!$H:$H,"&gt;="&amp;G$2)</f>
        <v>2666.6666666666665</v>
      </c>
      <c r="H10" s="19">
        <f>SUMIFS(Data!$I:$I,Data!$B:$B,$B10,Data!$G:$G,"&lt;="&amp;H$2,Data!$H:$H,"&gt;="&amp;H$2)</f>
        <v>2666.6666666666665</v>
      </c>
      <c r="I10" s="19">
        <f>SUMIFS(Data!$I:$I,Data!$B:$B,$B10,Data!$G:$G,"&lt;="&amp;I$2,Data!$H:$H,"&gt;="&amp;I$2)</f>
        <v>2666.6666666666665</v>
      </c>
      <c r="J10" s="19">
        <f>SUMIFS(Data!$I:$I,Data!$B:$B,$B10,Data!$G:$G,"&lt;="&amp;J$2,Data!$H:$H,"&gt;="&amp;J$2)</f>
        <v>0</v>
      </c>
      <c r="K10" s="19">
        <f>SUMIFS(Data!$I:$I,Data!$B:$B,$B10,Data!$G:$G,"&lt;="&amp;K$2,Data!$H:$H,"&gt;="&amp;K$2)</f>
        <v>0</v>
      </c>
      <c r="L10" s="19">
        <f>SUMIFS(Data!$I:$I,Data!$B:$B,$B10,Data!$G:$G,"&lt;="&amp;L$2,Data!$H:$H,"&gt;="&amp;L$2)</f>
        <v>0</v>
      </c>
      <c r="M10" s="19">
        <f>SUMIFS(Data!$I:$I,Data!$B:$B,$B10,Data!$G:$G,"&lt;="&amp;M$2,Data!$H:$H,"&gt;="&amp;M$2)</f>
        <v>3333.3333333333335</v>
      </c>
      <c r="N10" s="19">
        <f>SUMIFS(Data!$I:$I,Data!$B:$B,$B10,Data!$G:$G,"&lt;="&amp;N$2,Data!$H:$H,"&gt;="&amp;N$2)</f>
        <v>3333.3333333333335</v>
      </c>
      <c r="O10" s="19">
        <f>SUMIFS(Data!$I:$I,Data!$B:$B,$B10,Data!$G:$G,"&lt;="&amp;O$2,Data!$H:$H,"&gt;="&amp;O$2)</f>
        <v>3333.3333333333335</v>
      </c>
      <c r="P10" s="19">
        <f>SUMIFS(Data!$I:$I,Data!$B:$B,$B10,Data!$G:$G,"&lt;="&amp;P$2,Data!$H:$H,"&gt;="&amp;P$2)</f>
        <v>10000</v>
      </c>
      <c r="Q10" s="19">
        <f>SUMIFS(Data!$I:$I,Data!$B:$B,$B10,Data!$G:$G,"&lt;="&amp;Q$2,Data!$H:$H,"&gt;="&amp;Q$2)</f>
        <v>10000</v>
      </c>
      <c r="R10" s="19">
        <f>SUMIFS(Data!$I:$I,Data!$B:$B,$B10,Data!$G:$G,"&lt;="&amp;R$2,Data!$H:$H,"&gt;="&amp;R$2)</f>
        <v>10000</v>
      </c>
      <c r="S10" s="19">
        <f>SUMIFS(Data!$I:$I,Data!$B:$B,$B10,Data!$G:$G,"&lt;="&amp;S$2,Data!$H:$H,"&gt;="&amp;S$2)</f>
        <v>0</v>
      </c>
      <c r="T10" s="19">
        <f>SUMIFS(Data!$I:$I,Data!$B:$B,$B10,Data!$G:$G,"&lt;="&amp;T$2,Data!$H:$H,"&gt;="&amp;T$2)</f>
        <v>0</v>
      </c>
      <c r="U10" s="19">
        <f>SUMIFS(Data!$I:$I,Data!$B:$B,$B10,Data!$G:$G,"&lt;="&amp;U$2,Data!$H:$H,"&gt;="&amp;U$2)</f>
        <v>0</v>
      </c>
      <c r="V10" s="19">
        <f>SUMIFS(Data!$I:$I,Data!$B:$B,$B10,Data!$G:$G,"&lt;="&amp;V$2,Data!$H:$H,"&gt;="&amp;V$2)</f>
        <v>0</v>
      </c>
      <c r="W10" s="19">
        <f>SUMIFS(Data!$I:$I,Data!$B:$B,$B10,Data!$G:$G,"&lt;="&amp;W$2,Data!$H:$H,"&gt;="&amp;W$2)</f>
        <v>0</v>
      </c>
      <c r="X10" s="19">
        <f>SUMIFS(Data!$I:$I,Data!$B:$B,$B10,Data!$G:$G,"&lt;="&amp;X$2,Data!$H:$H,"&gt;="&amp;X$2)</f>
        <v>0</v>
      </c>
      <c r="Y10" s="19">
        <f>SUMIFS(Data!$I:$I,Data!$B:$B,$B10,Data!$G:$G,"&lt;="&amp;Y$2,Data!$H:$H,"&gt;="&amp;Y$2)</f>
        <v>0</v>
      </c>
      <c r="Z10" s="19">
        <f>SUMIFS(Data!$I:$I,Data!$B:$B,$B10,Data!$G:$G,"&lt;="&amp;Z$2,Data!$H:$H,"&gt;="&amp;Z$2)</f>
        <v>0</v>
      </c>
      <c r="AA10" s="19">
        <f>SUMIFS(Data!$I:$I,Data!$B:$B,$B10,Data!$G:$G,"&lt;="&amp;AA$2,Data!$H:$H,"&gt;="&amp;AA$2)</f>
        <v>0</v>
      </c>
      <c r="AB10" s="19">
        <f>SUMIFS(Data!$I:$I,Data!$B:$B,$B10,Data!$G:$G,"&lt;="&amp;AB$2,Data!$H:$H,"&gt;="&amp;AB$2)</f>
        <v>0</v>
      </c>
      <c r="AC10" s="19">
        <f>SUMIFS(Data!$I:$I,Data!$B:$B,$B10,Data!$G:$G,"&lt;="&amp;AC$2,Data!$H:$H,"&gt;="&amp;AC$2)</f>
        <v>0</v>
      </c>
      <c r="AD10" s="19">
        <f>SUMIFS(Data!$I:$I,Data!$B:$B,$B10,Data!$G:$G,"&lt;="&amp;AD$2,Data!$H:$H,"&gt;="&amp;AD$2)</f>
        <v>0</v>
      </c>
      <c r="AE10" s="19">
        <f>SUMIFS(Data!$I:$I,Data!$B:$B,$B10,Data!$G:$G,"&lt;="&amp;AE$2,Data!$H:$H,"&gt;="&amp;AE$2)</f>
        <v>0</v>
      </c>
      <c r="AF10" s="19">
        <f>SUMIFS(Data!$I:$I,Data!$B:$B,$B10,Data!$G:$G,"&lt;="&amp;AF$2,Data!$H:$H,"&gt;="&amp;AF$2)</f>
        <v>0</v>
      </c>
      <c r="AG10" s="19">
        <f>SUMIFS(Data!$I:$I,Data!$B:$B,$B10,Data!$G:$G,"&lt;="&amp;AG$2,Data!$H:$H,"&gt;="&amp;AG$2)</f>
        <v>0</v>
      </c>
      <c r="AH10" s="19">
        <f>SUMIFS(Data!$I:$I,Data!$B:$B,$B10,Data!$G:$G,"&lt;="&amp;AH$2,Data!$H:$H,"&gt;="&amp;AH$2)</f>
        <v>0</v>
      </c>
      <c r="AI10" s="19">
        <f>SUMIFS(Data!$I:$I,Data!$B:$B,$B10,Data!$G:$G,"&lt;="&amp;AI$2,Data!$H:$H,"&gt;="&amp;AI$2)</f>
        <v>0</v>
      </c>
      <c r="AJ10" s="19">
        <f>SUMIFS(Data!$I:$I,Data!$B:$B,$B10,Data!$G:$G,"&lt;="&amp;AJ$2,Data!$H:$H,"&gt;="&amp;AJ$2)</f>
        <v>0</v>
      </c>
      <c r="AK10" s="19">
        <f>SUMIFS(Data!$I:$I,Data!$B:$B,$B10,Data!$G:$G,"&lt;="&amp;AK$2,Data!$H:$H,"&gt;="&amp;AK$2)</f>
        <v>0</v>
      </c>
      <c r="AL10" s="19">
        <f>SUMIFS(Data!$I:$I,Data!$B:$B,$B10,Data!$G:$G,"&lt;="&amp;AL$2,Data!$H:$H,"&gt;="&amp;AL$2)</f>
        <v>0</v>
      </c>
      <c r="AM10" s="19">
        <f>SUMIFS(Data!$I:$I,Data!$B:$B,$B10,Data!$G:$G,"&lt;="&amp;AM$2,Data!$H:$H,"&gt;="&amp;AM$2)</f>
        <v>0</v>
      </c>
      <c r="AN10" s="19">
        <f>SUMIFS(Data!$I:$I,Data!$B:$B,$B10,Data!$G:$G,"&lt;="&amp;AN$2,Data!$H:$H,"&gt;="&amp;AN$2)</f>
        <v>0</v>
      </c>
      <c r="AO10" s="19">
        <f>SUMIFS(Data!$I:$I,Data!$B:$B,$B10,Data!$G:$G,"&lt;="&amp;AO$2,Data!$H:$H,"&gt;="&amp;AO$2)</f>
        <v>0</v>
      </c>
      <c r="AP10" s="19">
        <f>SUMIFS(Data!$I:$I,Data!$B:$B,$B10,Data!$G:$G,"&lt;="&amp;AP$2,Data!$H:$H,"&gt;="&amp;AP$2)</f>
        <v>0</v>
      </c>
      <c r="AQ10" s="19">
        <f>SUMIFS(Data!$I:$I,Data!$B:$B,$B10,Data!$G:$G,"&lt;="&amp;AQ$2,Data!$H:$H,"&gt;="&amp;AQ$2)</f>
        <v>0</v>
      </c>
      <c r="AR10" s="19">
        <f>SUMIFS(Data!$I:$I,Data!$B:$B,$B10,Data!$G:$G,"&lt;="&amp;AR$2,Data!$H:$H,"&gt;="&amp;AR$2)</f>
        <v>0</v>
      </c>
      <c r="AS10" s="19">
        <f>SUMIFS(Data!$I:$I,Data!$B:$B,$B10,Data!$G:$G,"&lt;="&amp;AS$2,Data!$H:$H,"&gt;="&amp;AS$2)</f>
        <v>0</v>
      </c>
      <c r="AT10" s="19">
        <f>SUMIFS(Data!$I:$I,Data!$B:$B,$B10,Data!$G:$G,"&lt;="&amp;AT$2,Data!$H:$H,"&gt;="&amp;AT$2)</f>
        <v>0</v>
      </c>
      <c r="AU10" s="19">
        <f>SUMIFS(Data!$I:$I,Data!$B:$B,$B10,Data!$G:$G,"&lt;="&amp;AU$2,Data!$H:$H,"&gt;="&amp;AU$2)</f>
        <v>0</v>
      </c>
      <c r="AV10" s="19">
        <f>SUMIFS(Data!$I:$I,Data!$B:$B,$B10,Data!$G:$G,"&lt;="&amp;AV$2,Data!$H:$H,"&gt;="&amp;AV$2)</f>
        <v>0</v>
      </c>
      <c r="AW10" s="19">
        <f>SUMIFS(Data!$I:$I,Data!$B:$B,$B10,Data!$G:$G,"&lt;="&amp;AW$2,Data!$H:$H,"&gt;="&amp;AW$2)</f>
        <v>0</v>
      </c>
      <c r="AX10" s="19">
        <f>SUMIFS(Data!$I:$I,Data!$B:$B,$B10,Data!$G:$G,"&lt;="&amp;AX$2,Data!$H:$H,"&gt;="&amp;AX$2)</f>
        <v>0</v>
      </c>
      <c r="AY10" s="19">
        <f>SUMIFS(Data!$I:$I,Data!$B:$B,$B10,Data!$G:$G,"&lt;="&amp;AY$2,Data!$H:$H,"&gt;="&amp;AY$2)</f>
        <v>0</v>
      </c>
      <c r="AZ10" s="19">
        <f>SUMIFS(Data!$I:$I,Data!$B:$B,$B10,Data!$G:$G,"&lt;="&amp;AZ$2,Data!$H:$H,"&gt;="&amp;AZ$2)</f>
        <v>0</v>
      </c>
      <c r="BA10" s="19">
        <f>SUMIFS(Data!$I:$I,Data!$B:$B,$B10,Data!$G:$G,"&lt;="&amp;BA$2,Data!$H:$H,"&gt;="&amp;BA$2)</f>
        <v>0</v>
      </c>
      <c r="BB10" s="19">
        <f>SUMIFS(Data!$I:$I,Data!$B:$B,$B10,Data!$G:$G,"&lt;="&amp;BB$2,Data!$H:$H,"&gt;="&amp;BB$2)</f>
        <v>0</v>
      </c>
      <c r="BC10" s="19">
        <f>SUMIFS(Data!$I:$I,Data!$B:$B,$B10,Data!$G:$G,"&lt;="&amp;BC$2,Data!$H:$H,"&gt;="&amp;BC$2)</f>
        <v>0</v>
      </c>
      <c r="BD10" s="19">
        <f>SUMIFS(Data!$I:$I,Data!$B:$B,$B10,Data!$G:$G,"&lt;="&amp;BD$2,Data!$H:$H,"&gt;="&amp;BD$2)</f>
        <v>0</v>
      </c>
      <c r="BE10" s="19">
        <f>SUMIFS(Data!$I:$I,Data!$B:$B,$B10,Data!$G:$G,"&lt;="&amp;BE$2,Data!$H:$H,"&gt;="&amp;BE$2)</f>
        <v>0</v>
      </c>
      <c r="BF10" s="19">
        <f>SUMIFS(Data!$I:$I,Data!$B:$B,$B10,Data!$G:$G,"&lt;="&amp;BF$2,Data!$H:$H,"&gt;="&amp;BF$2)</f>
        <v>0</v>
      </c>
      <c r="BG10" s="19">
        <f>SUMIFS(Data!$I:$I,Data!$B:$B,$B10,Data!$G:$G,"&lt;="&amp;BG$2,Data!$H:$H,"&gt;="&amp;BG$2)</f>
        <v>0</v>
      </c>
      <c r="BH10" s="19">
        <f>SUMIFS(Data!$I:$I,Data!$B:$B,$B10,Data!$G:$G,"&lt;="&amp;BH$2,Data!$H:$H,"&gt;="&amp;BH$2)</f>
        <v>0</v>
      </c>
      <c r="BI10" s="19">
        <f>SUMIFS(Data!$I:$I,Data!$B:$B,$B10,Data!$G:$G,"&lt;="&amp;BI$2,Data!$H:$H,"&gt;="&amp;BI$2)</f>
        <v>0</v>
      </c>
      <c r="BJ10" s="19">
        <f>SUMIFS(Data!$I:$I,Data!$B:$B,$B10,Data!$G:$G,"&lt;="&amp;BJ$2,Data!$H:$H,"&gt;="&amp;BJ$2)</f>
        <v>0</v>
      </c>
      <c r="BK10" s="19">
        <f>SUMIFS(Data!$I:$I,Data!$B:$B,$B10,Data!$G:$G,"&lt;="&amp;BK$2,Data!$H:$H,"&gt;="&amp;BK$2)</f>
        <v>0</v>
      </c>
      <c r="BL10" s="19">
        <f>SUMIFS(Data!$I:$I,Data!$B:$B,$B10,Data!$G:$G,"&lt;="&amp;BL$2,Data!$H:$H,"&gt;="&amp;BL$2)</f>
        <v>0</v>
      </c>
      <c r="BM10" s="19">
        <f>SUMIFS(Data!$I:$I,Data!$B:$B,$B10,Data!$G:$G,"&lt;="&amp;BM$2,Data!$H:$H,"&gt;="&amp;BM$2)</f>
        <v>0</v>
      </c>
      <c r="BN10" s="19">
        <f>SUMIFS(Data!$I:$I,Data!$B:$B,$B10,Data!$G:$G,"&lt;="&amp;BN$2,Data!$H:$H,"&gt;="&amp;BN$2)</f>
        <v>0</v>
      </c>
      <c r="BO10" s="19">
        <f>SUMIFS(Data!$I:$I,Data!$B:$B,$B10,Data!$G:$G,"&lt;="&amp;BO$2,Data!$H:$H,"&gt;="&amp;BO$2)</f>
        <v>0</v>
      </c>
      <c r="BP10" s="19">
        <f>SUMIFS(Data!$I:$I,Data!$B:$B,$B10,Data!$G:$G,"&lt;="&amp;BP$2,Data!$H:$H,"&gt;="&amp;BP$2)</f>
        <v>0</v>
      </c>
      <c r="BQ10" s="19">
        <f>SUMIFS(Data!$I:$I,Data!$B:$B,$B10,Data!$G:$G,"&lt;="&amp;BQ$2,Data!$H:$H,"&gt;="&amp;BQ$2)</f>
        <v>0</v>
      </c>
      <c r="BR10" s="19">
        <f>SUMIFS(Data!$I:$I,Data!$B:$B,$B10,Data!$G:$G,"&lt;="&amp;BR$2,Data!$H:$H,"&gt;="&amp;BR$2)</f>
        <v>0</v>
      </c>
      <c r="BS10" s="19">
        <f>SUMIFS(Data!$I:$I,Data!$B:$B,$B10,Data!$G:$G,"&lt;="&amp;BS$2,Data!$H:$H,"&gt;="&amp;BS$2)</f>
        <v>0</v>
      </c>
      <c r="BT10" s="19">
        <f>SUMIFS(Data!$I:$I,Data!$B:$B,$B10,Data!$G:$G,"&lt;="&amp;BT$2,Data!$H:$H,"&gt;="&amp;BT$2)</f>
        <v>0</v>
      </c>
      <c r="BU10" s="19">
        <f>SUMIFS(Data!$I:$I,Data!$B:$B,$B10,Data!$G:$G,"&lt;="&amp;BU$2,Data!$H:$H,"&gt;="&amp;BU$2)</f>
        <v>0</v>
      </c>
      <c r="BV10" s="19">
        <f>SUMIFS(Data!$I:$I,Data!$B:$B,$B10,Data!$G:$G,"&lt;="&amp;BV$2,Data!$H:$H,"&gt;="&amp;BV$2)</f>
        <v>0</v>
      </c>
      <c r="BW10" s="19">
        <f>SUMIFS(Data!$I:$I,Data!$B:$B,$B10,Data!$G:$G,"&lt;="&amp;BW$2,Data!$H:$H,"&gt;="&amp;BW$2)</f>
        <v>0</v>
      </c>
      <c r="BX10" s="19">
        <f>SUMIFS(Data!$I:$I,Data!$B:$B,$B10,Data!$G:$G,"&lt;="&amp;BX$2,Data!$H:$H,"&gt;="&amp;BX$2)</f>
        <v>0</v>
      </c>
      <c r="BY10" s="19">
        <f>SUMIFS(Data!$I:$I,Data!$B:$B,$B10,Data!$G:$G,"&lt;="&amp;BY$2,Data!$H:$H,"&gt;="&amp;BY$2)</f>
        <v>0</v>
      </c>
      <c r="BZ10" s="19">
        <f>SUMIFS(Data!$I:$I,Data!$B:$B,$B10,Data!$G:$G,"&lt;="&amp;BZ$2,Data!$H:$H,"&gt;="&amp;BZ$2)</f>
        <v>0</v>
      </c>
      <c r="CA10" s="20">
        <f t="shared" si="3"/>
        <v>48000</v>
      </c>
    </row>
    <row r="11" spans="2:79" x14ac:dyDescent="0.25">
      <c r="B11" s="11" t="s">
        <v>46</v>
      </c>
      <c r="C11" s="11" t="str">
        <f>VLOOKUP(B11,Data!B:C,2,FALSE)</f>
        <v>JREFI</v>
      </c>
      <c r="D11" s="19">
        <f>SUMIFS(Data!$I:$I,Data!$B:$B,$B11,Data!$G:$G,"&lt;="&amp;D$2,Data!$H:$H,"&gt;="&amp;D$2)</f>
        <v>0</v>
      </c>
      <c r="E11" s="19">
        <f>SUMIFS(Data!$I:$I,Data!$B:$B,$B11,Data!$G:$G,"&lt;="&amp;E$2,Data!$H:$H,"&gt;="&amp;E$2)</f>
        <v>0</v>
      </c>
      <c r="F11" s="19">
        <f>SUMIFS(Data!$I:$I,Data!$B:$B,$B11,Data!$G:$G,"&lt;="&amp;F$2,Data!$H:$H,"&gt;="&amp;F$2)</f>
        <v>0</v>
      </c>
      <c r="G11" s="19">
        <f>SUMIFS(Data!$I:$I,Data!$B:$B,$B11,Data!$G:$G,"&lt;="&amp;G$2,Data!$H:$H,"&gt;="&amp;G$2)</f>
        <v>13333.333333333334</v>
      </c>
      <c r="H11" s="19">
        <f>SUMIFS(Data!$I:$I,Data!$B:$B,$B11,Data!$G:$G,"&lt;="&amp;H$2,Data!$H:$H,"&gt;="&amp;H$2)</f>
        <v>13333.333333333334</v>
      </c>
      <c r="I11" s="19">
        <f>SUMIFS(Data!$I:$I,Data!$B:$B,$B11,Data!$G:$G,"&lt;="&amp;I$2,Data!$H:$H,"&gt;="&amp;I$2)</f>
        <v>13333.333333333334</v>
      </c>
      <c r="J11" s="19">
        <f>SUMIFS(Data!$I:$I,Data!$B:$B,$B11,Data!$G:$G,"&lt;="&amp;J$2,Data!$H:$H,"&gt;="&amp;J$2)</f>
        <v>10000</v>
      </c>
      <c r="K11" s="19">
        <f>SUMIFS(Data!$I:$I,Data!$B:$B,$B11,Data!$G:$G,"&lt;="&amp;K$2,Data!$H:$H,"&gt;="&amp;K$2)</f>
        <v>10000</v>
      </c>
      <c r="L11" s="19">
        <f>SUMIFS(Data!$I:$I,Data!$B:$B,$B11,Data!$G:$G,"&lt;="&amp;L$2,Data!$H:$H,"&gt;="&amp;L$2)</f>
        <v>10000</v>
      </c>
      <c r="M11" s="19">
        <f>SUMIFS(Data!$I:$I,Data!$B:$B,$B11,Data!$G:$G,"&lt;="&amp;M$2,Data!$H:$H,"&gt;="&amp;M$2)</f>
        <v>4666.6666666666661</v>
      </c>
      <c r="N11" s="19">
        <f>SUMIFS(Data!$I:$I,Data!$B:$B,$B11,Data!$G:$G,"&lt;="&amp;N$2,Data!$H:$H,"&gt;="&amp;N$2)</f>
        <v>4666.6666666666661</v>
      </c>
      <c r="O11" s="19">
        <f>SUMIFS(Data!$I:$I,Data!$B:$B,$B11,Data!$G:$G,"&lt;="&amp;O$2,Data!$H:$H,"&gt;="&amp;O$2)</f>
        <v>4666.6666666666661</v>
      </c>
      <c r="P11" s="19">
        <f>SUMIFS(Data!$I:$I,Data!$B:$B,$B11,Data!$G:$G,"&lt;="&amp;P$2,Data!$H:$H,"&gt;="&amp;P$2)</f>
        <v>0</v>
      </c>
      <c r="Q11" s="19">
        <f>SUMIFS(Data!$I:$I,Data!$B:$B,$B11,Data!$G:$G,"&lt;="&amp;Q$2,Data!$H:$H,"&gt;="&amp;Q$2)</f>
        <v>0</v>
      </c>
      <c r="R11" s="19">
        <f>SUMIFS(Data!$I:$I,Data!$B:$B,$B11,Data!$G:$G,"&lt;="&amp;R$2,Data!$H:$H,"&gt;="&amp;R$2)</f>
        <v>0</v>
      </c>
      <c r="S11" s="19">
        <f>SUMIFS(Data!$I:$I,Data!$B:$B,$B11,Data!$G:$G,"&lt;="&amp;S$2,Data!$H:$H,"&gt;="&amp;S$2)</f>
        <v>0</v>
      </c>
      <c r="T11" s="19">
        <f>SUMIFS(Data!$I:$I,Data!$B:$B,$B11,Data!$G:$G,"&lt;="&amp;T$2,Data!$H:$H,"&gt;="&amp;T$2)</f>
        <v>0</v>
      </c>
      <c r="U11" s="19">
        <f>SUMIFS(Data!$I:$I,Data!$B:$B,$B11,Data!$G:$G,"&lt;="&amp;U$2,Data!$H:$H,"&gt;="&amp;U$2)</f>
        <v>0</v>
      </c>
      <c r="V11" s="19">
        <f>SUMIFS(Data!$I:$I,Data!$B:$B,$B11,Data!$G:$G,"&lt;="&amp;V$2,Data!$H:$H,"&gt;="&amp;V$2)</f>
        <v>0</v>
      </c>
      <c r="W11" s="19">
        <f>SUMIFS(Data!$I:$I,Data!$B:$B,$B11,Data!$G:$G,"&lt;="&amp;W$2,Data!$H:$H,"&gt;="&amp;W$2)</f>
        <v>0</v>
      </c>
      <c r="X11" s="19">
        <f>SUMIFS(Data!$I:$I,Data!$B:$B,$B11,Data!$G:$G,"&lt;="&amp;X$2,Data!$H:$H,"&gt;="&amp;X$2)</f>
        <v>0</v>
      </c>
      <c r="Y11" s="19">
        <f>SUMIFS(Data!$I:$I,Data!$B:$B,$B11,Data!$G:$G,"&lt;="&amp;Y$2,Data!$H:$H,"&gt;="&amp;Y$2)</f>
        <v>0</v>
      </c>
      <c r="Z11" s="19">
        <f>SUMIFS(Data!$I:$I,Data!$B:$B,$B11,Data!$G:$G,"&lt;="&amp;Z$2,Data!$H:$H,"&gt;="&amp;Z$2)</f>
        <v>0</v>
      </c>
      <c r="AA11" s="19">
        <f>SUMIFS(Data!$I:$I,Data!$B:$B,$B11,Data!$G:$G,"&lt;="&amp;AA$2,Data!$H:$H,"&gt;="&amp;AA$2)</f>
        <v>0</v>
      </c>
      <c r="AB11" s="19">
        <f>SUMIFS(Data!$I:$I,Data!$B:$B,$B11,Data!$G:$G,"&lt;="&amp;AB$2,Data!$H:$H,"&gt;="&amp;AB$2)</f>
        <v>0</v>
      </c>
      <c r="AC11" s="19">
        <f>SUMIFS(Data!$I:$I,Data!$B:$B,$B11,Data!$G:$G,"&lt;="&amp;AC$2,Data!$H:$H,"&gt;="&amp;AC$2)</f>
        <v>0</v>
      </c>
      <c r="AD11" s="19">
        <f>SUMIFS(Data!$I:$I,Data!$B:$B,$B11,Data!$G:$G,"&lt;="&amp;AD$2,Data!$H:$H,"&gt;="&amp;AD$2)</f>
        <v>0</v>
      </c>
      <c r="AE11" s="19">
        <f>SUMIFS(Data!$I:$I,Data!$B:$B,$B11,Data!$G:$G,"&lt;="&amp;AE$2,Data!$H:$H,"&gt;="&amp;AE$2)</f>
        <v>0</v>
      </c>
      <c r="AF11" s="19">
        <f>SUMIFS(Data!$I:$I,Data!$B:$B,$B11,Data!$G:$G,"&lt;="&amp;AF$2,Data!$H:$H,"&gt;="&amp;AF$2)</f>
        <v>0</v>
      </c>
      <c r="AG11" s="19">
        <f>SUMIFS(Data!$I:$I,Data!$B:$B,$B11,Data!$G:$G,"&lt;="&amp;AG$2,Data!$H:$H,"&gt;="&amp;AG$2)</f>
        <v>0</v>
      </c>
      <c r="AH11" s="19">
        <f>SUMIFS(Data!$I:$I,Data!$B:$B,$B11,Data!$G:$G,"&lt;="&amp;AH$2,Data!$H:$H,"&gt;="&amp;AH$2)</f>
        <v>0</v>
      </c>
      <c r="AI11" s="19">
        <f>SUMIFS(Data!$I:$I,Data!$B:$B,$B11,Data!$G:$G,"&lt;="&amp;AI$2,Data!$H:$H,"&gt;="&amp;AI$2)</f>
        <v>0</v>
      </c>
      <c r="AJ11" s="19">
        <f>SUMIFS(Data!$I:$I,Data!$B:$B,$B11,Data!$G:$G,"&lt;="&amp;AJ$2,Data!$H:$H,"&gt;="&amp;AJ$2)</f>
        <v>0</v>
      </c>
      <c r="AK11" s="19">
        <f>SUMIFS(Data!$I:$I,Data!$B:$B,$B11,Data!$G:$G,"&lt;="&amp;AK$2,Data!$H:$H,"&gt;="&amp;AK$2)</f>
        <v>0</v>
      </c>
      <c r="AL11" s="19">
        <f>SUMIFS(Data!$I:$I,Data!$B:$B,$B11,Data!$G:$G,"&lt;="&amp;AL$2,Data!$H:$H,"&gt;="&amp;AL$2)</f>
        <v>0</v>
      </c>
      <c r="AM11" s="19">
        <f>SUMIFS(Data!$I:$I,Data!$B:$B,$B11,Data!$G:$G,"&lt;="&amp;AM$2,Data!$H:$H,"&gt;="&amp;AM$2)</f>
        <v>0</v>
      </c>
      <c r="AN11" s="19">
        <f>SUMIFS(Data!$I:$I,Data!$B:$B,$B11,Data!$G:$G,"&lt;="&amp;AN$2,Data!$H:$H,"&gt;="&amp;AN$2)</f>
        <v>0</v>
      </c>
      <c r="AO11" s="19">
        <f>SUMIFS(Data!$I:$I,Data!$B:$B,$B11,Data!$G:$G,"&lt;="&amp;AO$2,Data!$H:$H,"&gt;="&amp;AO$2)</f>
        <v>0</v>
      </c>
      <c r="AP11" s="19">
        <f>SUMIFS(Data!$I:$I,Data!$B:$B,$B11,Data!$G:$G,"&lt;="&amp;AP$2,Data!$H:$H,"&gt;="&amp;AP$2)</f>
        <v>0</v>
      </c>
      <c r="AQ11" s="19">
        <f>SUMIFS(Data!$I:$I,Data!$B:$B,$B11,Data!$G:$G,"&lt;="&amp;AQ$2,Data!$H:$H,"&gt;="&amp;AQ$2)</f>
        <v>0</v>
      </c>
      <c r="AR11" s="19">
        <f>SUMIFS(Data!$I:$I,Data!$B:$B,$B11,Data!$G:$G,"&lt;="&amp;AR$2,Data!$H:$H,"&gt;="&amp;AR$2)</f>
        <v>0</v>
      </c>
      <c r="AS11" s="19">
        <f>SUMIFS(Data!$I:$I,Data!$B:$B,$B11,Data!$G:$G,"&lt;="&amp;AS$2,Data!$H:$H,"&gt;="&amp;AS$2)</f>
        <v>0</v>
      </c>
      <c r="AT11" s="19">
        <f>SUMIFS(Data!$I:$I,Data!$B:$B,$B11,Data!$G:$G,"&lt;="&amp;AT$2,Data!$H:$H,"&gt;="&amp;AT$2)</f>
        <v>0</v>
      </c>
      <c r="AU11" s="19">
        <f>SUMIFS(Data!$I:$I,Data!$B:$B,$B11,Data!$G:$G,"&lt;="&amp;AU$2,Data!$H:$H,"&gt;="&amp;AU$2)</f>
        <v>0</v>
      </c>
      <c r="AV11" s="19">
        <f>SUMIFS(Data!$I:$I,Data!$B:$B,$B11,Data!$G:$G,"&lt;="&amp;AV$2,Data!$H:$H,"&gt;="&amp;AV$2)</f>
        <v>0</v>
      </c>
      <c r="AW11" s="19">
        <f>SUMIFS(Data!$I:$I,Data!$B:$B,$B11,Data!$G:$G,"&lt;="&amp;AW$2,Data!$H:$H,"&gt;="&amp;AW$2)</f>
        <v>0</v>
      </c>
      <c r="AX11" s="19">
        <f>SUMIFS(Data!$I:$I,Data!$B:$B,$B11,Data!$G:$G,"&lt;="&amp;AX$2,Data!$H:$H,"&gt;="&amp;AX$2)</f>
        <v>0</v>
      </c>
      <c r="AY11" s="19">
        <f>SUMIFS(Data!$I:$I,Data!$B:$B,$B11,Data!$G:$G,"&lt;="&amp;AY$2,Data!$H:$H,"&gt;="&amp;AY$2)</f>
        <v>0</v>
      </c>
      <c r="AZ11" s="19">
        <f>SUMIFS(Data!$I:$I,Data!$B:$B,$B11,Data!$G:$G,"&lt;="&amp;AZ$2,Data!$H:$H,"&gt;="&amp;AZ$2)</f>
        <v>0</v>
      </c>
      <c r="BA11" s="19">
        <f>SUMIFS(Data!$I:$I,Data!$B:$B,$B11,Data!$G:$G,"&lt;="&amp;BA$2,Data!$H:$H,"&gt;="&amp;BA$2)</f>
        <v>0</v>
      </c>
      <c r="BB11" s="19">
        <f>SUMIFS(Data!$I:$I,Data!$B:$B,$B11,Data!$G:$G,"&lt;="&amp;BB$2,Data!$H:$H,"&gt;="&amp;BB$2)</f>
        <v>0</v>
      </c>
      <c r="BC11" s="19">
        <f>SUMIFS(Data!$I:$I,Data!$B:$B,$B11,Data!$G:$G,"&lt;="&amp;BC$2,Data!$H:$H,"&gt;="&amp;BC$2)</f>
        <v>0</v>
      </c>
      <c r="BD11" s="19">
        <f>SUMIFS(Data!$I:$I,Data!$B:$B,$B11,Data!$G:$G,"&lt;="&amp;BD$2,Data!$H:$H,"&gt;="&amp;BD$2)</f>
        <v>0</v>
      </c>
      <c r="BE11" s="19">
        <f>SUMIFS(Data!$I:$I,Data!$B:$B,$B11,Data!$G:$G,"&lt;="&amp;BE$2,Data!$H:$H,"&gt;="&amp;BE$2)</f>
        <v>0</v>
      </c>
      <c r="BF11" s="19">
        <f>SUMIFS(Data!$I:$I,Data!$B:$B,$B11,Data!$G:$G,"&lt;="&amp;BF$2,Data!$H:$H,"&gt;="&amp;BF$2)</f>
        <v>0</v>
      </c>
      <c r="BG11" s="19">
        <f>SUMIFS(Data!$I:$I,Data!$B:$B,$B11,Data!$G:$G,"&lt;="&amp;BG$2,Data!$H:$H,"&gt;="&amp;BG$2)</f>
        <v>0</v>
      </c>
      <c r="BH11" s="19">
        <f>SUMIFS(Data!$I:$I,Data!$B:$B,$B11,Data!$G:$G,"&lt;="&amp;BH$2,Data!$H:$H,"&gt;="&amp;BH$2)</f>
        <v>0</v>
      </c>
      <c r="BI11" s="19">
        <f>SUMIFS(Data!$I:$I,Data!$B:$B,$B11,Data!$G:$G,"&lt;="&amp;BI$2,Data!$H:$H,"&gt;="&amp;BI$2)</f>
        <v>0</v>
      </c>
      <c r="BJ11" s="19">
        <f>SUMIFS(Data!$I:$I,Data!$B:$B,$B11,Data!$G:$G,"&lt;="&amp;BJ$2,Data!$H:$H,"&gt;="&amp;BJ$2)</f>
        <v>0</v>
      </c>
      <c r="BK11" s="19">
        <f>SUMIFS(Data!$I:$I,Data!$B:$B,$B11,Data!$G:$G,"&lt;="&amp;BK$2,Data!$H:$H,"&gt;="&amp;BK$2)</f>
        <v>0</v>
      </c>
      <c r="BL11" s="19">
        <f>SUMIFS(Data!$I:$I,Data!$B:$B,$B11,Data!$G:$G,"&lt;="&amp;BL$2,Data!$H:$H,"&gt;="&amp;BL$2)</f>
        <v>0</v>
      </c>
      <c r="BM11" s="19">
        <f>SUMIFS(Data!$I:$I,Data!$B:$B,$B11,Data!$G:$G,"&lt;="&amp;BM$2,Data!$H:$H,"&gt;="&amp;BM$2)</f>
        <v>0</v>
      </c>
      <c r="BN11" s="19">
        <f>SUMIFS(Data!$I:$I,Data!$B:$B,$B11,Data!$G:$G,"&lt;="&amp;BN$2,Data!$H:$H,"&gt;="&amp;BN$2)</f>
        <v>0</v>
      </c>
      <c r="BO11" s="19">
        <f>SUMIFS(Data!$I:$I,Data!$B:$B,$B11,Data!$G:$G,"&lt;="&amp;BO$2,Data!$H:$H,"&gt;="&amp;BO$2)</f>
        <v>0</v>
      </c>
      <c r="BP11" s="19">
        <f>SUMIFS(Data!$I:$I,Data!$B:$B,$B11,Data!$G:$G,"&lt;="&amp;BP$2,Data!$H:$H,"&gt;="&amp;BP$2)</f>
        <v>0</v>
      </c>
      <c r="BQ11" s="19">
        <f>SUMIFS(Data!$I:$I,Data!$B:$B,$B11,Data!$G:$G,"&lt;="&amp;BQ$2,Data!$H:$H,"&gt;="&amp;BQ$2)</f>
        <v>0</v>
      </c>
      <c r="BR11" s="19">
        <f>SUMIFS(Data!$I:$I,Data!$B:$B,$B11,Data!$G:$G,"&lt;="&amp;BR$2,Data!$H:$H,"&gt;="&amp;BR$2)</f>
        <v>0</v>
      </c>
      <c r="BS11" s="19">
        <f>SUMIFS(Data!$I:$I,Data!$B:$B,$B11,Data!$G:$G,"&lt;="&amp;BS$2,Data!$H:$H,"&gt;="&amp;BS$2)</f>
        <v>0</v>
      </c>
      <c r="BT11" s="19">
        <f>SUMIFS(Data!$I:$I,Data!$B:$B,$B11,Data!$G:$G,"&lt;="&amp;BT$2,Data!$H:$H,"&gt;="&amp;BT$2)</f>
        <v>0</v>
      </c>
      <c r="BU11" s="19">
        <f>SUMIFS(Data!$I:$I,Data!$B:$B,$B11,Data!$G:$G,"&lt;="&amp;BU$2,Data!$H:$H,"&gt;="&amp;BU$2)</f>
        <v>0</v>
      </c>
      <c r="BV11" s="19">
        <f>SUMIFS(Data!$I:$I,Data!$B:$B,$B11,Data!$G:$G,"&lt;="&amp;BV$2,Data!$H:$H,"&gt;="&amp;BV$2)</f>
        <v>0</v>
      </c>
      <c r="BW11" s="19">
        <f>SUMIFS(Data!$I:$I,Data!$B:$B,$B11,Data!$G:$G,"&lt;="&amp;BW$2,Data!$H:$H,"&gt;="&amp;BW$2)</f>
        <v>0</v>
      </c>
      <c r="BX11" s="19">
        <f>SUMIFS(Data!$I:$I,Data!$B:$B,$B11,Data!$G:$G,"&lt;="&amp;BX$2,Data!$H:$H,"&gt;="&amp;BX$2)</f>
        <v>0</v>
      </c>
      <c r="BY11" s="19">
        <f>SUMIFS(Data!$I:$I,Data!$B:$B,$B11,Data!$G:$G,"&lt;="&amp;BY$2,Data!$H:$H,"&gt;="&amp;BY$2)</f>
        <v>0</v>
      </c>
      <c r="BZ11" s="19">
        <f>SUMIFS(Data!$I:$I,Data!$B:$B,$B11,Data!$G:$G,"&lt;="&amp;BZ$2,Data!$H:$H,"&gt;="&amp;BZ$2)</f>
        <v>0</v>
      </c>
      <c r="CA11" s="20">
        <f t="shared" si="3"/>
        <v>84000.000000000015</v>
      </c>
    </row>
    <row r="12" spans="2:79" x14ac:dyDescent="0.25">
      <c r="B12" s="11" t="s">
        <v>48</v>
      </c>
      <c r="C12" s="11" t="str">
        <f>VLOOKUP(B12,Data!B:C,2,FALSE)</f>
        <v>JREFI</v>
      </c>
      <c r="D12" s="19">
        <f>SUMIFS(Data!$I:$I,Data!$B:$B,$B12,Data!$G:$G,"&lt;="&amp;D$2,Data!$H:$H,"&gt;="&amp;D$2)</f>
        <v>0</v>
      </c>
      <c r="E12" s="19">
        <f>SUMIFS(Data!$I:$I,Data!$B:$B,$B12,Data!$G:$G,"&lt;="&amp;E$2,Data!$H:$H,"&gt;="&amp;E$2)</f>
        <v>0</v>
      </c>
      <c r="F12" s="19">
        <f>SUMIFS(Data!$I:$I,Data!$B:$B,$B12,Data!$G:$G,"&lt;="&amp;F$2,Data!$H:$H,"&gt;="&amp;F$2)</f>
        <v>0</v>
      </c>
      <c r="G12" s="19">
        <f>SUMIFS(Data!$I:$I,Data!$B:$B,$B12,Data!$G:$G,"&lt;="&amp;G$2,Data!$H:$H,"&gt;="&amp;G$2)</f>
        <v>246000</v>
      </c>
      <c r="H12" s="19">
        <f>SUMIFS(Data!$I:$I,Data!$B:$B,$B12,Data!$G:$G,"&lt;="&amp;H$2,Data!$H:$H,"&gt;="&amp;H$2)</f>
        <v>246000</v>
      </c>
      <c r="I12" s="19">
        <f>SUMIFS(Data!$I:$I,Data!$B:$B,$B12,Data!$G:$G,"&lt;="&amp;I$2,Data!$H:$H,"&gt;="&amp;I$2)</f>
        <v>246000</v>
      </c>
      <c r="J12" s="19">
        <f>SUMIFS(Data!$I:$I,Data!$B:$B,$B12,Data!$G:$G,"&lt;="&amp;J$2,Data!$H:$H,"&gt;="&amp;J$2)</f>
        <v>205000</v>
      </c>
      <c r="K12" s="19">
        <f>SUMIFS(Data!$I:$I,Data!$B:$B,$B12,Data!$G:$G,"&lt;="&amp;K$2,Data!$H:$H,"&gt;="&amp;K$2)</f>
        <v>205000</v>
      </c>
      <c r="L12" s="19">
        <f>SUMIFS(Data!$I:$I,Data!$B:$B,$B12,Data!$G:$G,"&lt;="&amp;L$2,Data!$H:$H,"&gt;="&amp;L$2)</f>
        <v>205000</v>
      </c>
      <c r="M12" s="19">
        <f>SUMIFS(Data!$I:$I,Data!$B:$B,$B12,Data!$G:$G,"&lt;="&amp;M$2,Data!$H:$H,"&gt;="&amp;M$2)</f>
        <v>266666.66666666669</v>
      </c>
      <c r="N12" s="19">
        <f>SUMIFS(Data!$I:$I,Data!$B:$B,$B12,Data!$G:$G,"&lt;="&amp;N$2,Data!$H:$H,"&gt;="&amp;N$2)</f>
        <v>266666.66666666669</v>
      </c>
      <c r="O12" s="19">
        <f>SUMIFS(Data!$I:$I,Data!$B:$B,$B12,Data!$G:$G,"&lt;="&amp;O$2,Data!$H:$H,"&gt;="&amp;O$2)</f>
        <v>266666.66666666669</v>
      </c>
      <c r="P12" s="19">
        <f>SUMIFS(Data!$I:$I,Data!$B:$B,$B12,Data!$G:$G,"&lt;="&amp;P$2,Data!$H:$H,"&gt;="&amp;P$2)</f>
        <v>224000</v>
      </c>
      <c r="Q12" s="19">
        <f>SUMIFS(Data!$I:$I,Data!$B:$B,$B12,Data!$G:$G,"&lt;="&amp;Q$2,Data!$H:$H,"&gt;="&amp;Q$2)</f>
        <v>224000</v>
      </c>
      <c r="R12" s="19">
        <f>SUMIFS(Data!$I:$I,Data!$B:$B,$B12,Data!$G:$G,"&lt;="&amp;R$2,Data!$H:$H,"&gt;="&amp;R$2)</f>
        <v>224000</v>
      </c>
      <c r="S12" s="19">
        <f>SUMIFS(Data!$I:$I,Data!$B:$B,$B12,Data!$G:$G,"&lt;="&amp;S$2,Data!$H:$H,"&gt;="&amp;S$2)</f>
        <v>0</v>
      </c>
      <c r="T12" s="19">
        <f>SUMIFS(Data!$I:$I,Data!$B:$B,$B12,Data!$G:$G,"&lt;="&amp;T$2,Data!$H:$H,"&gt;="&amp;T$2)</f>
        <v>0</v>
      </c>
      <c r="U12" s="19">
        <f>SUMIFS(Data!$I:$I,Data!$B:$B,$B12,Data!$G:$G,"&lt;="&amp;U$2,Data!$H:$H,"&gt;="&amp;U$2)</f>
        <v>0</v>
      </c>
      <c r="V12" s="19">
        <f>SUMIFS(Data!$I:$I,Data!$B:$B,$B12,Data!$G:$G,"&lt;="&amp;V$2,Data!$H:$H,"&gt;="&amp;V$2)</f>
        <v>0</v>
      </c>
      <c r="W12" s="19">
        <f>SUMIFS(Data!$I:$I,Data!$B:$B,$B12,Data!$G:$G,"&lt;="&amp;W$2,Data!$H:$H,"&gt;="&amp;W$2)</f>
        <v>0</v>
      </c>
      <c r="X12" s="19">
        <f>SUMIFS(Data!$I:$I,Data!$B:$B,$B12,Data!$G:$G,"&lt;="&amp;X$2,Data!$H:$H,"&gt;="&amp;X$2)</f>
        <v>0</v>
      </c>
      <c r="Y12" s="19">
        <f>SUMIFS(Data!$I:$I,Data!$B:$B,$B12,Data!$G:$G,"&lt;="&amp;Y$2,Data!$H:$H,"&gt;="&amp;Y$2)</f>
        <v>0</v>
      </c>
      <c r="Z12" s="19">
        <f>SUMIFS(Data!$I:$I,Data!$B:$B,$B12,Data!$G:$G,"&lt;="&amp;Z$2,Data!$H:$H,"&gt;="&amp;Z$2)</f>
        <v>0</v>
      </c>
      <c r="AA12" s="19">
        <f>SUMIFS(Data!$I:$I,Data!$B:$B,$B12,Data!$G:$G,"&lt;="&amp;AA$2,Data!$H:$H,"&gt;="&amp;AA$2)</f>
        <v>0</v>
      </c>
      <c r="AB12" s="19">
        <f>SUMIFS(Data!$I:$I,Data!$B:$B,$B12,Data!$G:$G,"&lt;="&amp;AB$2,Data!$H:$H,"&gt;="&amp;AB$2)</f>
        <v>0</v>
      </c>
      <c r="AC12" s="19">
        <f>SUMIFS(Data!$I:$I,Data!$B:$B,$B12,Data!$G:$G,"&lt;="&amp;AC$2,Data!$H:$H,"&gt;="&amp;AC$2)</f>
        <v>0</v>
      </c>
      <c r="AD12" s="19">
        <f>SUMIFS(Data!$I:$I,Data!$B:$B,$B12,Data!$G:$G,"&lt;="&amp;AD$2,Data!$H:$H,"&gt;="&amp;AD$2)</f>
        <v>0</v>
      </c>
      <c r="AE12" s="19">
        <f>SUMIFS(Data!$I:$I,Data!$B:$B,$B12,Data!$G:$G,"&lt;="&amp;AE$2,Data!$H:$H,"&gt;="&amp;AE$2)</f>
        <v>0</v>
      </c>
      <c r="AF12" s="19">
        <f>SUMIFS(Data!$I:$I,Data!$B:$B,$B12,Data!$G:$G,"&lt;="&amp;AF$2,Data!$H:$H,"&gt;="&amp;AF$2)</f>
        <v>0</v>
      </c>
      <c r="AG12" s="19">
        <f>SUMIFS(Data!$I:$I,Data!$B:$B,$B12,Data!$G:$G,"&lt;="&amp;AG$2,Data!$H:$H,"&gt;="&amp;AG$2)</f>
        <v>0</v>
      </c>
      <c r="AH12" s="19">
        <f>SUMIFS(Data!$I:$I,Data!$B:$B,$B12,Data!$G:$G,"&lt;="&amp;AH$2,Data!$H:$H,"&gt;="&amp;AH$2)</f>
        <v>0</v>
      </c>
      <c r="AI12" s="19">
        <f>SUMIFS(Data!$I:$I,Data!$B:$B,$B12,Data!$G:$G,"&lt;="&amp;AI$2,Data!$H:$H,"&gt;="&amp;AI$2)</f>
        <v>0</v>
      </c>
      <c r="AJ12" s="19">
        <f>SUMIFS(Data!$I:$I,Data!$B:$B,$B12,Data!$G:$G,"&lt;="&amp;AJ$2,Data!$H:$H,"&gt;="&amp;AJ$2)</f>
        <v>0</v>
      </c>
      <c r="AK12" s="19">
        <f>SUMIFS(Data!$I:$I,Data!$B:$B,$B12,Data!$G:$G,"&lt;="&amp;AK$2,Data!$H:$H,"&gt;="&amp;AK$2)</f>
        <v>0</v>
      </c>
      <c r="AL12" s="19">
        <f>SUMIFS(Data!$I:$I,Data!$B:$B,$B12,Data!$G:$G,"&lt;="&amp;AL$2,Data!$H:$H,"&gt;="&amp;AL$2)</f>
        <v>0</v>
      </c>
      <c r="AM12" s="19">
        <f>SUMIFS(Data!$I:$I,Data!$B:$B,$B12,Data!$G:$G,"&lt;="&amp;AM$2,Data!$H:$H,"&gt;="&amp;AM$2)</f>
        <v>0</v>
      </c>
      <c r="AN12" s="19">
        <f>SUMIFS(Data!$I:$I,Data!$B:$B,$B12,Data!$G:$G,"&lt;="&amp;AN$2,Data!$H:$H,"&gt;="&amp;AN$2)</f>
        <v>0</v>
      </c>
      <c r="AO12" s="19">
        <f>SUMIFS(Data!$I:$I,Data!$B:$B,$B12,Data!$G:$G,"&lt;="&amp;AO$2,Data!$H:$H,"&gt;="&amp;AO$2)</f>
        <v>0</v>
      </c>
      <c r="AP12" s="19">
        <f>SUMIFS(Data!$I:$I,Data!$B:$B,$B12,Data!$G:$G,"&lt;="&amp;AP$2,Data!$H:$H,"&gt;="&amp;AP$2)</f>
        <v>0</v>
      </c>
      <c r="AQ12" s="19">
        <f>SUMIFS(Data!$I:$I,Data!$B:$B,$B12,Data!$G:$G,"&lt;="&amp;AQ$2,Data!$H:$H,"&gt;="&amp;AQ$2)</f>
        <v>0</v>
      </c>
      <c r="AR12" s="19">
        <f>SUMIFS(Data!$I:$I,Data!$B:$B,$B12,Data!$G:$G,"&lt;="&amp;AR$2,Data!$H:$H,"&gt;="&amp;AR$2)</f>
        <v>0</v>
      </c>
      <c r="AS12" s="19">
        <f>SUMIFS(Data!$I:$I,Data!$B:$B,$B12,Data!$G:$G,"&lt;="&amp;AS$2,Data!$H:$H,"&gt;="&amp;AS$2)</f>
        <v>0</v>
      </c>
      <c r="AT12" s="19">
        <f>SUMIFS(Data!$I:$I,Data!$B:$B,$B12,Data!$G:$G,"&lt;="&amp;AT$2,Data!$H:$H,"&gt;="&amp;AT$2)</f>
        <v>0</v>
      </c>
      <c r="AU12" s="19">
        <f>SUMIFS(Data!$I:$I,Data!$B:$B,$B12,Data!$G:$G,"&lt;="&amp;AU$2,Data!$H:$H,"&gt;="&amp;AU$2)</f>
        <v>0</v>
      </c>
      <c r="AV12" s="19">
        <f>SUMIFS(Data!$I:$I,Data!$B:$B,$B12,Data!$G:$G,"&lt;="&amp;AV$2,Data!$H:$H,"&gt;="&amp;AV$2)</f>
        <v>0</v>
      </c>
      <c r="AW12" s="19">
        <f>SUMIFS(Data!$I:$I,Data!$B:$B,$B12,Data!$G:$G,"&lt;="&amp;AW$2,Data!$H:$H,"&gt;="&amp;AW$2)</f>
        <v>0</v>
      </c>
      <c r="AX12" s="19">
        <f>SUMIFS(Data!$I:$I,Data!$B:$B,$B12,Data!$G:$G,"&lt;="&amp;AX$2,Data!$H:$H,"&gt;="&amp;AX$2)</f>
        <v>0</v>
      </c>
      <c r="AY12" s="19">
        <f>SUMIFS(Data!$I:$I,Data!$B:$B,$B12,Data!$G:$G,"&lt;="&amp;AY$2,Data!$H:$H,"&gt;="&amp;AY$2)</f>
        <v>0</v>
      </c>
      <c r="AZ12" s="19">
        <f>SUMIFS(Data!$I:$I,Data!$B:$B,$B12,Data!$G:$G,"&lt;="&amp;AZ$2,Data!$H:$H,"&gt;="&amp;AZ$2)</f>
        <v>0</v>
      </c>
      <c r="BA12" s="19">
        <f>SUMIFS(Data!$I:$I,Data!$B:$B,$B12,Data!$G:$G,"&lt;="&amp;BA$2,Data!$H:$H,"&gt;="&amp;BA$2)</f>
        <v>0</v>
      </c>
      <c r="BB12" s="19">
        <f>SUMIFS(Data!$I:$I,Data!$B:$B,$B12,Data!$G:$G,"&lt;="&amp;BB$2,Data!$H:$H,"&gt;="&amp;BB$2)</f>
        <v>0</v>
      </c>
      <c r="BC12" s="19">
        <f>SUMIFS(Data!$I:$I,Data!$B:$B,$B12,Data!$G:$G,"&lt;="&amp;BC$2,Data!$H:$H,"&gt;="&amp;BC$2)</f>
        <v>0</v>
      </c>
      <c r="BD12" s="19">
        <f>SUMIFS(Data!$I:$I,Data!$B:$B,$B12,Data!$G:$G,"&lt;="&amp;BD$2,Data!$H:$H,"&gt;="&amp;BD$2)</f>
        <v>0</v>
      </c>
      <c r="BE12" s="19">
        <f>SUMIFS(Data!$I:$I,Data!$B:$B,$B12,Data!$G:$G,"&lt;="&amp;BE$2,Data!$H:$H,"&gt;="&amp;BE$2)</f>
        <v>0</v>
      </c>
      <c r="BF12" s="19">
        <f>SUMIFS(Data!$I:$I,Data!$B:$B,$B12,Data!$G:$G,"&lt;="&amp;BF$2,Data!$H:$H,"&gt;="&amp;BF$2)</f>
        <v>0</v>
      </c>
      <c r="BG12" s="19">
        <f>SUMIFS(Data!$I:$I,Data!$B:$B,$B12,Data!$G:$G,"&lt;="&amp;BG$2,Data!$H:$H,"&gt;="&amp;BG$2)</f>
        <v>0</v>
      </c>
      <c r="BH12" s="19">
        <f>SUMIFS(Data!$I:$I,Data!$B:$B,$B12,Data!$G:$G,"&lt;="&amp;BH$2,Data!$H:$H,"&gt;="&amp;BH$2)</f>
        <v>0</v>
      </c>
      <c r="BI12" s="19">
        <f>SUMIFS(Data!$I:$I,Data!$B:$B,$B12,Data!$G:$G,"&lt;="&amp;BI$2,Data!$H:$H,"&gt;="&amp;BI$2)</f>
        <v>0</v>
      </c>
      <c r="BJ12" s="19">
        <f>SUMIFS(Data!$I:$I,Data!$B:$B,$B12,Data!$G:$G,"&lt;="&amp;BJ$2,Data!$H:$H,"&gt;="&amp;BJ$2)</f>
        <v>0</v>
      </c>
      <c r="BK12" s="19">
        <f>SUMIFS(Data!$I:$I,Data!$B:$B,$B12,Data!$G:$G,"&lt;="&amp;BK$2,Data!$H:$H,"&gt;="&amp;BK$2)</f>
        <v>0</v>
      </c>
      <c r="BL12" s="19">
        <f>SUMIFS(Data!$I:$I,Data!$B:$B,$B12,Data!$G:$G,"&lt;="&amp;BL$2,Data!$H:$H,"&gt;="&amp;BL$2)</f>
        <v>0</v>
      </c>
      <c r="BM12" s="19">
        <f>SUMIFS(Data!$I:$I,Data!$B:$B,$B12,Data!$G:$G,"&lt;="&amp;BM$2,Data!$H:$H,"&gt;="&amp;BM$2)</f>
        <v>0</v>
      </c>
      <c r="BN12" s="19">
        <f>SUMIFS(Data!$I:$I,Data!$B:$B,$B12,Data!$G:$G,"&lt;="&amp;BN$2,Data!$H:$H,"&gt;="&amp;BN$2)</f>
        <v>0</v>
      </c>
      <c r="BO12" s="19">
        <f>SUMIFS(Data!$I:$I,Data!$B:$B,$B12,Data!$G:$G,"&lt;="&amp;BO$2,Data!$H:$H,"&gt;="&amp;BO$2)</f>
        <v>0</v>
      </c>
      <c r="BP12" s="19">
        <f>SUMIFS(Data!$I:$I,Data!$B:$B,$B12,Data!$G:$G,"&lt;="&amp;BP$2,Data!$H:$H,"&gt;="&amp;BP$2)</f>
        <v>0</v>
      </c>
      <c r="BQ12" s="19">
        <f>SUMIFS(Data!$I:$I,Data!$B:$B,$B12,Data!$G:$G,"&lt;="&amp;BQ$2,Data!$H:$H,"&gt;="&amp;BQ$2)</f>
        <v>0</v>
      </c>
      <c r="BR12" s="19">
        <f>SUMIFS(Data!$I:$I,Data!$B:$B,$B12,Data!$G:$G,"&lt;="&amp;BR$2,Data!$H:$H,"&gt;="&amp;BR$2)</f>
        <v>0</v>
      </c>
      <c r="BS12" s="19">
        <f>SUMIFS(Data!$I:$I,Data!$B:$B,$B12,Data!$G:$G,"&lt;="&amp;BS$2,Data!$H:$H,"&gt;="&amp;BS$2)</f>
        <v>0</v>
      </c>
      <c r="BT12" s="19">
        <f>SUMIFS(Data!$I:$I,Data!$B:$B,$B12,Data!$G:$G,"&lt;="&amp;BT$2,Data!$H:$H,"&gt;="&amp;BT$2)</f>
        <v>0</v>
      </c>
      <c r="BU12" s="19">
        <f>SUMIFS(Data!$I:$I,Data!$B:$B,$B12,Data!$G:$G,"&lt;="&amp;BU$2,Data!$H:$H,"&gt;="&amp;BU$2)</f>
        <v>0</v>
      </c>
      <c r="BV12" s="19">
        <f>SUMIFS(Data!$I:$I,Data!$B:$B,$B12,Data!$G:$G,"&lt;="&amp;BV$2,Data!$H:$H,"&gt;="&amp;BV$2)</f>
        <v>0</v>
      </c>
      <c r="BW12" s="19">
        <f>SUMIFS(Data!$I:$I,Data!$B:$B,$B12,Data!$G:$G,"&lt;="&amp;BW$2,Data!$H:$H,"&gt;="&amp;BW$2)</f>
        <v>0</v>
      </c>
      <c r="BX12" s="19">
        <f>SUMIFS(Data!$I:$I,Data!$B:$B,$B12,Data!$G:$G,"&lt;="&amp;BX$2,Data!$H:$H,"&gt;="&amp;BX$2)</f>
        <v>0</v>
      </c>
      <c r="BY12" s="19">
        <f>SUMIFS(Data!$I:$I,Data!$B:$B,$B12,Data!$G:$G,"&lt;="&amp;BY$2,Data!$H:$H,"&gt;="&amp;BY$2)</f>
        <v>0</v>
      </c>
      <c r="BZ12" s="19">
        <f>SUMIFS(Data!$I:$I,Data!$B:$B,$B12,Data!$G:$G,"&lt;="&amp;BZ$2,Data!$H:$H,"&gt;="&amp;BZ$2)</f>
        <v>0</v>
      </c>
      <c r="CA12" s="20">
        <f t="shared" si="3"/>
        <v>2825000</v>
      </c>
    </row>
    <row r="13" spans="2:79" x14ac:dyDescent="0.25">
      <c r="B13" s="11" t="s">
        <v>56</v>
      </c>
      <c r="C13" s="11" t="str">
        <f>VLOOKUP(B13,Data!B:C,2,FALSE)</f>
        <v>JREFI</v>
      </c>
      <c r="D13" s="19">
        <f>SUMIFS(Data!$I:$I,Data!$B:$B,$B13,Data!$G:$G,"&lt;="&amp;D$2,Data!$H:$H,"&gt;="&amp;D$2)</f>
        <v>0</v>
      </c>
      <c r="E13" s="19">
        <f>SUMIFS(Data!$I:$I,Data!$B:$B,$B13,Data!$G:$G,"&lt;="&amp;E$2,Data!$H:$H,"&gt;="&amp;E$2)</f>
        <v>0</v>
      </c>
      <c r="F13" s="19">
        <f>SUMIFS(Data!$I:$I,Data!$B:$B,$B13,Data!$G:$G,"&lt;="&amp;F$2,Data!$H:$H,"&gt;="&amp;F$2)</f>
        <v>0</v>
      </c>
      <c r="G13" s="19">
        <f>SUMIFS(Data!$I:$I,Data!$B:$B,$B13,Data!$G:$G,"&lt;="&amp;G$2,Data!$H:$H,"&gt;="&amp;G$2)</f>
        <v>6666.666666666667</v>
      </c>
      <c r="H13" s="19">
        <f>SUMIFS(Data!$I:$I,Data!$B:$B,$B13,Data!$G:$G,"&lt;="&amp;H$2,Data!$H:$H,"&gt;="&amp;H$2)</f>
        <v>6666.666666666667</v>
      </c>
      <c r="I13" s="19">
        <f>SUMIFS(Data!$I:$I,Data!$B:$B,$B13,Data!$G:$G,"&lt;="&amp;I$2,Data!$H:$H,"&gt;="&amp;I$2)</f>
        <v>6666.666666666667</v>
      </c>
      <c r="J13" s="19">
        <f>SUMIFS(Data!$I:$I,Data!$B:$B,$B13,Data!$G:$G,"&lt;="&amp;J$2,Data!$H:$H,"&gt;="&amp;J$2)</f>
        <v>3333.3333333333335</v>
      </c>
      <c r="K13" s="19">
        <f>SUMIFS(Data!$I:$I,Data!$B:$B,$B13,Data!$G:$G,"&lt;="&amp;K$2,Data!$H:$H,"&gt;="&amp;K$2)</f>
        <v>3333.3333333333335</v>
      </c>
      <c r="L13" s="19">
        <f>SUMIFS(Data!$I:$I,Data!$B:$B,$B13,Data!$G:$G,"&lt;="&amp;L$2,Data!$H:$H,"&gt;="&amp;L$2)</f>
        <v>3333.3333333333335</v>
      </c>
      <c r="M13" s="19">
        <f>SUMIFS(Data!$I:$I,Data!$B:$B,$B13,Data!$G:$G,"&lt;="&amp;M$2,Data!$H:$H,"&gt;="&amp;M$2)</f>
        <v>21666.666666666668</v>
      </c>
      <c r="N13" s="19">
        <f>SUMIFS(Data!$I:$I,Data!$B:$B,$B13,Data!$G:$G,"&lt;="&amp;N$2,Data!$H:$H,"&gt;="&amp;N$2)</f>
        <v>21666.666666666668</v>
      </c>
      <c r="O13" s="19">
        <f>SUMIFS(Data!$I:$I,Data!$B:$B,$B13,Data!$G:$G,"&lt;="&amp;O$2,Data!$H:$H,"&gt;="&amp;O$2)</f>
        <v>21666.666666666668</v>
      </c>
      <c r="P13" s="19">
        <f>SUMIFS(Data!$I:$I,Data!$B:$B,$B13,Data!$G:$G,"&lt;="&amp;P$2,Data!$H:$H,"&gt;="&amp;P$2)</f>
        <v>0</v>
      </c>
      <c r="Q13" s="19">
        <f>SUMIFS(Data!$I:$I,Data!$B:$B,$B13,Data!$G:$G,"&lt;="&amp;Q$2,Data!$H:$H,"&gt;="&amp;Q$2)</f>
        <v>0</v>
      </c>
      <c r="R13" s="19">
        <f>SUMIFS(Data!$I:$I,Data!$B:$B,$B13,Data!$G:$G,"&lt;="&amp;R$2,Data!$H:$H,"&gt;="&amp;R$2)</f>
        <v>0</v>
      </c>
      <c r="S13" s="19">
        <f>SUMIFS(Data!$I:$I,Data!$B:$B,$B13,Data!$G:$G,"&lt;="&amp;S$2,Data!$H:$H,"&gt;="&amp;S$2)</f>
        <v>0</v>
      </c>
      <c r="T13" s="19">
        <f>SUMIFS(Data!$I:$I,Data!$B:$B,$B13,Data!$G:$G,"&lt;="&amp;T$2,Data!$H:$H,"&gt;="&amp;T$2)</f>
        <v>0</v>
      </c>
      <c r="U13" s="19">
        <f>SUMIFS(Data!$I:$I,Data!$B:$B,$B13,Data!$G:$G,"&lt;="&amp;U$2,Data!$H:$H,"&gt;="&amp;U$2)</f>
        <v>0</v>
      </c>
      <c r="V13" s="19">
        <f>SUMIFS(Data!$I:$I,Data!$B:$B,$B13,Data!$G:$G,"&lt;="&amp;V$2,Data!$H:$H,"&gt;="&amp;V$2)</f>
        <v>0</v>
      </c>
      <c r="W13" s="19">
        <f>SUMIFS(Data!$I:$I,Data!$B:$B,$B13,Data!$G:$G,"&lt;="&amp;W$2,Data!$H:$H,"&gt;="&amp;W$2)</f>
        <v>0</v>
      </c>
      <c r="X13" s="19">
        <f>SUMIFS(Data!$I:$I,Data!$B:$B,$B13,Data!$G:$G,"&lt;="&amp;X$2,Data!$H:$H,"&gt;="&amp;X$2)</f>
        <v>0</v>
      </c>
      <c r="Y13" s="19">
        <f>SUMIFS(Data!$I:$I,Data!$B:$B,$B13,Data!$G:$G,"&lt;="&amp;Y$2,Data!$H:$H,"&gt;="&amp;Y$2)</f>
        <v>0</v>
      </c>
      <c r="Z13" s="19">
        <f>SUMIFS(Data!$I:$I,Data!$B:$B,$B13,Data!$G:$G,"&lt;="&amp;Z$2,Data!$H:$H,"&gt;="&amp;Z$2)</f>
        <v>0</v>
      </c>
      <c r="AA13" s="19">
        <f>SUMIFS(Data!$I:$I,Data!$B:$B,$B13,Data!$G:$G,"&lt;="&amp;AA$2,Data!$H:$H,"&gt;="&amp;AA$2)</f>
        <v>0</v>
      </c>
      <c r="AB13" s="19">
        <f>SUMIFS(Data!$I:$I,Data!$B:$B,$B13,Data!$G:$G,"&lt;="&amp;AB$2,Data!$H:$H,"&gt;="&amp;AB$2)</f>
        <v>0</v>
      </c>
      <c r="AC13" s="19">
        <f>SUMIFS(Data!$I:$I,Data!$B:$B,$B13,Data!$G:$G,"&lt;="&amp;AC$2,Data!$H:$H,"&gt;="&amp;AC$2)</f>
        <v>0</v>
      </c>
      <c r="AD13" s="19">
        <f>SUMIFS(Data!$I:$I,Data!$B:$B,$B13,Data!$G:$G,"&lt;="&amp;AD$2,Data!$H:$H,"&gt;="&amp;AD$2)</f>
        <v>0</v>
      </c>
      <c r="AE13" s="19">
        <f>SUMIFS(Data!$I:$I,Data!$B:$B,$B13,Data!$G:$G,"&lt;="&amp;AE$2,Data!$H:$H,"&gt;="&amp;AE$2)</f>
        <v>0</v>
      </c>
      <c r="AF13" s="19">
        <f>SUMIFS(Data!$I:$I,Data!$B:$B,$B13,Data!$G:$G,"&lt;="&amp;AF$2,Data!$H:$H,"&gt;="&amp;AF$2)</f>
        <v>0</v>
      </c>
      <c r="AG13" s="19">
        <f>SUMIFS(Data!$I:$I,Data!$B:$B,$B13,Data!$G:$G,"&lt;="&amp;AG$2,Data!$H:$H,"&gt;="&amp;AG$2)</f>
        <v>0</v>
      </c>
      <c r="AH13" s="19">
        <f>SUMIFS(Data!$I:$I,Data!$B:$B,$B13,Data!$G:$G,"&lt;="&amp;AH$2,Data!$H:$H,"&gt;="&amp;AH$2)</f>
        <v>0</v>
      </c>
      <c r="AI13" s="19">
        <f>SUMIFS(Data!$I:$I,Data!$B:$B,$B13,Data!$G:$G,"&lt;="&amp;AI$2,Data!$H:$H,"&gt;="&amp;AI$2)</f>
        <v>0</v>
      </c>
      <c r="AJ13" s="19">
        <f>SUMIFS(Data!$I:$I,Data!$B:$B,$B13,Data!$G:$G,"&lt;="&amp;AJ$2,Data!$H:$H,"&gt;="&amp;AJ$2)</f>
        <v>0</v>
      </c>
      <c r="AK13" s="19">
        <f>SUMIFS(Data!$I:$I,Data!$B:$B,$B13,Data!$G:$G,"&lt;="&amp;AK$2,Data!$H:$H,"&gt;="&amp;AK$2)</f>
        <v>0</v>
      </c>
      <c r="AL13" s="19">
        <f>SUMIFS(Data!$I:$I,Data!$B:$B,$B13,Data!$G:$G,"&lt;="&amp;AL$2,Data!$H:$H,"&gt;="&amp;AL$2)</f>
        <v>0</v>
      </c>
      <c r="AM13" s="19">
        <f>SUMIFS(Data!$I:$I,Data!$B:$B,$B13,Data!$G:$G,"&lt;="&amp;AM$2,Data!$H:$H,"&gt;="&amp;AM$2)</f>
        <v>0</v>
      </c>
      <c r="AN13" s="19">
        <f>SUMIFS(Data!$I:$I,Data!$B:$B,$B13,Data!$G:$G,"&lt;="&amp;AN$2,Data!$H:$H,"&gt;="&amp;AN$2)</f>
        <v>0</v>
      </c>
      <c r="AO13" s="19">
        <f>SUMIFS(Data!$I:$I,Data!$B:$B,$B13,Data!$G:$G,"&lt;="&amp;AO$2,Data!$H:$H,"&gt;="&amp;AO$2)</f>
        <v>0</v>
      </c>
      <c r="AP13" s="19">
        <f>SUMIFS(Data!$I:$I,Data!$B:$B,$B13,Data!$G:$G,"&lt;="&amp;AP$2,Data!$H:$H,"&gt;="&amp;AP$2)</f>
        <v>0</v>
      </c>
      <c r="AQ13" s="19">
        <f>SUMIFS(Data!$I:$I,Data!$B:$B,$B13,Data!$G:$G,"&lt;="&amp;AQ$2,Data!$H:$H,"&gt;="&amp;AQ$2)</f>
        <v>0</v>
      </c>
      <c r="AR13" s="19">
        <f>SUMIFS(Data!$I:$I,Data!$B:$B,$B13,Data!$G:$G,"&lt;="&amp;AR$2,Data!$H:$H,"&gt;="&amp;AR$2)</f>
        <v>0</v>
      </c>
      <c r="AS13" s="19">
        <f>SUMIFS(Data!$I:$I,Data!$B:$B,$B13,Data!$G:$G,"&lt;="&amp;AS$2,Data!$H:$H,"&gt;="&amp;AS$2)</f>
        <v>0</v>
      </c>
      <c r="AT13" s="19">
        <f>SUMIFS(Data!$I:$I,Data!$B:$B,$B13,Data!$G:$G,"&lt;="&amp;AT$2,Data!$H:$H,"&gt;="&amp;AT$2)</f>
        <v>0</v>
      </c>
      <c r="AU13" s="19">
        <f>SUMIFS(Data!$I:$I,Data!$B:$B,$B13,Data!$G:$G,"&lt;="&amp;AU$2,Data!$H:$H,"&gt;="&amp;AU$2)</f>
        <v>0</v>
      </c>
      <c r="AV13" s="19">
        <f>SUMIFS(Data!$I:$I,Data!$B:$B,$B13,Data!$G:$G,"&lt;="&amp;AV$2,Data!$H:$H,"&gt;="&amp;AV$2)</f>
        <v>0</v>
      </c>
      <c r="AW13" s="19">
        <f>SUMIFS(Data!$I:$I,Data!$B:$B,$B13,Data!$G:$G,"&lt;="&amp;AW$2,Data!$H:$H,"&gt;="&amp;AW$2)</f>
        <v>0</v>
      </c>
      <c r="AX13" s="19">
        <f>SUMIFS(Data!$I:$I,Data!$B:$B,$B13,Data!$G:$G,"&lt;="&amp;AX$2,Data!$H:$H,"&gt;="&amp;AX$2)</f>
        <v>0</v>
      </c>
      <c r="AY13" s="19">
        <f>SUMIFS(Data!$I:$I,Data!$B:$B,$B13,Data!$G:$G,"&lt;="&amp;AY$2,Data!$H:$H,"&gt;="&amp;AY$2)</f>
        <v>0</v>
      </c>
      <c r="AZ13" s="19">
        <f>SUMIFS(Data!$I:$I,Data!$B:$B,$B13,Data!$G:$G,"&lt;="&amp;AZ$2,Data!$H:$H,"&gt;="&amp;AZ$2)</f>
        <v>0</v>
      </c>
      <c r="BA13" s="19">
        <f>SUMIFS(Data!$I:$I,Data!$B:$B,$B13,Data!$G:$G,"&lt;="&amp;BA$2,Data!$H:$H,"&gt;="&amp;BA$2)</f>
        <v>0</v>
      </c>
      <c r="BB13" s="19">
        <f>SUMIFS(Data!$I:$I,Data!$B:$B,$B13,Data!$G:$G,"&lt;="&amp;BB$2,Data!$H:$H,"&gt;="&amp;BB$2)</f>
        <v>0</v>
      </c>
      <c r="BC13" s="19">
        <f>SUMIFS(Data!$I:$I,Data!$B:$B,$B13,Data!$G:$G,"&lt;="&amp;BC$2,Data!$H:$H,"&gt;="&amp;BC$2)</f>
        <v>0</v>
      </c>
      <c r="BD13" s="19">
        <f>SUMIFS(Data!$I:$I,Data!$B:$B,$B13,Data!$G:$G,"&lt;="&amp;BD$2,Data!$H:$H,"&gt;="&amp;BD$2)</f>
        <v>0</v>
      </c>
      <c r="BE13" s="19">
        <f>SUMIFS(Data!$I:$I,Data!$B:$B,$B13,Data!$G:$G,"&lt;="&amp;BE$2,Data!$H:$H,"&gt;="&amp;BE$2)</f>
        <v>0</v>
      </c>
      <c r="BF13" s="19">
        <f>SUMIFS(Data!$I:$I,Data!$B:$B,$B13,Data!$G:$G,"&lt;="&amp;BF$2,Data!$H:$H,"&gt;="&amp;BF$2)</f>
        <v>0</v>
      </c>
      <c r="BG13" s="19">
        <f>SUMIFS(Data!$I:$I,Data!$B:$B,$B13,Data!$G:$G,"&lt;="&amp;BG$2,Data!$H:$H,"&gt;="&amp;BG$2)</f>
        <v>0</v>
      </c>
      <c r="BH13" s="19">
        <f>SUMIFS(Data!$I:$I,Data!$B:$B,$B13,Data!$G:$G,"&lt;="&amp;BH$2,Data!$H:$H,"&gt;="&amp;BH$2)</f>
        <v>0</v>
      </c>
      <c r="BI13" s="19">
        <f>SUMIFS(Data!$I:$I,Data!$B:$B,$B13,Data!$G:$G,"&lt;="&amp;BI$2,Data!$H:$H,"&gt;="&amp;BI$2)</f>
        <v>0</v>
      </c>
      <c r="BJ13" s="19">
        <f>SUMIFS(Data!$I:$I,Data!$B:$B,$B13,Data!$G:$G,"&lt;="&amp;BJ$2,Data!$H:$H,"&gt;="&amp;BJ$2)</f>
        <v>0</v>
      </c>
      <c r="BK13" s="19">
        <f>SUMIFS(Data!$I:$I,Data!$B:$B,$B13,Data!$G:$G,"&lt;="&amp;BK$2,Data!$H:$H,"&gt;="&amp;BK$2)</f>
        <v>0</v>
      </c>
      <c r="BL13" s="19">
        <f>SUMIFS(Data!$I:$I,Data!$B:$B,$B13,Data!$G:$G,"&lt;="&amp;BL$2,Data!$H:$H,"&gt;="&amp;BL$2)</f>
        <v>0</v>
      </c>
      <c r="BM13" s="19">
        <f>SUMIFS(Data!$I:$I,Data!$B:$B,$B13,Data!$G:$G,"&lt;="&amp;BM$2,Data!$H:$H,"&gt;="&amp;BM$2)</f>
        <v>0</v>
      </c>
      <c r="BN13" s="19">
        <f>SUMIFS(Data!$I:$I,Data!$B:$B,$B13,Data!$G:$G,"&lt;="&amp;BN$2,Data!$H:$H,"&gt;="&amp;BN$2)</f>
        <v>0</v>
      </c>
      <c r="BO13" s="19">
        <f>SUMIFS(Data!$I:$I,Data!$B:$B,$B13,Data!$G:$G,"&lt;="&amp;BO$2,Data!$H:$H,"&gt;="&amp;BO$2)</f>
        <v>0</v>
      </c>
      <c r="BP13" s="19">
        <f>SUMIFS(Data!$I:$I,Data!$B:$B,$B13,Data!$G:$G,"&lt;="&amp;BP$2,Data!$H:$H,"&gt;="&amp;BP$2)</f>
        <v>0</v>
      </c>
      <c r="BQ13" s="19">
        <f>SUMIFS(Data!$I:$I,Data!$B:$B,$B13,Data!$G:$G,"&lt;="&amp;BQ$2,Data!$H:$H,"&gt;="&amp;BQ$2)</f>
        <v>0</v>
      </c>
      <c r="BR13" s="19">
        <f>SUMIFS(Data!$I:$I,Data!$B:$B,$B13,Data!$G:$G,"&lt;="&amp;BR$2,Data!$H:$H,"&gt;="&amp;BR$2)</f>
        <v>0</v>
      </c>
      <c r="BS13" s="19">
        <f>SUMIFS(Data!$I:$I,Data!$B:$B,$B13,Data!$G:$G,"&lt;="&amp;BS$2,Data!$H:$H,"&gt;="&amp;BS$2)</f>
        <v>0</v>
      </c>
      <c r="BT13" s="19">
        <f>SUMIFS(Data!$I:$I,Data!$B:$B,$B13,Data!$G:$G,"&lt;="&amp;BT$2,Data!$H:$H,"&gt;="&amp;BT$2)</f>
        <v>0</v>
      </c>
      <c r="BU13" s="19">
        <f>SUMIFS(Data!$I:$I,Data!$B:$B,$B13,Data!$G:$G,"&lt;="&amp;BU$2,Data!$H:$H,"&gt;="&amp;BU$2)</f>
        <v>0</v>
      </c>
      <c r="BV13" s="19">
        <f>SUMIFS(Data!$I:$I,Data!$B:$B,$B13,Data!$G:$G,"&lt;="&amp;BV$2,Data!$H:$H,"&gt;="&amp;BV$2)</f>
        <v>0</v>
      </c>
      <c r="BW13" s="19">
        <f>SUMIFS(Data!$I:$I,Data!$B:$B,$B13,Data!$G:$G,"&lt;="&amp;BW$2,Data!$H:$H,"&gt;="&amp;BW$2)</f>
        <v>0</v>
      </c>
      <c r="BX13" s="19">
        <f>SUMIFS(Data!$I:$I,Data!$B:$B,$B13,Data!$G:$G,"&lt;="&amp;BX$2,Data!$H:$H,"&gt;="&amp;BX$2)</f>
        <v>0</v>
      </c>
      <c r="BY13" s="19">
        <f>SUMIFS(Data!$I:$I,Data!$B:$B,$B13,Data!$G:$G,"&lt;="&amp;BY$2,Data!$H:$H,"&gt;="&amp;BY$2)</f>
        <v>0</v>
      </c>
      <c r="BZ13" s="19">
        <f>SUMIFS(Data!$I:$I,Data!$B:$B,$B13,Data!$G:$G,"&lt;="&amp;BZ$2,Data!$H:$H,"&gt;="&amp;BZ$2)</f>
        <v>0</v>
      </c>
      <c r="CA13" s="20">
        <f t="shared" si="3"/>
        <v>95000</v>
      </c>
    </row>
    <row r="14" spans="2:79" x14ac:dyDescent="0.25">
      <c r="B14" s="11" t="s">
        <v>57</v>
      </c>
      <c r="C14" s="11" t="str">
        <f>VLOOKUP(B14,Data!B:C,2,FALSE)</f>
        <v>JREFI</v>
      </c>
      <c r="D14" s="19">
        <f>SUMIFS(Data!$I:$I,Data!$B:$B,$B14,Data!$G:$G,"&lt;="&amp;D$2,Data!$H:$H,"&gt;="&amp;D$2)</f>
        <v>0</v>
      </c>
      <c r="E14" s="19">
        <f>SUMIFS(Data!$I:$I,Data!$B:$B,$B14,Data!$G:$G,"&lt;="&amp;E$2,Data!$H:$H,"&gt;="&amp;E$2)</f>
        <v>0</v>
      </c>
      <c r="F14" s="19">
        <f>SUMIFS(Data!$I:$I,Data!$B:$B,$B14,Data!$G:$G,"&lt;="&amp;F$2,Data!$H:$H,"&gt;="&amp;F$2)</f>
        <v>0</v>
      </c>
      <c r="G14" s="19">
        <f>SUMIFS(Data!$I:$I,Data!$B:$B,$B14,Data!$G:$G,"&lt;="&amp;G$2,Data!$H:$H,"&gt;="&amp;G$2)</f>
        <v>1366.6666666666667</v>
      </c>
      <c r="H14" s="19">
        <f>SUMIFS(Data!$I:$I,Data!$B:$B,$B14,Data!$G:$G,"&lt;="&amp;H$2,Data!$H:$H,"&gt;="&amp;H$2)</f>
        <v>1366.6666666666667</v>
      </c>
      <c r="I14" s="19">
        <f>SUMIFS(Data!$I:$I,Data!$B:$B,$B14,Data!$G:$G,"&lt;="&amp;I$2,Data!$H:$H,"&gt;="&amp;I$2)</f>
        <v>1366.6666666666667</v>
      </c>
      <c r="J14" s="19">
        <f>SUMIFS(Data!$I:$I,Data!$B:$B,$B14,Data!$G:$G,"&lt;="&amp;J$2,Data!$H:$H,"&gt;="&amp;J$2)</f>
        <v>6666.666666666667</v>
      </c>
      <c r="K14" s="19">
        <f>SUMIFS(Data!$I:$I,Data!$B:$B,$B14,Data!$G:$G,"&lt;="&amp;K$2,Data!$H:$H,"&gt;="&amp;K$2)</f>
        <v>6666.666666666667</v>
      </c>
      <c r="L14" s="19">
        <f>SUMIFS(Data!$I:$I,Data!$B:$B,$B14,Data!$G:$G,"&lt;="&amp;L$2,Data!$H:$H,"&gt;="&amp;L$2)</f>
        <v>6666.666666666667</v>
      </c>
      <c r="M14" s="19">
        <f>SUMIFS(Data!$I:$I,Data!$B:$B,$B14,Data!$G:$G,"&lt;="&amp;M$2,Data!$H:$H,"&gt;="&amp;M$2)</f>
        <v>0</v>
      </c>
      <c r="N14" s="19">
        <f>SUMIFS(Data!$I:$I,Data!$B:$B,$B14,Data!$G:$G,"&lt;="&amp;N$2,Data!$H:$H,"&gt;="&amp;N$2)</f>
        <v>0</v>
      </c>
      <c r="O14" s="19">
        <f>SUMIFS(Data!$I:$I,Data!$B:$B,$B14,Data!$G:$G,"&lt;="&amp;O$2,Data!$H:$H,"&gt;="&amp;O$2)</f>
        <v>0</v>
      </c>
      <c r="P14" s="19">
        <f>SUMIFS(Data!$I:$I,Data!$B:$B,$B14,Data!$G:$G,"&lt;="&amp;P$2,Data!$H:$H,"&gt;="&amp;P$2)</f>
        <v>4000</v>
      </c>
      <c r="Q14" s="19">
        <f>SUMIFS(Data!$I:$I,Data!$B:$B,$B14,Data!$G:$G,"&lt;="&amp;Q$2,Data!$H:$H,"&gt;="&amp;Q$2)</f>
        <v>4000</v>
      </c>
      <c r="R14" s="19">
        <f>SUMIFS(Data!$I:$I,Data!$B:$B,$B14,Data!$G:$G,"&lt;="&amp;R$2,Data!$H:$H,"&gt;="&amp;R$2)</f>
        <v>4000</v>
      </c>
      <c r="S14" s="19">
        <f>SUMIFS(Data!$I:$I,Data!$B:$B,$B14,Data!$G:$G,"&lt;="&amp;S$2,Data!$H:$H,"&gt;="&amp;S$2)</f>
        <v>13333.333333333334</v>
      </c>
      <c r="T14" s="19">
        <f>SUMIFS(Data!$I:$I,Data!$B:$B,$B14,Data!$G:$G,"&lt;="&amp;T$2,Data!$H:$H,"&gt;="&amp;T$2)</f>
        <v>13333.333333333334</v>
      </c>
      <c r="U14" s="19">
        <f>SUMIFS(Data!$I:$I,Data!$B:$B,$B14,Data!$G:$G,"&lt;="&amp;U$2,Data!$H:$H,"&gt;="&amp;U$2)</f>
        <v>13333.333333333334</v>
      </c>
      <c r="V14" s="19">
        <f>SUMIFS(Data!$I:$I,Data!$B:$B,$B14,Data!$G:$G,"&lt;="&amp;V$2,Data!$H:$H,"&gt;="&amp;V$2)</f>
        <v>0</v>
      </c>
      <c r="W14" s="19">
        <f>SUMIFS(Data!$I:$I,Data!$B:$B,$B14,Data!$G:$G,"&lt;="&amp;W$2,Data!$H:$H,"&gt;="&amp;W$2)</f>
        <v>0</v>
      </c>
      <c r="X14" s="19">
        <f>SUMIFS(Data!$I:$I,Data!$B:$B,$B14,Data!$G:$G,"&lt;="&amp;X$2,Data!$H:$H,"&gt;="&amp;X$2)</f>
        <v>0</v>
      </c>
      <c r="Y14" s="19">
        <f>SUMIFS(Data!$I:$I,Data!$B:$B,$B14,Data!$G:$G,"&lt;="&amp;Y$2,Data!$H:$H,"&gt;="&amp;Y$2)</f>
        <v>0</v>
      </c>
      <c r="Z14" s="19">
        <f>SUMIFS(Data!$I:$I,Data!$B:$B,$B14,Data!$G:$G,"&lt;="&amp;Z$2,Data!$H:$H,"&gt;="&amp;Z$2)</f>
        <v>0</v>
      </c>
      <c r="AA14" s="19">
        <f>SUMIFS(Data!$I:$I,Data!$B:$B,$B14,Data!$G:$G,"&lt;="&amp;AA$2,Data!$H:$H,"&gt;="&amp;AA$2)</f>
        <v>0</v>
      </c>
      <c r="AB14" s="19">
        <f>SUMIFS(Data!$I:$I,Data!$B:$B,$B14,Data!$G:$G,"&lt;="&amp;AB$2,Data!$H:$H,"&gt;="&amp;AB$2)</f>
        <v>0</v>
      </c>
      <c r="AC14" s="19">
        <f>SUMIFS(Data!$I:$I,Data!$B:$B,$B14,Data!$G:$G,"&lt;="&amp;AC$2,Data!$H:$H,"&gt;="&amp;AC$2)</f>
        <v>0</v>
      </c>
      <c r="AD14" s="19">
        <f>SUMIFS(Data!$I:$I,Data!$B:$B,$B14,Data!$G:$G,"&lt;="&amp;AD$2,Data!$H:$H,"&gt;="&amp;AD$2)</f>
        <v>0</v>
      </c>
      <c r="AE14" s="19">
        <f>SUMIFS(Data!$I:$I,Data!$B:$B,$B14,Data!$G:$G,"&lt;="&amp;AE$2,Data!$H:$H,"&gt;="&amp;AE$2)</f>
        <v>0</v>
      </c>
      <c r="AF14" s="19">
        <f>SUMIFS(Data!$I:$I,Data!$B:$B,$B14,Data!$G:$G,"&lt;="&amp;AF$2,Data!$H:$H,"&gt;="&amp;AF$2)</f>
        <v>0</v>
      </c>
      <c r="AG14" s="19">
        <f>SUMIFS(Data!$I:$I,Data!$B:$B,$B14,Data!$G:$G,"&lt;="&amp;AG$2,Data!$H:$H,"&gt;="&amp;AG$2)</f>
        <v>0</v>
      </c>
      <c r="AH14" s="19">
        <f>SUMIFS(Data!$I:$I,Data!$B:$B,$B14,Data!$G:$G,"&lt;="&amp;AH$2,Data!$H:$H,"&gt;="&amp;AH$2)</f>
        <v>0</v>
      </c>
      <c r="AI14" s="19">
        <f>SUMIFS(Data!$I:$I,Data!$B:$B,$B14,Data!$G:$G,"&lt;="&amp;AI$2,Data!$H:$H,"&gt;="&amp;AI$2)</f>
        <v>0</v>
      </c>
      <c r="AJ14" s="19">
        <f>SUMIFS(Data!$I:$I,Data!$B:$B,$B14,Data!$G:$G,"&lt;="&amp;AJ$2,Data!$H:$H,"&gt;="&amp;AJ$2)</f>
        <v>0</v>
      </c>
      <c r="AK14" s="19">
        <f>SUMIFS(Data!$I:$I,Data!$B:$B,$B14,Data!$G:$G,"&lt;="&amp;AK$2,Data!$H:$H,"&gt;="&amp;AK$2)</f>
        <v>0</v>
      </c>
      <c r="AL14" s="19">
        <f>SUMIFS(Data!$I:$I,Data!$B:$B,$B14,Data!$G:$G,"&lt;="&amp;AL$2,Data!$H:$H,"&gt;="&amp;AL$2)</f>
        <v>0</v>
      </c>
      <c r="AM14" s="19">
        <f>SUMIFS(Data!$I:$I,Data!$B:$B,$B14,Data!$G:$G,"&lt;="&amp;AM$2,Data!$H:$H,"&gt;="&amp;AM$2)</f>
        <v>0</v>
      </c>
      <c r="AN14" s="19">
        <f>SUMIFS(Data!$I:$I,Data!$B:$B,$B14,Data!$G:$G,"&lt;="&amp;AN$2,Data!$H:$H,"&gt;="&amp;AN$2)</f>
        <v>0</v>
      </c>
      <c r="AO14" s="19">
        <f>SUMIFS(Data!$I:$I,Data!$B:$B,$B14,Data!$G:$G,"&lt;="&amp;AO$2,Data!$H:$H,"&gt;="&amp;AO$2)</f>
        <v>0</v>
      </c>
      <c r="AP14" s="19">
        <f>SUMIFS(Data!$I:$I,Data!$B:$B,$B14,Data!$G:$G,"&lt;="&amp;AP$2,Data!$H:$H,"&gt;="&amp;AP$2)</f>
        <v>0</v>
      </c>
      <c r="AQ14" s="19">
        <f>SUMIFS(Data!$I:$I,Data!$B:$B,$B14,Data!$G:$G,"&lt;="&amp;AQ$2,Data!$H:$H,"&gt;="&amp;AQ$2)</f>
        <v>0</v>
      </c>
      <c r="AR14" s="19">
        <f>SUMIFS(Data!$I:$I,Data!$B:$B,$B14,Data!$G:$G,"&lt;="&amp;AR$2,Data!$H:$H,"&gt;="&amp;AR$2)</f>
        <v>0</v>
      </c>
      <c r="AS14" s="19">
        <f>SUMIFS(Data!$I:$I,Data!$B:$B,$B14,Data!$G:$G,"&lt;="&amp;AS$2,Data!$H:$H,"&gt;="&amp;AS$2)</f>
        <v>0</v>
      </c>
      <c r="AT14" s="19">
        <f>SUMIFS(Data!$I:$I,Data!$B:$B,$B14,Data!$G:$G,"&lt;="&amp;AT$2,Data!$H:$H,"&gt;="&amp;AT$2)</f>
        <v>0</v>
      </c>
      <c r="AU14" s="19">
        <f>SUMIFS(Data!$I:$I,Data!$B:$B,$B14,Data!$G:$G,"&lt;="&amp;AU$2,Data!$H:$H,"&gt;="&amp;AU$2)</f>
        <v>0</v>
      </c>
      <c r="AV14" s="19">
        <f>SUMIFS(Data!$I:$I,Data!$B:$B,$B14,Data!$G:$G,"&lt;="&amp;AV$2,Data!$H:$H,"&gt;="&amp;AV$2)</f>
        <v>0</v>
      </c>
      <c r="AW14" s="19">
        <f>SUMIFS(Data!$I:$I,Data!$B:$B,$B14,Data!$G:$G,"&lt;="&amp;AW$2,Data!$H:$H,"&gt;="&amp;AW$2)</f>
        <v>0</v>
      </c>
      <c r="AX14" s="19">
        <f>SUMIFS(Data!$I:$I,Data!$B:$B,$B14,Data!$G:$G,"&lt;="&amp;AX$2,Data!$H:$H,"&gt;="&amp;AX$2)</f>
        <v>0</v>
      </c>
      <c r="AY14" s="19">
        <f>SUMIFS(Data!$I:$I,Data!$B:$B,$B14,Data!$G:$G,"&lt;="&amp;AY$2,Data!$H:$H,"&gt;="&amp;AY$2)</f>
        <v>0</v>
      </c>
      <c r="AZ14" s="19">
        <f>SUMIFS(Data!$I:$I,Data!$B:$B,$B14,Data!$G:$G,"&lt;="&amp;AZ$2,Data!$H:$H,"&gt;="&amp;AZ$2)</f>
        <v>0</v>
      </c>
      <c r="BA14" s="19">
        <f>SUMIFS(Data!$I:$I,Data!$B:$B,$B14,Data!$G:$G,"&lt;="&amp;BA$2,Data!$H:$H,"&gt;="&amp;BA$2)</f>
        <v>0</v>
      </c>
      <c r="BB14" s="19">
        <f>SUMIFS(Data!$I:$I,Data!$B:$B,$B14,Data!$G:$G,"&lt;="&amp;BB$2,Data!$H:$H,"&gt;="&amp;BB$2)</f>
        <v>0</v>
      </c>
      <c r="BC14" s="19">
        <f>SUMIFS(Data!$I:$I,Data!$B:$B,$B14,Data!$G:$G,"&lt;="&amp;BC$2,Data!$H:$H,"&gt;="&amp;BC$2)</f>
        <v>0</v>
      </c>
      <c r="BD14" s="19">
        <f>SUMIFS(Data!$I:$I,Data!$B:$B,$B14,Data!$G:$G,"&lt;="&amp;BD$2,Data!$H:$H,"&gt;="&amp;BD$2)</f>
        <v>0</v>
      </c>
      <c r="BE14" s="19">
        <f>SUMIFS(Data!$I:$I,Data!$B:$B,$B14,Data!$G:$G,"&lt;="&amp;BE$2,Data!$H:$H,"&gt;="&amp;BE$2)</f>
        <v>0</v>
      </c>
      <c r="BF14" s="19">
        <f>SUMIFS(Data!$I:$I,Data!$B:$B,$B14,Data!$G:$G,"&lt;="&amp;BF$2,Data!$H:$H,"&gt;="&amp;BF$2)</f>
        <v>0</v>
      </c>
      <c r="BG14" s="19">
        <f>SUMIFS(Data!$I:$I,Data!$B:$B,$B14,Data!$G:$G,"&lt;="&amp;BG$2,Data!$H:$H,"&gt;="&amp;BG$2)</f>
        <v>0</v>
      </c>
      <c r="BH14" s="19">
        <f>SUMIFS(Data!$I:$I,Data!$B:$B,$B14,Data!$G:$G,"&lt;="&amp;BH$2,Data!$H:$H,"&gt;="&amp;BH$2)</f>
        <v>0</v>
      </c>
      <c r="BI14" s="19">
        <f>SUMIFS(Data!$I:$I,Data!$B:$B,$B14,Data!$G:$G,"&lt;="&amp;BI$2,Data!$H:$H,"&gt;="&amp;BI$2)</f>
        <v>0</v>
      </c>
      <c r="BJ14" s="19">
        <f>SUMIFS(Data!$I:$I,Data!$B:$B,$B14,Data!$G:$G,"&lt;="&amp;BJ$2,Data!$H:$H,"&gt;="&amp;BJ$2)</f>
        <v>0</v>
      </c>
      <c r="BK14" s="19">
        <f>SUMIFS(Data!$I:$I,Data!$B:$B,$B14,Data!$G:$G,"&lt;="&amp;BK$2,Data!$H:$H,"&gt;="&amp;BK$2)</f>
        <v>0</v>
      </c>
      <c r="BL14" s="19">
        <f>SUMIFS(Data!$I:$I,Data!$B:$B,$B14,Data!$G:$G,"&lt;="&amp;BL$2,Data!$H:$H,"&gt;="&amp;BL$2)</f>
        <v>0</v>
      </c>
      <c r="BM14" s="19">
        <f>SUMIFS(Data!$I:$I,Data!$B:$B,$B14,Data!$G:$G,"&lt;="&amp;BM$2,Data!$H:$H,"&gt;="&amp;BM$2)</f>
        <v>0</v>
      </c>
      <c r="BN14" s="19">
        <f>SUMIFS(Data!$I:$I,Data!$B:$B,$B14,Data!$G:$G,"&lt;="&amp;BN$2,Data!$H:$H,"&gt;="&amp;BN$2)</f>
        <v>0</v>
      </c>
      <c r="BO14" s="19">
        <f>SUMIFS(Data!$I:$I,Data!$B:$B,$B14,Data!$G:$G,"&lt;="&amp;BO$2,Data!$H:$H,"&gt;="&amp;BO$2)</f>
        <v>0</v>
      </c>
      <c r="BP14" s="19">
        <f>SUMIFS(Data!$I:$I,Data!$B:$B,$B14,Data!$G:$G,"&lt;="&amp;BP$2,Data!$H:$H,"&gt;="&amp;BP$2)</f>
        <v>0</v>
      </c>
      <c r="BQ14" s="19">
        <f>SUMIFS(Data!$I:$I,Data!$B:$B,$B14,Data!$G:$G,"&lt;="&amp;BQ$2,Data!$H:$H,"&gt;="&amp;BQ$2)</f>
        <v>0</v>
      </c>
      <c r="BR14" s="19">
        <f>SUMIFS(Data!$I:$I,Data!$B:$B,$B14,Data!$G:$G,"&lt;="&amp;BR$2,Data!$H:$H,"&gt;="&amp;BR$2)</f>
        <v>0</v>
      </c>
      <c r="BS14" s="19">
        <f>SUMIFS(Data!$I:$I,Data!$B:$B,$B14,Data!$G:$G,"&lt;="&amp;BS$2,Data!$H:$H,"&gt;="&amp;BS$2)</f>
        <v>0</v>
      </c>
      <c r="BT14" s="19">
        <f>SUMIFS(Data!$I:$I,Data!$B:$B,$B14,Data!$G:$G,"&lt;="&amp;BT$2,Data!$H:$H,"&gt;="&amp;BT$2)</f>
        <v>0</v>
      </c>
      <c r="BU14" s="19">
        <f>SUMIFS(Data!$I:$I,Data!$B:$B,$B14,Data!$G:$G,"&lt;="&amp;BU$2,Data!$H:$H,"&gt;="&amp;BU$2)</f>
        <v>0</v>
      </c>
      <c r="BV14" s="19">
        <f>SUMIFS(Data!$I:$I,Data!$B:$B,$B14,Data!$G:$G,"&lt;="&amp;BV$2,Data!$H:$H,"&gt;="&amp;BV$2)</f>
        <v>0</v>
      </c>
      <c r="BW14" s="19">
        <f>SUMIFS(Data!$I:$I,Data!$B:$B,$B14,Data!$G:$G,"&lt;="&amp;BW$2,Data!$H:$H,"&gt;="&amp;BW$2)</f>
        <v>0</v>
      </c>
      <c r="BX14" s="19">
        <f>SUMIFS(Data!$I:$I,Data!$B:$B,$B14,Data!$G:$G,"&lt;="&amp;BX$2,Data!$H:$H,"&gt;="&amp;BX$2)</f>
        <v>0</v>
      </c>
      <c r="BY14" s="19">
        <f>SUMIFS(Data!$I:$I,Data!$B:$B,$B14,Data!$G:$G,"&lt;="&amp;BY$2,Data!$H:$H,"&gt;="&amp;BY$2)</f>
        <v>0</v>
      </c>
      <c r="BZ14" s="19">
        <f>SUMIFS(Data!$I:$I,Data!$B:$B,$B14,Data!$G:$G,"&lt;="&amp;BZ$2,Data!$H:$H,"&gt;="&amp;BZ$2)</f>
        <v>0</v>
      </c>
      <c r="CA14" s="20">
        <f t="shared" si="3"/>
        <v>76100</v>
      </c>
    </row>
    <row r="15" spans="2:79" x14ac:dyDescent="0.25">
      <c r="B15" s="11" t="s">
        <v>61</v>
      </c>
      <c r="C15" s="11" t="str">
        <f>VLOOKUP(B15,Data!B:C,2,FALSE)</f>
        <v>JREFI</v>
      </c>
      <c r="D15" s="19">
        <f>SUMIFS(Data!$I:$I,Data!$B:$B,$B15,Data!$G:$G,"&lt;="&amp;D$2,Data!$H:$H,"&gt;="&amp;D$2)</f>
        <v>0</v>
      </c>
      <c r="E15" s="19">
        <f>SUMIFS(Data!$I:$I,Data!$B:$B,$B15,Data!$G:$G,"&lt;="&amp;E$2,Data!$H:$H,"&gt;="&amp;E$2)</f>
        <v>0</v>
      </c>
      <c r="F15" s="19">
        <f>SUMIFS(Data!$I:$I,Data!$B:$B,$B15,Data!$G:$G,"&lt;="&amp;F$2,Data!$H:$H,"&gt;="&amp;F$2)</f>
        <v>0</v>
      </c>
      <c r="G15" s="19">
        <f>SUMIFS(Data!$I:$I,Data!$B:$B,$B15,Data!$G:$G,"&lt;="&amp;G$2,Data!$H:$H,"&gt;="&amp;G$2)</f>
        <v>58333.333333333336</v>
      </c>
      <c r="H15" s="19">
        <f>SUMIFS(Data!$I:$I,Data!$B:$B,$B15,Data!$G:$G,"&lt;="&amp;H$2,Data!$H:$H,"&gt;="&amp;H$2)</f>
        <v>58333.333333333336</v>
      </c>
      <c r="I15" s="19">
        <f>SUMIFS(Data!$I:$I,Data!$B:$B,$B15,Data!$G:$G,"&lt;="&amp;I$2,Data!$H:$H,"&gt;="&amp;I$2)</f>
        <v>58333.333333333336</v>
      </c>
      <c r="J15" s="19">
        <f>SUMIFS(Data!$I:$I,Data!$B:$B,$B15,Data!$G:$G,"&lt;="&amp;J$2,Data!$H:$H,"&gt;="&amp;J$2)</f>
        <v>19333.333333333336</v>
      </c>
      <c r="K15" s="19">
        <f>SUMIFS(Data!$I:$I,Data!$B:$B,$B15,Data!$G:$G,"&lt;="&amp;K$2,Data!$H:$H,"&gt;="&amp;K$2)</f>
        <v>19333.333333333336</v>
      </c>
      <c r="L15" s="19">
        <f>SUMIFS(Data!$I:$I,Data!$B:$B,$B15,Data!$G:$G,"&lt;="&amp;L$2,Data!$H:$H,"&gt;="&amp;L$2)</f>
        <v>19333.333333333336</v>
      </c>
      <c r="M15" s="19">
        <f>SUMIFS(Data!$I:$I,Data!$B:$B,$B15,Data!$G:$G,"&lt;="&amp;M$2,Data!$H:$H,"&gt;="&amp;M$2)</f>
        <v>16666.666666666668</v>
      </c>
      <c r="N15" s="19">
        <f>SUMIFS(Data!$I:$I,Data!$B:$B,$B15,Data!$G:$G,"&lt;="&amp;N$2,Data!$H:$H,"&gt;="&amp;N$2)</f>
        <v>16666.666666666668</v>
      </c>
      <c r="O15" s="19">
        <f>SUMIFS(Data!$I:$I,Data!$B:$B,$B15,Data!$G:$G,"&lt;="&amp;O$2,Data!$H:$H,"&gt;="&amp;O$2)</f>
        <v>50000</v>
      </c>
      <c r="P15" s="19">
        <f>SUMIFS(Data!$I:$I,Data!$B:$B,$B15,Data!$G:$G,"&lt;="&amp;P$2,Data!$H:$H,"&gt;="&amp;P$2)</f>
        <v>33333.333333333336</v>
      </c>
      <c r="Q15" s="19">
        <f>SUMIFS(Data!$I:$I,Data!$B:$B,$B15,Data!$G:$G,"&lt;="&amp;Q$2,Data!$H:$H,"&gt;="&amp;Q$2)</f>
        <v>33333.333333333336</v>
      </c>
      <c r="R15" s="19">
        <f>SUMIFS(Data!$I:$I,Data!$B:$B,$B15,Data!$G:$G,"&lt;="&amp;R$2,Data!$H:$H,"&gt;="&amp;R$2)</f>
        <v>0</v>
      </c>
      <c r="S15" s="19">
        <f>SUMIFS(Data!$I:$I,Data!$B:$B,$B15,Data!$G:$G,"&lt;="&amp;S$2,Data!$H:$H,"&gt;="&amp;S$2)</f>
        <v>0</v>
      </c>
      <c r="T15" s="19">
        <f>SUMIFS(Data!$I:$I,Data!$B:$B,$B15,Data!$G:$G,"&lt;="&amp;T$2,Data!$H:$H,"&gt;="&amp;T$2)</f>
        <v>0</v>
      </c>
      <c r="U15" s="19">
        <f>SUMIFS(Data!$I:$I,Data!$B:$B,$B15,Data!$G:$G,"&lt;="&amp;U$2,Data!$H:$H,"&gt;="&amp;U$2)</f>
        <v>0</v>
      </c>
      <c r="V15" s="19">
        <f>SUMIFS(Data!$I:$I,Data!$B:$B,$B15,Data!$G:$G,"&lt;="&amp;V$2,Data!$H:$H,"&gt;="&amp;V$2)</f>
        <v>0</v>
      </c>
      <c r="W15" s="19">
        <f>SUMIFS(Data!$I:$I,Data!$B:$B,$B15,Data!$G:$G,"&lt;="&amp;W$2,Data!$H:$H,"&gt;="&amp;W$2)</f>
        <v>0</v>
      </c>
      <c r="X15" s="19">
        <f>SUMIFS(Data!$I:$I,Data!$B:$B,$B15,Data!$G:$G,"&lt;="&amp;X$2,Data!$H:$H,"&gt;="&amp;X$2)</f>
        <v>0</v>
      </c>
      <c r="Y15" s="19">
        <f>SUMIFS(Data!$I:$I,Data!$B:$B,$B15,Data!$G:$G,"&lt;="&amp;Y$2,Data!$H:$H,"&gt;="&amp;Y$2)</f>
        <v>0</v>
      </c>
      <c r="Z15" s="19">
        <f>SUMIFS(Data!$I:$I,Data!$B:$B,$B15,Data!$G:$G,"&lt;="&amp;Z$2,Data!$H:$H,"&gt;="&amp;Z$2)</f>
        <v>0</v>
      </c>
      <c r="AA15" s="19">
        <f>SUMIFS(Data!$I:$I,Data!$B:$B,$B15,Data!$G:$G,"&lt;="&amp;AA$2,Data!$H:$H,"&gt;="&amp;AA$2)</f>
        <v>0</v>
      </c>
      <c r="AB15" s="19">
        <f>SUMIFS(Data!$I:$I,Data!$B:$B,$B15,Data!$G:$G,"&lt;="&amp;AB$2,Data!$H:$H,"&gt;="&amp;AB$2)</f>
        <v>0</v>
      </c>
      <c r="AC15" s="19">
        <f>SUMIFS(Data!$I:$I,Data!$B:$B,$B15,Data!$G:$G,"&lt;="&amp;AC$2,Data!$H:$H,"&gt;="&amp;AC$2)</f>
        <v>0</v>
      </c>
      <c r="AD15" s="19">
        <f>SUMIFS(Data!$I:$I,Data!$B:$B,$B15,Data!$G:$G,"&lt;="&amp;AD$2,Data!$H:$H,"&gt;="&amp;AD$2)</f>
        <v>0</v>
      </c>
      <c r="AE15" s="19">
        <f>SUMIFS(Data!$I:$I,Data!$B:$B,$B15,Data!$G:$G,"&lt;="&amp;AE$2,Data!$H:$H,"&gt;="&amp;AE$2)</f>
        <v>0</v>
      </c>
      <c r="AF15" s="19">
        <f>SUMIFS(Data!$I:$I,Data!$B:$B,$B15,Data!$G:$G,"&lt;="&amp;AF$2,Data!$H:$H,"&gt;="&amp;AF$2)</f>
        <v>0</v>
      </c>
      <c r="AG15" s="19">
        <f>SUMIFS(Data!$I:$I,Data!$B:$B,$B15,Data!$G:$G,"&lt;="&amp;AG$2,Data!$H:$H,"&gt;="&amp;AG$2)</f>
        <v>0</v>
      </c>
      <c r="AH15" s="19">
        <f>SUMIFS(Data!$I:$I,Data!$B:$B,$B15,Data!$G:$G,"&lt;="&amp;AH$2,Data!$H:$H,"&gt;="&amp;AH$2)</f>
        <v>0</v>
      </c>
      <c r="AI15" s="19">
        <f>SUMIFS(Data!$I:$I,Data!$B:$B,$B15,Data!$G:$G,"&lt;="&amp;AI$2,Data!$H:$H,"&gt;="&amp;AI$2)</f>
        <v>0</v>
      </c>
      <c r="AJ15" s="19">
        <f>SUMIFS(Data!$I:$I,Data!$B:$B,$B15,Data!$G:$G,"&lt;="&amp;AJ$2,Data!$H:$H,"&gt;="&amp;AJ$2)</f>
        <v>0</v>
      </c>
      <c r="AK15" s="19">
        <f>SUMIFS(Data!$I:$I,Data!$B:$B,$B15,Data!$G:$G,"&lt;="&amp;AK$2,Data!$H:$H,"&gt;="&amp;AK$2)</f>
        <v>0</v>
      </c>
      <c r="AL15" s="19">
        <f>SUMIFS(Data!$I:$I,Data!$B:$B,$B15,Data!$G:$G,"&lt;="&amp;AL$2,Data!$H:$H,"&gt;="&amp;AL$2)</f>
        <v>0</v>
      </c>
      <c r="AM15" s="19">
        <f>SUMIFS(Data!$I:$I,Data!$B:$B,$B15,Data!$G:$G,"&lt;="&amp;AM$2,Data!$H:$H,"&gt;="&amp;AM$2)</f>
        <v>0</v>
      </c>
      <c r="AN15" s="19">
        <f>SUMIFS(Data!$I:$I,Data!$B:$B,$B15,Data!$G:$G,"&lt;="&amp;AN$2,Data!$H:$H,"&gt;="&amp;AN$2)</f>
        <v>0</v>
      </c>
      <c r="AO15" s="19">
        <f>SUMIFS(Data!$I:$I,Data!$B:$B,$B15,Data!$G:$G,"&lt;="&amp;AO$2,Data!$H:$H,"&gt;="&amp;AO$2)</f>
        <v>0</v>
      </c>
      <c r="AP15" s="19">
        <f>SUMIFS(Data!$I:$I,Data!$B:$B,$B15,Data!$G:$G,"&lt;="&amp;AP$2,Data!$H:$H,"&gt;="&amp;AP$2)</f>
        <v>0</v>
      </c>
      <c r="AQ15" s="19">
        <f>SUMIFS(Data!$I:$I,Data!$B:$B,$B15,Data!$G:$G,"&lt;="&amp;AQ$2,Data!$H:$H,"&gt;="&amp;AQ$2)</f>
        <v>0</v>
      </c>
      <c r="AR15" s="19">
        <f>SUMIFS(Data!$I:$I,Data!$B:$B,$B15,Data!$G:$G,"&lt;="&amp;AR$2,Data!$H:$H,"&gt;="&amp;AR$2)</f>
        <v>0</v>
      </c>
      <c r="AS15" s="19">
        <f>SUMIFS(Data!$I:$I,Data!$B:$B,$B15,Data!$G:$G,"&lt;="&amp;AS$2,Data!$H:$H,"&gt;="&amp;AS$2)</f>
        <v>0</v>
      </c>
      <c r="AT15" s="19">
        <f>SUMIFS(Data!$I:$I,Data!$B:$B,$B15,Data!$G:$G,"&lt;="&amp;AT$2,Data!$H:$H,"&gt;="&amp;AT$2)</f>
        <v>0</v>
      </c>
      <c r="AU15" s="19">
        <f>SUMIFS(Data!$I:$I,Data!$B:$B,$B15,Data!$G:$G,"&lt;="&amp;AU$2,Data!$H:$H,"&gt;="&amp;AU$2)</f>
        <v>0</v>
      </c>
      <c r="AV15" s="19">
        <f>SUMIFS(Data!$I:$I,Data!$B:$B,$B15,Data!$G:$G,"&lt;="&amp;AV$2,Data!$H:$H,"&gt;="&amp;AV$2)</f>
        <v>0</v>
      </c>
      <c r="AW15" s="19">
        <f>SUMIFS(Data!$I:$I,Data!$B:$B,$B15,Data!$G:$G,"&lt;="&amp;AW$2,Data!$H:$H,"&gt;="&amp;AW$2)</f>
        <v>0</v>
      </c>
      <c r="AX15" s="19">
        <f>SUMIFS(Data!$I:$I,Data!$B:$B,$B15,Data!$G:$G,"&lt;="&amp;AX$2,Data!$H:$H,"&gt;="&amp;AX$2)</f>
        <v>0</v>
      </c>
      <c r="AY15" s="19">
        <f>SUMIFS(Data!$I:$I,Data!$B:$B,$B15,Data!$G:$G,"&lt;="&amp;AY$2,Data!$H:$H,"&gt;="&amp;AY$2)</f>
        <v>0</v>
      </c>
      <c r="AZ15" s="19">
        <f>SUMIFS(Data!$I:$I,Data!$B:$B,$B15,Data!$G:$G,"&lt;="&amp;AZ$2,Data!$H:$H,"&gt;="&amp;AZ$2)</f>
        <v>0</v>
      </c>
      <c r="BA15" s="19">
        <f>SUMIFS(Data!$I:$I,Data!$B:$B,$B15,Data!$G:$G,"&lt;="&amp;BA$2,Data!$H:$H,"&gt;="&amp;BA$2)</f>
        <v>0</v>
      </c>
      <c r="BB15" s="19">
        <f>SUMIFS(Data!$I:$I,Data!$B:$B,$B15,Data!$G:$G,"&lt;="&amp;BB$2,Data!$H:$H,"&gt;="&amp;BB$2)</f>
        <v>0</v>
      </c>
      <c r="BC15" s="19">
        <f>SUMIFS(Data!$I:$I,Data!$B:$B,$B15,Data!$G:$G,"&lt;="&amp;BC$2,Data!$H:$H,"&gt;="&amp;BC$2)</f>
        <v>0</v>
      </c>
      <c r="BD15" s="19">
        <f>SUMIFS(Data!$I:$I,Data!$B:$B,$B15,Data!$G:$G,"&lt;="&amp;BD$2,Data!$H:$H,"&gt;="&amp;BD$2)</f>
        <v>0</v>
      </c>
      <c r="BE15" s="19">
        <f>SUMIFS(Data!$I:$I,Data!$B:$B,$B15,Data!$G:$G,"&lt;="&amp;BE$2,Data!$H:$H,"&gt;="&amp;BE$2)</f>
        <v>0</v>
      </c>
      <c r="BF15" s="19">
        <f>SUMIFS(Data!$I:$I,Data!$B:$B,$B15,Data!$G:$G,"&lt;="&amp;BF$2,Data!$H:$H,"&gt;="&amp;BF$2)</f>
        <v>0</v>
      </c>
      <c r="BG15" s="19">
        <f>SUMIFS(Data!$I:$I,Data!$B:$B,$B15,Data!$G:$G,"&lt;="&amp;BG$2,Data!$H:$H,"&gt;="&amp;BG$2)</f>
        <v>0</v>
      </c>
      <c r="BH15" s="19">
        <f>SUMIFS(Data!$I:$I,Data!$B:$B,$B15,Data!$G:$G,"&lt;="&amp;BH$2,Data!$H:$H,"&gt;="&amp;BH$2)</f>
        <v>0</v>
      </c>
      <c r="BI15" s="19">
        <f>SUMIFS(Data!$I:$I,Data!$B:$B,$B15,Data!$G:$G,"&lt;="&amp;BI$2,Data!$H:$H,"&gt;="&amp;BI$2)</f>
        <v>0</v>
      </c>
      <c r="BJ15" s="19">
        <f>SUMIFS(Data!$I:$I,Data!$B:$B,$B15,Data!$G:$G,"&lt;="&amp;BJ$2,Data!$H:$H,"&gt;="&amp;BJ$2)</f>
        <v>0</v>
      </c>
      <c r="BK15" s="19">
        <f>SUMIFS(Data!$I:$I,Data!$B:$B,$B15,Data!$G:$G,"&lt;="&amp;BK$2,Data!$H:$H,"&gt;="&amp;BK$2)</f>
        <v>0</v>
      </c>
      <c r="BL15" s="19">
        <f>SUMIFS(Data!$I:$I,Data!$B:$B,$B15,Data!$G:$G,"&lt;="&amp;BL$2,Data!$H:$H,"&gt;="&amp;BL$2)</f>
        <v>0</v>
      </c>
      <c r="BM15" s="19">
        <f>SUMIFS(Data!$I:$I,Data!$B:$B,$B15,Data!$G:$G,"&lt;="&amp;BM$2,Data!$H:$H,"&gt;="&amp;BM$2)</f>
        <v>0</v>
      </c>
      <c r="BN15" s="19">
        <f>SUMIFS(Data!$I:$I,Data!$B:$B,$B15,Data!$G:$G,"&lt;="&amp;BN$2,Data!$H:$H,"&gt;="&amp;BN$2)</f>
        <v>0</v>
      </c>
      <c r="BO15" s="19">
        <f>SUMIFS(Data!$I:$I,Data!$B:$B,$B15,Data!$G:$G,"&lt;="&amp;BO$2,Data!$H:$H,"&gt;="&amp;BO$2)</f>
        <v>0</v>
      </c>
      <c r="BP15" s="19">
        <f>SUMIFS(Data!$I:$I,Data!$B:$B,$B15,Data!$G:$G,"&lt;="&amp;BP$2,Data!$H:$H,"&gt;="&amp;BP$2)</f>
        <v>0</v>
      </c>
      <c r="BQ15" s="19">
        <f>SUMIFS(Data!$I:$I,Data!$B:$B,$B15,Data!$G:$G,"&lt;="&amp;BQ$2,Data!$H:$H,"&gt;="&amp;BQ$2)</f>
        <v>0</v>
      </c>
      <c r="BR15" s="19">
        <f>SUMIFS(Data!$I:$I,Data!$B:$B,$B15,Data!$G:$G,"&lt;="&amp;BR$2,Data!$H:$H,"&gt;="&amp;BR$2)</f>
        <v>0</v>
      </c>
      <c r="BS15" s="19">
        <f>SUMIFS(Data!$I:$I,Data!$B:$B,$B15,Data!$G:$G,"&lt;="&amp;BS$2,Data!$H:$H,"&gt;="&amp;BS$2)</f>
        <v>0</v>
      </c>
      <c r="BT15" s="19">
        <f>SUMIFS(Data!$I:$I,Data!$B:$B,$B15,Data!$G:$G,"&lt;="&amp;BT$2,Data!$H:$H,"&gt;="&amp;BT$2)</f>
        <v>0</v>
      </c>
      <c r="BU15" s="19">
        <f>SUMIFS(Data!$I:$I,Data!$B:$B,$B15,Data!$G:$G,"&lt;="&amp;BU$2,Data!$H:$H,"&gt;="&amp;BU$2)</f>
        <v>0</v>
      </c>
      <c r="BV15" s="19">
        <f>SUMIFS(Data!$I:$I,Data!$B:$B,$B15,Data!$G:$G,"&lt;="&amp;BV$2,Data!$H:$H,"&gt;="&amp;BV$2)</f>
        <v>0</v>
      </c>
      <c r="BW15" s="19">
        <f>SUMIFS(Data!$I:$I,Data!$B:$B,$B15,Data!$G:$G,"&lt;="&amp;BW$2,Data!$H:$H,"&gt;="&amp;BW$2)</f>
        <v>0</v>
      </c>
      <c r="BX15" s="19">
        <f>SUMIFS(Data!$I:$I,Data!$B:$B,$B15,Data!$G:$G,"&lt;="&amp;BX$2,Data!$H:$H,"&gt;="&amp;BX$2)</f>
        <v>0</v>
      </c>
      <c r="BY15" s="19">
        <f>SUMIFS(Data!$I:$I,Data!$B:$B,$B15,Data!$G:$G,"&lt;="&amp;BY$2,Data!$H:$H,"&gt;="&amp;BY$2)</f>
        <v>0</v>
      </c>
      <c r="BZ15" s="19">
        <f>SUMIFS(Data!$I:$I,Data!$B:$B,$B15,Data!$G:$G,"&lt;="&amp;BZ$2,Data!$H:$H,"&gt;="&amp;BZ$2)</f>
        <v>0</v>
      </c>
      <c r="CA15" s="20">
        <f t="shared" si="3"/>
        <v>383000</v>
      </c>
    </row>
    <row r="16" spans="2:79" x14ac:dyDescent="0.25">
      <c r="B16" s="11" t="s">
        <v>67</v>
      </c>
      <c r="C16" s="11" t="str">
        <f>VLOOKUP(B16,Data!B:C,2,FALSE)</f>
        <v>JREFI</v>
      </c>
      <c r="D16" s="19">
        <f>SUMIFS(Data!$I:$I,Data!$B:$B,$B16,Data!$G:$G,"&lt;="&amp;D$2,Data!$H:$H,"&gt;="&amp;D$2)</f>
        <v>0</v>
      </c>
      <c r="E16" s="19">
        <f>SUMIFS(Data!$I:$I,Data!$B:$B,$B16,Data!$G:$G,"&lt;="&amp;E$2,Data!$H:$H,"&gt;="&amp;E$2)</f>
        <v>0</v>
      </c>
      <c r="F16" s="19">
        <f>SUMIFS(Data!$I:$I,Data!$B:$B,$B16,Data!$G:$G,"&lt;="&amp;F$2,Data!$H:$H,"&gt;="&amp;F$2)</f>
        <v>0</v>
      </c>
      <c r="G16" s="19">
        <f>SUMIFS(Data!$I:$I,Data!$B:$B,$B16,Data!$G:$G,"&lt;="&amp;G$2,Data!$H:$H,"&gt;="&amp;G$2)</f>
        <v>137500</v>
      </c>
      <c r="H16" s="19">
        <f>SUMIFS(Data!$I:$I,Data!$B:$B,$B16,Data!$G:$G,"&lt;="&amp;H$2,Data!$H:$H,"&gt;="&amp;H$2)</f>
        <v>137500</v>
      </c>
      <c r="I16" s="19">
        <f>SUMIFS(Data!$I:$I,Data!$B:$B,$B16,Data!$G:$G,"&lt;="&amp;I$2,Data!$H:$H,"&gt;="&amp;I$2)</f>
        <v>137500</v>
      </c>
      <c r="J16" s="19">
        <f>SUMIFS(Data!$I:$I,Data!$B:$B,$B16,Data!$G:$G,"&lt;="&amp;J$2,Data!$H:$H,"&gt;="&amp;J$2)</f>
        <v>137500</v>
      </c>
      <c r="K16" s="19">
        <f>SUMIFS(Data!$I:$I,Data!$B:$B,$B16,Data!$G:$G,"&lt;="&amp;K$2,Data!$H:$H,"&gt;="&amp;K$2)</f>
        <v>125000</v>
      </c>
      <c r="L16" s="19">
        <f>SUMIFS(Data!$I:$I,Data!$B:$B,$B16,Data!$G:$G,"&lt;="&amp;L$2,Data!$H:$H,"&gt;="&amp;L$2)</f>
        <v>125000</v>
      </c>
      <c r="M16" s="19">
        <f>SUMIFS(Data!$I:$I,Data!$B:$B,$B16,Data!$G:$G,"&lt;="&amp;M$2,Data!$H:$H,"&gt;="&amp;M$2)</f>
        <v>0</v>
      </c>
      <c r="N16" s="19">
        <f>SUMIFS(Data!$I:$I,Data!$B:$B,$B16,Data!$G:$G,"&lt;="&amp;N$2,Data!$H:$H,"&gt;="&amp;N$2)</f>
        <v>0</v>
      </c>
      <c r="O16" s="19">
        <f>SUMIFS(Data!$I:$I,Data!$B:$B,$B16,Data!$G:$G,"&lt;="&amp;O$2,Data!$H:$H,"&gt;="&amp;O$2)</f>
        <v>0</v>
      </c>
      <c r="P16" s="19">
        <f>SUMIFS(Data!$I:$I,Data!$B:$B,$B16,Data!$G:$G,"&lt;="&amp;P$2,Data!$H:$H,"&gt;="&amp;P$2)</f>
        <v>0</v>
      </c>
      <c r="Q16" s="19">
        <f>SUMIFS(Data!$I:$I,Data!$B:$B,$B16,Data!$G:$G,"&lt;="&amp;Q$2,Data!$H:$H,"&gt;="&amp;Q$2)</f>
        <v>0</v>
      </c>
      <c r="R16" s="19">
        <f>SUMIFS(Data!$I:$I,Data!$B:$B,$B16,Data!$G:$G,"&lt;="&amp;R$2,Data!$H:$H,"&gt;="&amp;R$2)</f>
        <v>0</v>
      </c>
      <c r="S16" s="19">
        <f>SUMIFS(Data!$I:$I,Data!$B:$B,$B16,Data!$G:$G,"&lt;="&amp;S$2,Data!$H:$H,"&gt;="&amp;S$2)</f>
        <v>0</v>
      </c>
      <c r="T16" s="19">
        <f>SUMIFS(Data!$I:$I,Data!$B:$B,$B16,Data!$G:$G,"&lt;="&amp;T$2,Data!$H:$H,"&gt;="&amp;T$2)</f>
        <v>0</v>
      </c>
      <c r="U16" s="19">
        <f>SUMIFS(Data!$I:$I,Data!$B:$B,$B16,Data!$G:$G,"&lt;="&amp;U$2,Data!$H:$H,"&gt;="&amp;U$2)</f>
        <v>0</v>
      </c>
      <c r="V16" s="19">
        <f>SUMIFS(Data!$I:$I,Data!$B:$B,$B16,Data!$G:$G,"&lt;="&amp;V$2,Data!$H:$H,"&gt;="&amp;V$2)</f>
        <v>0</v>
      </c>
      <c r="W16" s="19">
        <f>SUMIFS(Data!$I:$I,Data!$B:$B,$B16,Data!$G:$G,"&lt;="&amp;W$2,Data!$H:$H,"&gt;="&amp;W$2)</f>
        <v>0</v>
      </c>
      <c r="X16" s="19">
        <f>SUMIFS(Data!$I:$I,Data!$B:$B,$B16,Data!$G:$G,"&lt;="&amp;X$2,Data!$H:$H,"&gt;="&amp;X$2)</f>
        <v>0</v>
      </c>
      <c r="Y16" s="19">
        <f>SUMIFS(Data!$I:$I,Data!$B:$B,$B16,Data!$G:$G,"&lt;="&amp;Y$2,Data!$H:$H,"&gt;="&amp;Y$2)</f>
        <v>0</v>
      </c>
      <c r="Z16" s="19">
        <f>SUMIFS(Data!$I:$I,Data!$B:$B,$B16,Data!$G:$G,"&lt;="&amp;Z$2,Data!$H:$H,"&gt;="&amp;Z$2)</f>
        <v>0</v>
      </c>
      <c r="AA16" s="19">
        <f>SUMIFS(Data!$I:$I,Data!$B:$B,$B16,Data!$G:$G,"&lt;="&amp;AA$2,Data!$H:$H,"&gt;="&amp;AA$2)</f>
        <v>0</v>
      </c>
      <c r="AB16" s="19">
        <f>SUMIFS(Data!$I:$I,Data!$B:$B,$B16,Data!$G:$G,"&lt;="&amp;AB$2,Data!$H:$H,"&gt;="&amp;AB$2)</f>
        <v>0</v>
      </c>
      <c r="AC16" s="19">
        <f>SUMIFS(Data!$I:$I,Data!$B:$B,$B16,Data!$G:$G,"&lt;="&amp;AC$2,Data!$H:$H,"&gt;="&amp;AC$2)</f>
        <v>0</v>
      </c>
      <c r="AD16" s="19">
        <f>SUMIFS(Data!$I:$I,Data!$B:$B,$B16,Data!$G:$G,"&lt;="&amp;AD$2,Data!$H:$H,"&gt;="&amp;AD$2)</f>
        <v>0</v>
      </c>
      <c r="AE16" s="19">
        <f>SUMIFS(Data!$I:$I,Data!$B:$B,$B16,Data!$G:$G,"&lt;="&amp;AE$2,Data!$H:$H,"&gt;="&amp;AE$2)</f>
        <v>0</v>
      </c>
      <c r="AF16" s="19">
        <f>SUMIFS(Data!$I:$I,Data!$B:$B,$B16,Data!$G:$G,"&lt;="&amp;AF$2,Data!$H:$H,"&gt;="&amp;AF$2)</f>
        <v>0</v>
      </c>
      <c r="AG16" s="19">
        <f>SUMIFS(Data!$I:$I,Data!$B:$B,$B16,Data!$G:$G,"&lt;="&amp;AG$2,Data!$H:$H,"&gt;="&amp;AG$2)</f>
        <v>0</v>
      </c>
      <c r="AH16" s="19">
        <f>SUMIFS(Data!$I:$I,Data!$B:$B,$B16,Data!$G:$G,"&lt;="&amp;AH$2,Data!$H:$H,"&gt;="&amp;AH$2)</f>
        <v>0</v>
      </c>
      <c r="AI16" s="19">
        <f>SUMIFS(Data!$I:$I,Data!$B:$B,$B16,Data!$G:$G,"&lt;="&amp;AI$2,Data!$H:$H,"&gt;="&amp;AI$2)</f>
        <v>0</v>
      </c>
      <c r="AJ16" s="19">
        <f>SUMIFS(Data!$I:$I,Data!$B:$B,$B16,Data!$G:$G,"&lt;="&amp;AJ$2,Data!$H:$H,"&gt;="&amp;AJ$2)</f>
        <v>0</v>
      </c>
      <c r="AK16" s="19">
        <f>SUMIFS(Data!$I:$I,Data!$B:$B,$B16,Data!$G:$G,"&lt;="&amp;AK$2,Data!$H:$H,"&gt;="&amp;AK$2)</f>
        <v>0</v>
      </c>
      <c r="AL16" s="19">
        <f>SUMIFS(Data!$I:$I,Data!$B:$B,$B16,Data!$G:$G,"&lt;="&amp;AL$2,Data!$H:$H,"&gt;="&amp;AL$2)</f>
        <v>0</v>
      </c>
      <c r="AM16" s="19">
        <f>SUMIFS(Data!$I:$I,Data!$B:$B,$B16,Data!$G:$G,"&lt;="&amp;AM$2,Data!$H:$H,"&gt;="&amp;AM$2)</f>
        <v>0</v>
      </c>
      <c r="AN16" s="19">
        <f>SUMIFS(Data!$I:$I,Data!$B:$B,$B16,Data!$G:$G,"&lt;="&amp;AN$2,Data!$H:$H,"&gt;="&amp;AN$2)</f>
        <v>0</v>
      </c>
      <c r="AO16" s="19">
        <f>SUMIFS(Data!$I:$I,Data!$B:$B,$B16,Data!$G:$G,"&lt;="&amp;AO$2,Data!$H:$H,"&gt;="&amp;AO$2)</f>
        <v>0</v>
      </c>
      <c r="AP16" s="19">
        <f>SUMIFS(Data!$I:$I,Data!$B:$B,$B16,Data!$G:$G,"&lt;="&amp;AP$2,Data!$H:$H,"&gt;="&amp;AP$2)</f>
        <v>0</v>
      </c>
      <c r="AQ16" s="19">
        <f>SUMIFS(Data!$I:$I,Data!$B:$B,$B16,Data!$G:$G,"&lt;="&amp;AQ$2,Data!$H:$H,"&gt;="&amp;AQ$2)</f>
        <v>0</v>
      </c>
      <c r="AR16" s="19">
        <f>SUMIFS(Data!$I:$I,Data!$B:$B,$B16,Data!$G:$G,"&lt;="&amp;AR$2,Data!$H:$H,"&gt;="&amp;AR$2)</f>
        <v>0</v>
      </c>
      <c r="AS16" s="19">
        <f>SUMIFS(Data!$I:$I,Data!$B:$B,$B16,Data!$G:$G,"&lt;="&amp;AS$2,Data!$H:$H,"&gt;="&amp;AS$2)</f>
        <v>0</v>
      </c>
      <c r="AT16" s="19">
        <f>SUMIFS(Data!$I:$I,Data!$B:$B,$B16,Data!$G:$G,"&lt;="&amp;AT$2,Data!$H:$H,"&gt;="&amp;AT$2)</f>
        <v>0</v>
      </c>
      <c r="AU16" s="19">
        <f>SUMIFS(Data!$I:$I,Data!$B:$B,$B16,Data!$G:$G,"&lt;="&amp;AU$2,Data!$H:$H,"&gt;="&amp;AU$2)</f>
        <v>0</v>
      </c>
      <c r="AV16" s="19">
        <f>SUMIFS(Data!$I:$I,Data!$B:$B,$B16,Data!$G:$G,"&lt;="&amp;AV$2,Data!$H:$H,"&gt;="&amp;AV$2)</f>
        <v>0</v>
      </c>
      <c r="AW16" s="19">
        <f>SUMIFS(Data!$I:$I,Data!$B:$B,$B16,Data!$G:$G,"&lt;="&amp;AW$2,Data!$H:$H,"&gt;="&amp;AW$2)</f>
        <v>0</v>
      </c>
      <c r="AX16" s="19">
        <f>SUMIFS(Data!$I:$I,Data!$B:$B,$B16,Data!$G:$G,"&lt;="&amp;AX$2,Data!$H:$H,"&gt;="&amp;AX$2)</f>
        <v>0</v>
      </c>
      <c r="AY16" s="19">
        <f>SUMIFS(Data!$I:$I,Data!$B:$B,$B16,Data!$G:$G,"&lt;="&amp;AY$2,Data!$H:$H,"&gt;="&amp;AY$2)</f>
        <v>0</v>
      </c>
      <c r="AZ16" s="19">
        <f>SUMIFS(Data!$I:$I,Data!$B:$B,$B16,Data!$G:$G,"&lt;="&amp;AZ$2,Data!$H:$H,"&gt;="&amp;AZ$2)</f>
        <v>0</v>
      </c>
      <c r="BA16" s="19">
        <f>SUMIFS(Data!$I:$I,Data!$B:$B,$B16,Data!$G:$G,"&lt;="&amp;BA$2,Data!$H:$H,"&gt;="&amp;BA$2)</f>
        <v>0</v>
      </c>
      <c r="BB16" s="19">
        <f>SUMIFS(Data!$I:$I,Data!$B:$B,$B16,Data!$G:$G,"&lt;="&amp;BB$2,Data!$H:$H,"&gt;="&amp;BB$2)</f>
        <v>0</v>
      </c>
      <c r="BC16" s="19">
        <f>SUMIFS(Data!$I:$I,Data!$B:$B,$B16,Data!$G:$G,"&lt;="&amp;BC$2,Data!$H:$H,"&gt;="&amp;BC$2)</f>
        <v>0</v>
      </c>
      <c r="BD16" s="19">
        <f>SUMIFS(Data!$I:$I,Data!$B:$B,$B16,Data!$G:$G,"&lt;="&amp;BD$2,Data!$H:$H,"&gt;="&amp;BD$2)</f>
        <v>0</v>
      </c>
      <c r="BE16" s="19">
        <f>SUMIFS(Data!$I:$I,Data!$B:$B,$B16,Data!$G:$G,"&lt;="&amp;BE$2,Data!$H:$H,"&gt;="&amp;BE$2)</f>
        <v>0</v>
      </c>
      <c r="BF16" s="19">
        <f>SUMIFS(Data!$I:$I,Data!$B:$B,$B16,Data!$G:$G,"&lt;="&amp;BF$2,Data!$H:$H,"&gt;="&amp;BF$2)</f>
        <v>0</v>
      </c>
      <c r="BG16" s="19">
        <f>SUMIFS(Data!$I:$I,Data!$B:$B,$B16,Data!$G:$G,"&lt;="&amp;BG$2,Data!$H:$H,"&gt;="&amp;BG$2)</f>
        <v>0</v>
      </c>
      <c r="BH16" s="19">
        <f>SUMIFS(Data!$I:$I,Data!$B:$B,$B16,Data!$G:$G,"&lt;="&amp;BH$2,Data!$H:$H,"&gt;="&amp;BH$2)</f>
        <v>0</v>
      </c>
      <c r="BI16" s="19">
        <f>SUMIFS(Data!$I:$I,Data!$B:$B,$B16,Data!$G:$G,"&lt;="&amp;BI$2,Data!$H:$H,"&gt;="&amp;BI$2)</f>
        <v>0</v>
      </c>
      <c r="BJ16" s="19">
        <f>SUMIFS(Data!$I:$I,Data!$B:$B,$B16,Data!$G:$G,"&lt;="&amp;BJ$2,Data!$H:$H,"&gt;="&amp;BJ$2)</f>
        <v>0</v>
      </c>
      <c r="BK16" s="19">
        <f>SUMIFS(Data!$I:$I,Data!$B:$B,$B16,Data!$G:$G,"&lt;="&amp;BK$2,Data!$H:$H,"&gt;="&amp;BK$2)</f>
        <v>0</v>
      </c>
      <c r="BL16" s="19">
        <f>SUMIFS(Data!$I:$I,Data!$B:$B,$B16,Data!$G:$G,"&lt;="&amp;BL$2,Data!$H:$H,"&gt;="&amp;BL$2)</f>
        <v>0</v>
      </c>
      <c r="BM16" s="19">
        <f>SUMIFS(Data!$I:$I,Data!$B:$B,$B16,Data!$G:$G,"&lt;="&amp;BM$2,Data!$H:$H,"&gt;="&amp;BM$2)</f>
        <v>0</v>
      </c>
      <c r="BN16" s="19">
        <f>SUMIFS(Data!$I:$I,Data!$B:$B,$B16,Data!$G:$G,"&lt;="&amp;BN$2,Data!$H:$H,"&gt;="&amp;BN$2)</f>
        <v>0</v>
      </c>
      <c r="BO16" s="19">
        <f>SUMIFS(Data!$I:$I,Data!$B:$B,$B16,Data!$G:$G,"&lt;="&amp;BO$2,Data!$H:$H,"&gt;="&amp;BO$2)</f>
        <v>0</v>
      </c>
      <c r="BP16" s="19">
        <f>SUMIFS(Data!$I:$I,Data!$B:$B,$B16,Data!$G:$G,"&lt;="&amp;BP$2,Data!$H:$H,"&gt;="&amp;BP$2)</f>
        <v>0</v>
      </c>
      <c r="BQ16" s="19">
        <f>SUMIFS(Data!$I:$I,Data!$B:$B,$B16,Data!$G:$G,"&lt;="&amp;BQ$2,Data!$H:$H,"&gt;="&amp;BQ$2)</f>
        <v>0</v>
      </c>
      <c r="BR16" s="19">
        <f>SUMIFS(Data!$I:$I,Data!$B:$B,$B16,Data!$G:$G,"&lt;="&amp;BR$2,Data!$H:$H,"&gt;="&amp;BR$2)</f>
        <v>0</v>
      </c>
      <c r="BS16" s="19">
        <f>SUMIFS(Data!$I:$I,Data!$B:$B,$B16,Data!$G:$G,"&lt;="&amp;BS$2,Data!$H:$H,"&gt;="&amp;BS$2)</f>
        <v>0</v>
      </c>
      <c r="BT16" s="19">
        <f>SUMIFS(Data!$I:$I,Data!$B:$B,$B16,Data!$G:$G,"&lt;="&amp;BT$2,Data!$H:$H,"&gt;="&amp;BT$2)</f>
        <v>0</v>
      </c>
      <c r="BU16" s="19">
        <f>SUMIFS(Data!$I:$I,Data!$B:$B,$B16,Data!$G:$G,"&lt;="&amp;BU$2,Data!$H:$H,"&gt;="&amp;BU$2)</f>
        <v>0</v>
      </c>
      <c r="BV16" s="19">
        <f>SUMIFS(Data!$I:$I,Data!$B:$B,$B16,Data!$G:$G,"&lt;="&amp;BV$2,Data!$H:$H,"&gt;="&amp;BV$2)</f>
        <v>0</v>
      </c>
      <c r="BW16" s="19">
        <f>SUMIFS(Data!$I:$I,Data!$B:$B,$B16,Data!$G:$G,"&lt;="&amp;BW$2,Data!$H:$H,"&gt;="&amp;BW$2)</f>
        <v>0</v>
      </c>
      <c r="BX16" s="19">
        <f>SUMIFS(Data!$I:$I,Data!$B:$B,$B16,Data!$G:$G,"&lt;="&amp;BX$2,Data!$H:$H,"&gt;="&amp;BX$2)</f>
        <v>0</v>
      </c>
      <c r="BY16" s="19">
        <f>SUMIFS(Data!$I:$I,Data!$B:$B,$B16,Data!$G:$G,"&lt;="&amp;BY$2,Data!$H:$H,"&gt;="&amp;BY$2)</f>
        <v>0</v>
      </c>
      <c r="BZ16" s="19">
        <f>SUMIFS(Data!$I:$I,Data!$B:$B,$B16,Data!$G:$G,"&lt;="&amp;BZ$2,Data!$H:$H,"&gt;="&amp;BZ$2)</f>
        <v>0</v>
      </c>
      <c r="CA16" s="20">
        <f t="shared" si="3"/>
        <v>800000</v>
      </c>
    </row>
    <row r="17" spans="2:79" x14ac:dyDescent="0.25">
      <c r="B17" s="11" t="s">
        <v>71</v>
      </c>
      <c r="C17" s="11" t="str">
        <f>VLOOKUP(B17,Data!B:C,2,FALSE)</f>
        <v>JREFI</v>
      </c>
      <c r="D17" s="19">
        <f>SUMIFS(Data!$I:$I,Data!$B:$B,$B17,Data!$G:$G,"&lt;="&amp;D$2,Data!$H:$H,"&gt;="&amp;D$2)</f>
        <v>0</v>
      </c>
      <c r="E17" s="19">
        <f>SUMIFS(Data!$I:$I,Data!$B:$B,$B17,Data!$G:$G,"&lt;="&amp;E$2,Data!$H:$H,"&gt;="&amp;E$2)</f>
        <v>0</v>
      </c>
      <c r="F17" s="19">
        <f>SUMIFS(Data!$I:$I,Data!$B:$B,$B17,Data!$G:$G,"&lt;="&amp;F$2,Data!$H:$H,"&gt;="&amp;F$2)</f>
        <v>0</v>
      </c>
      <c r="G17" s="19">
        <f>SUMIFS(Data!$I:$I,Data!$B:$B,$B17,Data!$G:$G,"&lt;="&amp;G$2,Data!$H:$H,"&gt;="&amp;G$2)</f>
        <v>3333.3333333333335</v>
      </c>
      <c r="H17" s="19">
        <f>SUMIFS(Data!$I:$I,Data!$B:$B,$B17,Data!$G:$G,"&lt;="&amp;H$2,Data!$H:$H,"&gt;="&amp;H$2)</f>
        <v>3333.3333333333335</v>
      </c>
      <c r="I17" s="19">
        <f>SUMIFS(Data!$I:$I,Data!$B:$B,$B17,Data!$G:$G,"&lt;="&amp;I$2,Data!$H:$H,"&gt;="&amp;I$2)</f>
        <v>3333.3333333333335</v>
      </c>
      <c r="J17" s="19">
        <f>SUMIFS(Data!$I:$I,Data!$B:$B,$B17,Data!$G:$G,"&lt;="&amp;J$2,Data!$H:$H,"&gt;="&amp;J$2)</f>
        <v>12666.666666666668</v>
      </c>
      <c r="K17" s="19">
        <f>SUMIFS(Data!$I:$I,Data!$B:$B,$B17,Data!$G:$G,"&lt;="&amp;K$2,Data!$H:$H,"&gt;="&amp;K$2)</f>
        <v>12666.666666666668</v>
      </c>
      <c r="L17" s="19">
        <f>SUMIFS(Data!$I:$I,Data!$B:$B,$B17,Data!$G:$G,"&lt;="&amp;L$2,Data!$H:$H,"&gt;="&amp;L$2)</f>
        <v>12666.666666666668</v>
      </c>
      <c r="M17" s="19">
        <f>SUMIFS(Data!$I:$I,Data!$B:$B,$B17,Data!$G:$G,"&lt;="&amp;M$2,Data!$H:$H,"&gt;="&amp;M$2)</f>
        <v>5000</v>
      </c>
      <c r="N17" s="19">
        <f>SUMIFS(Data!$I:$I,Data!$B:$B,$B17,Data!$G:$G,"&lt;="&amp;N$2,Data!$H:$H,"&gt;="&amp;N$2)</f>
        <v>5000</v>
      </c>
      <c r="O17" s="19">
        <f>SUMIFS(Data!$I:$I,Data!$B:$B,$B17,Data!$G:$G,"&lt;="&amp;O$2,Data!$H:$H,"&gt;="&amp;O$2)</f>
        <v>5000</v>
      </c>
      <c r="P17" s="19">
        <f>SUMIFS(Data!$I:$I,Data!$B:$B,$B17,Data!$G:$G,"&lt;="&amp;P$2,Data!$H:$H,"&gt;="&amp;P$2)</f>
        <v>0</v>
      </c>
      <c r="Q17" s="19">
        <f>SUMIFS(Data!$I:$I,Data!$B:$B,$B17,Data!$G:$G,"&lt;="&amp;Q$2,Data!$H:$H,"&gt;="&amp;Q$2)</f>
        <v>0</v>
      </c>
      <c r="R17" s="19">
        <f>SUMIFS(Data!$I:$I,Data!$B:$B,$B17,Data!$G:$G,"&lt;="&amp;R$2,Data!$H:$H,"&gt;="&amp;R$2)</f>
        <v>0</v>
      </c>
      <c r="S17" s="19">
        <f>SUMIFS(Data!$I:$I,Data!$B:$B,$B17,Data!$G:$G,"&lt;="&amp;S$2,Data!$H:$H,"&gt;="&amp;S$2)</f>
        <v>0</v>
      </c>
      <c r="T17" s="19">
        <f>SUMIFS(Data!$I:$I,Data!$B:$B,$B17,Data!$G:$G,"&lt;="&amp;T$2,Data!$H:$H,"&gt;="&amp;T$2)</f>
        <v>0</v>
      </c>
      <c r="U17" s="19">
        <f>SUMIFS(Data!$I:$I,Data!$B:$B,$B17,Data!$G:$G,"&lt;="&amp;U$2,Data!$H:$H,"&gt;="&amp;U$2)</f>
        <v>0</v>
      </c>
      <c r="V17" s="19">
        <f>SUMIFS(Data!$I:$I,Data!$B:$B,$B17,Data!$G:$G,"&lt;="&amp;V$2,Data!$H:$H,"&gt;="&amp;V$2)</f>
        <v>0</v>
      </c>
      <c r="W17" s="19">
        <f>SUMIFS(Data!$I:$I,Data!$B:$B,$B17,Data!$G:$G,"&lt;="&amp;W$2,Data!$H:$H,"&gt;="&amp;W$2)</f>
        <v>0</v>
      </c>
      <c r="X17" s="19">
        <f>SUMIFS(Data!$I:$I,Data!$B:$B,$B17,Data!$G:$G,"&lt;="&amp;X$2,Data!$H:$H,"&gt;="&amp;X$2)</f>
        <v>0</v>
      </c>
      <c r="Y17" s="19">
        <f>SUMIFS(Data!$I:$I,Data!$B:$B,$B17,Data!$G:$G,"&lt;="&amp;Y$2,Data!$H:$H,"&gt;="&amp;Y$2)</f>
        <v>0</v>
      </c>
      <c r="Z17" s="19">
        <f>SUMIFS(Data!$I:$I,Data!$B:$B,$B17,Data!$G:$G,"&lt;="&amp;Z$2,Data!$H:$H,"&gt;="&amp;Z$2)</f>
        <v>0</v>
      </c>
      <c r="AA17" s="19">
        <f>SUMIFS(Data!$I:$I,Data!$B:$B,$B17,Data!$G:$G,"&lt;="&amp;AA$2,Data!$H:$H,"&gt;="&amp;AA$2)</f>
        <v>0</v>
      </c>
      <c r="AB17" s="19">
        <f>SUMIFS(Data!$I:$I,Data!$B:$B,$B17,Data!$G:$G,"&lt;="&amp;AB$2,Data!$H:$H,"&gt;="&amp;AB$2)</f>
        <v>0</v>
      </c>
      <c r="AC17" s="19">
        <f>SUMIFS(Data!$I:$I,Data!$B:$B,$B17,Data!$G:$G,"&lt;="&amp;AC$2,Data!$H:$H,"&gt;="&amp;AC$2)</f>
        <v>0</v>
      </c>
      <c r="AD17" s="19">
        <f>SUMIFS(Data!$I:$I,Data!$B:$B,$B17,Data!$G:$G,"&lt;="&amp;AD$2,Data!$H:$H,"&gt;="&amp;AD$2)</f>
        <v>0</v>
      </c>
      <c r="AE17" s="19">
        <f>SUMIFS(Data!$I:$I,Data!$B:$B,$B17,Data!$G:$G,"&lt;="&amp;AE$2,Data!$H:$H,"&gt;="&amp;AE$2)</f>
        <v>0</v>
      </c>
      <c r="AF17" s="19">
        <f>SUMIFS(Data!$I:$I,Data!$B:$B,$B17,Data!$G:$G,"&lt;="&amp;AF$2,Data!$H:$H,"&gt;="&amp;AF$2)</f>
        <v>0</v>
      </c>
      <c r="AG17" s="19">
        <f>SUMIFS(Data!$I:$I,Data!$B:$B,$B17,Data!$G:$G,"&lt;="&amp;AG$2,Data!$H:$H,"&gt;="&amp;AG$2)</f>
        <v>0</v>
      </c>
      <c r="AH17" s="19">
        <f>SUMIFS(Data!$I:$I,Data!$B:$B,$B17,Data!$G:$G,"&lt;="&amp;AH$2,Data!$H:$H,"&gt;="&amp;AH$2)</f>
        <v>0</v>
      </c>
      <c r="AI17" s="19">
        <f>SUMIFS(Data!$I:$I,Data!$B:$B,$B17,Data!$G:$G,"&lt;="&amp;AI$2,Data!$H:$H,"&gt;="&amp;AI$2)</f>
        <v>0</v>
      </c>
      <c r="AJ17" s="19">
        <f>SUMIFS(Data!$I:$I,Data!$B:$B,$B17,Data!$G:$G,"&lt;="&amp;AJ$2,Data!$H:$H,"&gt;="&amp;AJ$2)</f>
        <v>0</v>
      </c>
      <c r="AK17" s="19">
        <f>SUMIFS(Data!$I:$I,Data!$B:$B,$B17,Data!$G:$G,"&lt;="&amp;AK$2,Data!$H:$H,"&gt;="&amp;AK$2)</f>
        <v>0</v>
      </c>
      <c r="AL17" s="19">
        <f>SUMIFS(Data!$I:$I,Data!$B:$B,$B17,Data!$G:$G,"&lt;="&amp;AL$2,Data!$H:$H,"&gt;="&amp;AL$2)</f>
        <v>0</v>
      </c>
      <c r="AM17" s="19">
        <f>SUMIFS(Data!$I:$I,Data!$B:$B,$B17,Data!$G:$G,"&lt;="&amp;AM$2,Data!$H:$H,"&gt;="&amp;AM$2)</f>
        <v>0</v>
      </c>
      <c r="AN17" s="19">
        <f>SUMIFS(Data!$I:$I,Data!$B:$B,$B17,Data!$G:$G,"&lt;="&amp;AN$2,Data!$H:$H,"&gt;="&amp;AN$2)</f>
        <v>0</v>
      </c>
      <c r="AO17" s="19">
        <f>SUMIFS(Data!$I:$I,Data!$B:$B,$B17,Data!$G:$G,"&lt;="&amp;AO$2,Data!$H:$H,"&gt;="&amp;AO$2)</f>
        <v>0</v>
      </c>
      <c r="AP17" s="19">
        <f>SUMIFS(Data!$I:$I,Data!$B:$B,$B17,Data!$G:$G,"&lt;="&amp;AP$2,Data!$H:$H,"&gt;="&amp;AP$2)</f>
        <v>0</v>
      </c>
      <c r="AQ17" s="19">
        <f>SUMIFS(Data!$I:$I,Data!$B:$B,$B17,Data!$G:$G,"&lt;="&amp;AQ$2,Data!$H:$H,"&gt;="&amp;AQ$2)</f>
        <v>0</v>
      </c>
      <c r="AR17" s="19">
        <f>SUMIFS(Data!$I:$I,Data!$B:$B,$B17,Data!$G:$G,"&lt;="&amp;AR$2,Data!$H:$H,"&gt;="&amp;AR$2)</f>
        <v>0</v>
      </c>
      <c r="AS17" s="19">
        <f>SUMIFS(Data!$I:$I,Data!$B:$B,$B17,Data!$G:$G,"&lt;="&amp;AS$2,Data!$H:$H,"&gt;="&amp;AS$2)</f>
        <v>0</v>
      </c>
      <c r="AT17" s="19">
        <f>SUMIFS(Data!$I:$I,Data!$B:$B,$B17,Data!$G:$G,"&lt;="&amp;AT$2,Data!$H:$H,"&gt;="&amp;AT$2)</f>
        <v>0</v>
      </c>
      <c r="AU17" s="19">
        <f>SUMIFS(Data!$I:$I,Data!$B:$B,$B17,Data!$G:$G,"&lt;="&amp;AU$2,Data!$H:$H,"&gt;="&amp;AU$2)</f>
        <v>0</v>
      </c>
      <c r="AV17" s="19">
        <f>SUMIFS(Data!$I:$I,Data!$B:$B,$B17,Data!$G:$G,"&lt;="&amp;AV$2,Data!$H:$H,"&gt;="&amp;AV$2)</f>
        <v>0</v>
      </c>
      <c r="AW17" s="19">
        <f>SUMIFS(Data!$I:$I,Data!$B:$B,$B17,Data!$G:$G,"&lt;="&amp;AW$2,Data!$H:$H,"&gt;="&amp;AW$2)</f>
        <v>0</v>
      </c>
      <c r="AX17" s="19">
        <f>SUMIFS(Data!$I:$I,Data!$B:$B,$B17,Data!$G:$G,"&lt;="&amp;AX$2,Data!$H:$H,"&gt;="&amp;AX$2)</f>
        <v>0</v>
      </c>
      <c r="AY17" s="19">
        <f>SUMIFS(Data!$I:$I,Data!$B:$B,$B17,Data!$G:$G,"&lt;="&amp;AY$2,Data!$H:$H,"&gt;="&amp;AY$2)</f>
        <v>0</v>
      </c>
      <c r="AZ17" s="19">
        <f>SUMIFS(Data!$I:$I,Data!$B:$B,$B17,Data!$G:$G,"&lt;="&amp;AZ$2,Data!$H:$H,"&gt;="&amp;AZ$2)</f>
        <v>0</v>
      </c>
      <c r="BA17" s="19">
        <f>SUMIFS(Data!$I:$I,Data!$B:$B,$B17,Data!$G:$G,"&lt;="&amp;BA$2,Data!$H:$H,"&gt;="&amp;BA$2)</f>
        <v>0</v>
      </c>
      <c r="BB17" s="19">
        <f>SUMIFS(Data!$I:$I,Data!$B:$B,$B17,Data!$G:$G,"&lt;="&amp;BB$2,Data!$H:$H,"&gt;="&amp;BB$2)</f>
        <v>0</v>
      </c>
      <c r="BC17" s="19">
        <f>SUMIFS(Data!$I:$I,Data!$B:$B,$B17,Data!$G:$G,"&lt;="&amp;BC$2,Data!$H:$H,"&gt;="&amp;BC$2)</f>
        <v>0</v>
      </c>
      <c r="BD17" s="19">
        <f>SUMIFS(Data!$I:$I,Data!$B:$B,$B17,Data!$G:$G,"&lt;="&amp;BD$2,Data!$H:$H,"&gt;="&amp;BD$2)</f>
        <v>0</v>
      </c>
      <c r="BE17" s="19">
        <f>SUMIFS(Data!$I:$I,Data!$B:$B,$B17,Data!$G:$G,"&lt;="&amp;BE$2,Data!$H:$H,"&gt;="&amp;BE$2)</f>
        <v>0</v>
      </c>
      <c r="BF17" s="19">
        <f>SUMIFS(Data!$I:$I,Data!$B:$B,$B17,Data!$G:$G,"&lt;="&amp;BF$2,Data!$H:$H,"&gt;="&amp;BF$2)</f>
        <v>0</v>
      </c>
      <c r="BG17" s="19">
        <f>SUMIFS(Data!$I:$I,Data!$B:$B,$B17,Data!$G:$G,"&lt;="&amp;BG$2,Data!$H:$H,"&gt;="&amp;BG$2)</f>
        <v>0</v>
      </c>
      <c r="BH17" s="19">
        <f>SUMIFS(Data!$I:$I,Data!$B:$B,$B17,Data!$G:$G,"&lt;="&amp;BH$2,Data!$H:$H,"&gt;="&amp;BH$2)</f>
        <v>0</v>
      </c>
      <c r="BI17" s="19">
        <f>SUMIFS(Data!$I:$I,Data!$B:$B,$B17,Data!$G:$G,"&lt;="&amp;BI$2,Data!$H:$H,"&gt;="&amp;BI$2)</f>
        <v>0</v>
      </c>
      <c r="BJ17" s="19">
        <f>SUMIFS(Data!$I:$I,Data!$B:$B,$B17,Data!$G:$G,"&lt;="&amp;BJ$2,Data!$H:$H,"&gt;="&amp;BJ$2)</f>
        <v>0</v>
      </c>
      <c r="BK17" s="19">
        <f>SUMIFS(Data!$I:$I,Data!$B:$B,$B17,Data!$G:$G,"&lt;="&amp;BK$2,Data!$H:$H,"&gt;="&amp;BK$2)</f>
        <v>0</v>
      </c>
      <c r="BL17" s="19">
        <f>SUMIFS(Data!$I:$I,Data!$B:$B,$B17,Data!$G:$G,"&lt;="&amp;BL$2,Data!$H:$H,"&gt;="&amp;BL$2)</f>
        <v>0</v>
      </c>
      <c r="BM17" s="19">
        <f>SUMIFS(Data!$I:$I,Data!$B:$B,$B17,Data!$G:$G,"&lt;="&amp;BM$2,Data!$H:$H,"&gt;="&amp;BM$2)</f>
        <v>0</v>
      </c>
      <c r="BN17" s="19">
        <f>SUMIFS(Data!$I:$I,Data!$B:$B,$B17,Data!$G:$G,"&lt;="&amp;BN$2,Data!$H:$H,"&gt;="&amp;BN$2)</f>
        <v>0</v>
      </c>
      <c r="BO17" s="19">
        <f>SUMIFS(Data!$I:$I,Data!$B:$B,$B17,Data!$G:$G,"&lt;="&amp;BO$2,Data!$H:$H,"&gt;="&amp;BO$2)</f>
        <v>0</v>
      </c>
      <c r="BP17" s="19">
        <f>SUMIFS(Data!$I:$I,Data!$B:$B,$B17,Data!$G:$G,"&lt;="&amp;BP$2,Data!$H:$H,"&gt;="&amp;BP$2)</f>
        <v>0</v>
      </c>
      <c r="BQ17" s="19">
        <f>SUMIFS(Data!$I:$I,Data!$B:$B,$B17,Data!$G:$G,"&lt;="&amp;BQ$2,Data!$H:$H,"&gt;="&amp;BQ$2)</f>
        <v>0</v>
      </c>
      <c r="BR17" s="19">
        <f>SUMIFS(Data!$I:$I,Data!$B:$B,$B17,Data!$G:$G,"&lt;="&amp;BR$2,Data!$H:$H,"&gt;="&amp;BR$2)</f>
        <v>0</v>
      </c>
      <c r="BS17" s="19">
        <f>SUMIFS(Data!$I:$I,Data!$B:$B,$B17,Data!$G:$G,"&lt;="&amp;BS$2,Data!$H:$H,"&gt;="&amp;BS$2)</f>
        <v>0</v>
      </c>
      <c r="BT17" s="19">
        <f>SUMIFS(Data!$I:$I,Data!$B:$B,$B17,Data!$G:$G,"&lt;="&amp;BT$2,Data!$H:$H,"&gt;="&amp;BT$2)</f>
        <v>0</v>
      </c>
      <c r="BU17" s="19">
        <f>SUMIFS(Data!$I:$I,Data!$B:$B,$B17,Data!$G:$G,"&lt;="&amp;BU$2,Data!$H:$H,"&gt;="&amp;BU$2)</f>
        <v>0</v>
      </c>
      <c r="BV17" s="19">
        <f>SUMIFS(Data!$I:$I,Data!$B:$B,$B17,Data!$G:$G,"&lt;="&amp;BV$2,Data!$H:$H,"&gt;="&amp;BV$2)</f>
        <v>0</v>
      </c>
      <c r="BW17" s="19">
        <f>SUMIFS(Data!$I:$I,Data!$B:$B,$B17,Data!$G:$G,"&lt;="&amp;BW$2,Data!$H:$H,"&gt;="&amp;BW$2)</f>
        <v>0</v>
      </c>
      <c r="BX17" s="19">
        <f>SUMIFS(Data!$I:$I,Data!$B:$B,$B17,Data!$G:$G,"&lt;="&amp;BX$2,Data!$H:$H,"&gt;="&amp;BX$2)</f>
        <v>0</v>
      </c>
      <c r="BY17" s="19">
        <f>SUMIFS(Data!$I:$I,Data!$B:$B,$B17,Data!$G:$G,"&lt;="&amp;BY$2,Data!$H:$H,"&gt;="&amp;BY$2)</f>
        <v>0</v>
      </c>
      <c r="BZ17" s="19">
        <f>SUMIFS(Data!$I:$I,Data!$B:$B,$B17,Data!$G:$G,"&lt;="&amp;BZ$2,Data!$H:$H,"&gt;="&amp;BZ$2)</f>
        <v>0</v>
      </c>
      <c r="CA17" s="20">
        <f t="shared" si="3"/>
        <v>63000</v>
      </c>
    </row>
    <row r="18" spans="2:79" x14ac:dyDescent="0.25">
      <c r="B18" s="11" t="s">
        <v>73</v>
      </c>
      <c r="C18" s="11" t="str">
        <f>VLOOKUP(B18,Data!B:C,2,FALSE)</f>
        <v>JREFI</v>
      </c>
      <c r="D18" s="19">
        <f>SUMIFS(Data!$I:$I,Data!$B:$B,$B18,Data!$G:$G,"&lt;="&amp;D$2,Data!$H:$H,"&gt;="&amp;D$2)</f>
        <v>0</v>
      </c>
      <c r="E18" s="19">
        <f>SUMIFS(Data!$I:$I,Data!$B:$B,$B18,Data!$G:$G,"&lt;="&amp;E$2,Data!$H:$H,"&gt;="&amp;E$2)</f>
        <v>0</v>
      </c>
      <c r="F18" s="19">
        <f>SUMIFS(Data!$I:$I,Data!$B:$B,$B18,Data!$G:$G,"&lt;="&amp;F$2,Data!$H:$H,"&gt;="&amp;F$2)</f>
        <v>0</v>
      </c>
      <c r="G18" s="19">
        <f>SUMIFS(Data!$I:$I,Data!$B:$B,$B18,Data!$G:$G,"&lt;="&amp;G$2,Data!$H:$H,"&gt;="&amp;G$2)</f>
        <v>13500</v>
      </c>
      <c r="H18" s="19">
        <f>SUMIFS(Data!$I:$I,Data!$B:$B,$B18,Data!$G:$G,"&lt;="&amp;H$2,Data!$H:$H,"&gt;="&amp;H$2)</f>
        <v>13500</v>
      </c>
      <c r="I18" s="19">
        <f>SUMIFS(Data!$I:$I,Data!$B:$B,$B18,Data!$G:$G,"&lt;="&amp;I$2,Data!$H:$H,"&gt;="&amp;I$2)</f>
        <v>13500</v>
      </c>
      <c r="J18" s="19">
        <f>SUMIFS(Data!$I:$I,Data!$B:$B,$B18,Data!$G:$G,"&lt;="&amp;J$2,Data!$H:$H,"&gt;="&amp;J$2)</f>
        <v>4000</v>
      </c>
      <c r="K18" s="19">
        <f>SUMIFS(Data!$I:$I,Data!$B:$B,$B18,Data!$G:$G,"&lt;="&amp;K$2,Data!$H:$H,"&gt;="&amp;K$2)</f>
        <v>4000</v>
      </c>
      <c r="L18" s="19">
        <f>SUMIFS(Data!$I:$I,Data!$B:$B,$B18,Data!$G:$G,"&lt;="&amp;L$2,Data!$H:$H,"&gt;="&amp;L$2)</f>
        <v>4000</v>
      </c>
      <c r="M18" s="19">
        <f>SUMIFS(Data!$I:$I,Data!$B:$B,$B18,Data!$G:$G,"&lt;="&amp;M$2,Data!$H:$H,"&gt;="&amp;M$2)</f>
        <v>18333.333333333336</v>
      </c>
      <c r="N18" s="19">
        <f>SUMIFS(Data!$I:$I,Data!$B:$B,$B18,Data!$G:$G,"&lt;="&amp;N$2,Data!$H:$H,"&gt;="&amp;N$2)</f>
        <v>18333.333333333336</v>
      </c>
      <c r="O18" s="19">
        <f>SUMIFS(Data!$I:$I,Data!$B:$B,$B18,Data!$G:$G,"&lt;="&amp;O$2,Data!$H:$H,"&gt;="&amp;O$2)</f>
        <v>18333.333333333336</v>
      </c>
      <c r="P18" s="19">
        <f>SUMIFS(Data!$I:$I,Data!$B:$B,$B18,Data!$G:$G,"&lt;="&amp;P$2,Data!$H:$H,"&gt;="&amp;P$2)</f>
        <v>0</v>
      </c>
      <c r="Q18" s="19">
        <f>SUMIFS(Data!$I:$I,Data!$B:$B,$B18,Data!$G:$G,"&lt;="&amp;Q$2,Data!$H:$H,"&gt;="&amp;Q$2)</f>
        <v>0</v>
      </c>
      <c r="R18" s="19">
        <f>SUMIFS(Data!$I:$I,Data!$B:$B,$B18,Data!$G:$G,"&lt;="&amp;R$2,Data!$H:$H,"&gt;="&amp;R$2)</f>
        <v>0</v>
      </c>
      <c r="S18" s="19">
        <f>SUMIFS(Data!$I:$I,Data!$B:$B,$B18,Data!$G:$G,"&lt;="&amp;S$2,Data!$H:$H,"&gt;="&amp;S$2)</f>
        <v>0</v>
      </c>
      <c r="T18" s="19">
        <f>SUMIFS(Data!$I:$I,Data!$B:$B,$B18,Data!$G:$G,"&lt;="&amp;T$2,Data!$H:$H,"&gt;="&amp;T$2)</f>
        <v>0</v>
      </c>
      <c r="U18" s="19">
        <f>SUMIFS(Data!$I:$I,Data!$B:$B,$B18,Data!$G:$G,"&lt;="&amp;U$2,Data!$H:$H,"&gt;="&amp;U$2)</f>
        <v>0</v>
      </c>
      <c r="V18" s="19">
        <f>SUMIFS(Data!$I:$I,Data!$B:$B,$B18,Data!$G:$G,"&lt;="&amp;V$2,Data!$H:$H,"&gt;="&amp;V$2)</f>
        <v>0</v>
      </c>
      <c r="W18" s="19">
        <f>SUMIFS(Data!$I:$I,Data!$B:$B,$B18,Data!$G:$G,"&lt;="&amp;W$2,Data!$H:$H,"&gt;="&amp;W$2)</f>
        <v>0</v>
      </c>
      <c r="X18" s="19">
        <f>SUMIFS(Data!$I:$I,Data!$B:$B,$B18,Data!$G:$G,"&lt;="&amp;X$2,Data!$H:$H,"&gt;="&amp;X$2)</f>
        <v>0</v>
      </c>
      <c r="Y18" s="19">
        <f>SUMIFS(Data!$I:$I,Data!$B:$B,$B18,Data!$G:$G,"&lt;="&amp;Y$2,Data!$H:$H,"&gt;="&amp;Y$2)</f>
        <v>0</v>
      </c>
      <c r="Z18" s="19">
        <f>SUMIFS(Data!$I:$I,Data!$B:$B,$B18,Data!$G:$G,"&lt;="&amp;Z$2,Data!$H:$H,"&gt;="&amp;Z$2)</f>
        <v>0</v>
      </c>
      <c r="AA18" s="19">
        <f>SUMIFS(Data!$I:$I,Data!$B:$B,$B18,Data!$G:$G,"&lt;="&amp;AA$2,Data!$H:$H,"&gt;="&amp;AA$2)</f>
        <v>0</v>
      </c>
      <c r="AB18" s="19">
        <f>SUMIFS(Data!$I:$I,Data!$B:$B,$B18,Data!$G:$G,"&lt;="&amp;AB$2,Data!$H:$H,"&gt;="&amp;AB$2)</f>
        <v>0</v>
      </c>
      <c r="AC18" s="19">
        <f>SUMIFS(Data!$I:$I,Data!$B:$B,$B18,Data!$G:$G,"&lt;="&amp;AC$2,Data!$H:$H,"&gt;="&amp;AC$2)</f>
        <v>0</v>
      </c>
      <c r="AD18" s="19">
        <f>SUMIFS(Data!$I:$I,Data!$B:$B,$B18,Data!$G:$G,"&lt;="&amp;AD$2,Data!$H:$H,"&gt;="&amp;AD$2)</f>
        <v>0</v>
      </c>
      <c r="AE18" s="19">
        <f>SUMIFS(Data!$I:$I,Data!$B:$B,$B18,Data!$G:$G,"&lt;="&amp;AE$2,Data!$H:$H,"&gt;="&amp;AE$2)</f>
        <v>0</v>
      </c>
      <c r="AF18" s="19">
        <f>SUMIFS(Data!$I:$I,Data!$B:$B,$B18,Data!$G:$G,"&lt;="&amp;AF$2,Data!$H:$H,"&gt;="&amp;AF$2)</f>
        <v>0</v>
      </c>
      <c r="AG18" s="19">
        <f>SUMIFS(Data!$I:$I,Data!$B:$B,$B18,Data!$G:$G,"&lt;="&amp;AG$2,Data!$H:$H,"&gt;="&amp;AG$2)</f>
        <v>0</v>
      </c>
      <c r="AH18" s="19">
        <f>SUMIFS(Data!$I:$I,Data!$B:$B,$B18,Data!$G:$G,"&lt;="&amp;AH$2,Data!$H:$H,"&gt;="&amp;AH$2)</f>
        <v>0</v>
      </c>
      <c r="AI18" s="19">
        <f>SUMIFS(Data!$I:$I,Data!$B:$B,$B18,Data!$G:$G,"&lt;="&amp;AI$2,Data!$H:$H,"&gt;="&amp;AI$2)</f>
        <v>0</v>
      </c>
      <c r="AJ18" s="19">
        <f>SUMIFS(Data!$I:$I,Data!$B:$B,$B18,Data!$G:$G,"&lt;="&amp;AJ$2,Data!$H:$H,"&gt;="&amp;AJ$2)</f>
        <v>0</v>
      </c>
      <c r="AK18" s="19">
        <f>SUMIFS(Data!$I:$I,Data!$B:$B,$B18,Data!$G:$G,"&lt;="&amp;AK$2,Data!$H:$H,"&gt;="&amp;AK$2)</f>
        <v>0</v>
      </c>
      <c r="AL18" s="19">
        <f>SUMIFS(Data!$I:$I,Data!$B:$B,$B18,Data!$G:$G,"&lt;="&amp;AL$2,Data!$H:$H,"&gt;="&amp;AL$2)</f>
        <v>0</v>
      </c>
      <c r="AM18" s="19">
        <f>SUMIFS(Data!$I:$I,Data!$B:$B,$B18,Data!$G:$G,"&lt;="&amp;AM$2,Data!$H:$H,"&gt;="&amp;AM$2)</f>
        <v>0</v>
      </c>
      <c r="AN18" s="19">
        <f>SUMIFS(Data!$I:$I,Data!$B:$B,$B18,Data!$G:$G,"&lt;="&amp;AN$2,Data!$H:$H,"&gt;="&amp;AN$2)</f>
        <v>0</v>
      </c>
      <c r="AO18" s="19">
        <f>SUMIFS(Data!$I:$I,Data!$B:$B,$B18,Data!$G:$G,"&lt;="&amp;AO$2,Data!$H:$H,"&gt;="&amp;AO$2)</f>
        <v>0</v>
      </c>
      <c r="AP18" s="19">
        <f>SUMIFS(Data!$I:$I,Data!$B:$B,$B18,Data!$G:$G,"&lt;="&amp;AP$2,Data!$H:$H,"&gt;="&amp;AP$2)</f>
        <v>0</v>
      </c>
      <c r="AQ18" s="19">
        <f>SUMIFS(Data!$I:$I,Data!$B:$B,$B18,Data!$G:$G,"&lt;="&amp;AQ$2,Data!$H:$H,"&gt;="&amp;AQ$2)</f>
        <v>0</v>
      </c>
      <c r="AR18" s="19">
        <f>SUMIFS(Data!$I:$I,Data!$B:$B,$B18,Data!$G:$G,"&lt;="&amp;AR$2,Data!$H:$H,"&gt;="&amp;AR$2)</f>
        <v>0</v>
      </c>
      <c r="AS18" s="19">
        <f>SUMIFS(Data!$I:$I,Data!$B:$B,$B18,Data!$G:$G,"&lt;="&amp;AS$2,Data!$H:$H,"&gt;="&amp;AS$2)</f>
        <v>0</v>
      </c>
      <c r="AT18" s="19">
        <f>SUMIFS(Data!$I:$I,Data!$B:$B,$B18,Data!$G:$G,"&lt;="&amp;AT$2,Data!$H:$H,"&gt;="&amp;AT$2)</f>
        <v>0</v>
      </c>
      <c r="AU18" s="19">
        <f>SUMIFS(Data!$I:$I,Data!$B:$B,$B18,Data!$G:$G,"&lt;="&amp;AU$2,Data!$H:$H,"&gt;="&amp;AU$2)</f>
        <v>0</v>
      </c>
      <c r="AV18" s="19">
        <f>SUMIFS(Data!$I:$I,Data!$B:$B,$B18,Data!$G:$G,"&lt;="&amp;AV$2,Data!$H:$H,"&gt;="&amp;AV$2)</f>
        <v>0</v>
      </c>
      <c r="AW18" s="19">
        <f>SUMIFS(Data!$I:$I,Data!$B:$B,$B18,Data!$G:$G,"&lt;="&amp;AW$2,Data!$H:$H,"&gt;="&amp;AW$2)</f>
        <v>0</v>
      </c>
      <c r="AX18" s="19">
        <f>SUMIFS(Data!$I:$I,Data!$B:$B,$B18,Data!$G:$G,"&lt;="&amp;AX$2,Data!$H:$H,"&gt;="&amp;AX$2)</f>
        <v>0</v>
      </c>
      <c r="AY18" s="19">
        <f>SUMIFS(Data!$I:$I,Data!$B:$B,$B18,Data!$G:$G,"&lt;="&amp;AY$2,Data!$H:$H,"&gt;="&amp;AY$2)</f>
        <v>0</v>
      </c>
      <c r="AZ18" s="19">
        <f>SUMIFS(Data!$I:$I,Data!$B:$B,$B18,Data!$G:$G,"&lt;="&amp;AZ$2,Data!$H:$H,"&gt;="&amp;AZ$2)</f>
        <v>0</v>
      </c>
      <c r="BA18" s="19">
        <f>SUMIFS(Data!$I:$I,Data!$B:$B,$B18,Data!$G:$G,"&lt;="&amp;BA$2,Data!$H:$H,"&gt;="&amp;BA$2)</f>
        <v>0</v>
      </c>
      <c r="BB18" s="19">
        <f>SUMIFS(Data!$I:$I,Data!$B:$B,$B18,Data!$G:$G,"&lt;="&amp;BB$2,Data!$H:$H,"&gt;="&amp;BB$2)</f>
        <v>0</v>
      </c>
      <c r="BC18" s="19">
        <f>SUMIFS(Data!$I:$I,Data!$B:$B,$B18,Data!$G:$G,"&lt;="&amp;BC$2,Data!$H:$H,"&gt;="&amp;BC$2)</f>
        <v>0</v>
      </c>
      <c r="BD18" s="19">
        <f>SUMIFS(Data!$I:$I,Data!$B:$B,$B18,Data!$G:$G,"&lt;="&amp;BD$2,Data!$H:$H,"&gt;="&amp;BD$2)</f>
        <v>0</v>
      </c>
      <c r="BE18" s="19">
        <f>SUMIFS(Data!$I:$I,Data!$B:$B,$B18,Data!$G:$G,"&lt;="&amp;BE$2,Data!$H:$H,"&gt;="&amp;BE$2)</f>
        <v>0</v>
      </c>
      <c r="BF18" s="19">
        <f>SUMIFS(Data!$I:$I,Data!$B:$B,$B18,Data!$G:$G,"&lt;="&amp;BF$2,Data!$H:$H,"&gt;="&amp;BF$2)</f>
        <v>0</v>
      </c>
      <c r="BG18" s="19">
        <f>SUMIFS(Data!$I:$I,Data!$B:$B,$B18,Data!$G:$G,"&lt;="&amp;BG$2,Data!$H:$H,"&gt;="&amp;BG$2)</f>
        <v>0</v>
      </c>
      <c r="BH18" s="19">
        <f>SUMIFS(Data!$I:$I,Data!$B:$B,$B18,Data!$G:$G,"&lt;="&amp;BH$2,Data!$H:$H,"&gt;="&amp;BH$2)</f>
        <v>0</v>
      </c>
      <c r="BI18" s="19">
        <f>SUMIFS(Data!$I:$I,Data!$B:$B,$B18,Data!$G:$G,"&lt;="&amp;BI$2,Data!$H:$H,"&gt;="&amp;BI$2)</f>
        <v>0</v>
      </c>
      <c r="BJ18" s="19">
        <f>SUMIFS(Data!$I:$I,Data!$B:$B,$B18,Data!$G:$G,"&lt;="&amp;BJ$2,Data!$H:$H,"&gt;="&amp;BJ$2)</f>
        <v>0</v>
      </c>
      <c r="BK18" s="19">
        <f>SUMIFS(Data!$I:$I,Data!$B:$B,$B18,Data!$G:$G,"&lt;="&amp;BK$2,Data!$H:$H,"&gt;="&amp;BK$2)</f>
        <v>0</v>
      </c>
      <c r="BL18" s="19">
        <f>SUMIFS(Data!$I:$I,Data!$B:$B,$B18,Data!$G:$G,"&lt;="&amp;BL$2,Data!$H:$H,"&gt;="&amp;BL$2)</f>
        <v>0</v>
      </c>
      <c r="BM18" s="19">
        <f>SUMIFS(Data!$I:$I,Data!$B:$B,$B18,Data!$G:$G,"&lt;="&amp;BM$2,Data!$H:$H,"&gt;="&amp;BM$2)</f>
        <v>0</v>
      </c>
      <c r="BN18" s="19">
        <f>SUMIFS(Data!$I:$I,Data!$B:$B,$B18,Data!$G:$G,"&lt;="&amp;BN$2,Data!$H:$H,"&gt;="&amp;BN$2)</f>
        <v>0</v>
      </c>
      <c r="BO18" s="19">
        <f>SUMIFS(Data!$I:$I,Data!$B:$B,$B18,Data!$G:$G,"&lt;="&amp;BO$2,Data!$H:$H,"&gt;="&amp;BO$2)</f>
        <v>0</v>
      </c>
      <c r="BP18" s="19">
        <f>SUMIFS(Data!$I:$I,Data!$B:$B,$B18,Data!$G:$G,"&lt;="&amp;BP$2,Data!$H:$H,"&gt;="&amp;BP$2)</f>
        <v>0</v>
      </c>
      <c r="BQ18" s="19">
        <f>SUMIFS(Data!$I:$I,Data!$B:$B,$B18,Data!$G:$G,"&lt;="&amp;BQ$2,Data!$H:$H,"&gt;="&amp;BQ$2)</f>
        <v>0</v>
      </c>
      <c r="BR18" s="19">
        <f>SUMIFS(Data!$I:$I,Data!$B:$B,$B18,Data!$G:$G,"&lt;="&amp;BR$2,Data!$H:$H,"&gt;="&amp;BR$2)</f>
        <v>0</v>
      </c>
      <c r="BS18" s="19">
        <f>SUMIFS(Data!$I:$I,Data!$B:$B,$B18,Data!$G:$G,"&lt;="&amp;BS$2,Data!$H:$H,"&gt;="&amp;BS$2)</f>
        <v>0</v>
      </c>
      <c r="BT18" s="19">
        <f>SUMIFS(Data!$I:$I,Data!$B:$B,$B18,Data!$G:$G,"&lt;="&amp;BT$2,Data!$H:$H,"&gt;="&amp;BT$2)</f>
        <v>0</v>
      </c>
      <c r="BU18" s="19">
        <f>SUMIFS(Data!$I:$I,Data!$B:$B,$B18,Data!$G:$G,"&lt;="&amp;BU$2,Data!$H:$H,"&gt;="&amp;BU$2)</f>
        <v>0</v>
      </c>
      <c r="BV18" s="19">
        <f>SUMIFS(Data!$I:$I,Data!$B:$B,$B18,Data!$G:$G,"&lt;="&amp;BV$2,Data!$H:$H,"&gt;="&amp;BV$2)</f>
        <v>0</v>
      </c>
      <c r="BW18" s="19">
        <f>SUMIFS(Data!$I:$I,Data!$B:$B,$B18,Data!$G:$G,"&lt;="&amp;BW$2,Data!$H:$H,"&gt;="&amp;BW$2)</f>
        <v>0</v>
      </c>
      <c r="BX18" s="19">
        <f>SUMIFS(Data!$I:$I,Data!$B:$B,$B18,Data!$G:$G,"&lt;="&amp;BX$2,Data!$H:$H,"&gt;="&amp;BX$2)</f>
        <v>0</v>
      </c>
      <c r="BY18" s="19">
        <f>SUMIFS(Data!$I:$I,Data!$B:$B,$B18,Data!$G:$G,"&lt;="&amp;BY$2,Data!$H:$H,"&gt;="&amp;BY$2)</f>
        <v>0</v>
      </c>
      <c r="BZ18" s="19">
        <f>SUMIFS(Data!$I:$I,Data!$B:$B,$B18,Data!$G:$G,"&lt;="&amp;BZ$2,Data!$H:$H,"&gt;="&amp;BZ$2)</f>
        <v>0</v>
      </c>
      <c r="CA18" s="20">
        <f t="shared" si="3"/>
        <v>107500.00000000003</v>
      </c>
    </row>
    <row r="19" spans="2:79" x14ac:dyDescent="0.25">
      <c r="B19" s="11" t="s">
        <v>77</v>
      </c>
      <c r="C19" s="11" t="str">
        <f>VLOOKUP(B19,Data!B:C,2,FALSE)</f>
        <v>JREFI</v>
      </c>
      <c r="D19" s="19">
        <f>SUMIFS(Data!$I:$I,Data!$B:$B,$B19,Data!$G:$G,"&lt;="&amp;D$2,Data!$H:$H,"&gt;="&amp;D$2)</f>
        <v>0</v>
      </c>
      <c r="E19" s="19">
        <f>SUMIFS(Data!$I:$I,Data!$B:$B,$B19,Data!$G:$G,"&lt;="&amp;E$2,Data!$H:$H,"&gt;="&amp;E$2)</f>
        <v>0</v>
      </c>
      <c r="F19" s="19">
        <f>SUMIFS(Data!$I:$I,Data!$B:$B,$B19,Data!$G:$G,"&lt;="&amp;F$2,Data!$H:$H,"&gt;="&amp;F$2)</f>
        <v>0</v>
      </c>
      <c r="G19" s="19">
        <f>SUMIFS(Data!$I:$I,Data!$B:$B,$B19,Data!$G:$G,"&lt;="&amp;G$2,Data!$H:$H,"&gt;="&amp;G$2)</f>
        <v>6666.666666666667</v>
      </c>
      <c r="H19" s="19">
        <f>SUMIFS(Data!$I:$I,Data!$B:$B,$B19,Data!$G:$G,"&lt;="&amp;H$2,Data!$H:$H,"&gt;="&amp;H$2)</f>
        <v>6666.666666666667</v>
      </c>
      <c r="I19" s="19">
        <f>SUMIFS(Data!$I:$I,Data!$B:$B,$B19,Data!$G:$G,"&lt;="&amp;I$2,Data!$H:$H,"&gt;="&amp;I$2)</f>
        <v>6666.666666666667</v>
      </c>
      <c r="J19" s="19">
        <f>SUMIFS(Data!$I:$I,Data!$B:$B,$B19,Data!$G:$G,"&lt;="&amp;J$2,Data!$H:$H,"&gt;="&amp;J$2)</f>
        <v>25000</v>
      </c>
      <c r="K19" s="19">
        <f>SUMIFS(Data!$I:$I,Data!$B:$B,$B19,Data!$G:$G,"&lt;="&amp;K$2,Data!$H:$H,"&gt;="&amp;K$2)</f>
        <v>25000</v>
      </c>
      <c r="L19" s="19">
        <f>SUMIFS(Data!$I:$I,Data!$B:$B,$B19,Data!$G:$G,"&lt;="&amp;L$2,Data!$H:$H,"&gt;="&amp;L$2)</f>
        <v>25000</v>
      </c>
      <c r="M19" s="19">
        <f>SUMIFS(Data!$I:$I,Data!$B:$B,$B19,Data!$G:$G,"&lt;="&amp;M$2,Data!$H:$H,"&gt;="&amp;M$2)</f>
        <v>3333.3333333333335</v>
      </c>
      <c r="N19" s="19">
        <f>SUMIFS(Data!$I:$I,Data!$B:$B,$B19,Data!$G:$G,"&lt;="&amp;N$2,Data!$H:$H,"&gt;="&amp;N$2)</f>
        <v>3333.3333333333335</v>
      </c>
      <c r="O19" s="19">
        <f>SUMIFS(Data!$I:$I,Data!$B:$B,$B19,Data!$G:$G,"&lt;="&amp;O$2,Data!$H:$H,"&gt;="&amp;O$2)</f>
        <v>3333.3333333333335</v>
      </c>
      <c r="P19" s="19">
        <f>SUMIFS(Data!$I:$I,Data!$B:$B,$B19,Data!$G:$G,"&lt;="&amp;P$2,Data!$H:$H,"&gt;="&amp;P$2)</f>
        <v>5000</v>
      </c>
      <c r="Q19" s="19">
        <f>SUMIFS(Data!$I:$I,Data!$B:$B,$B19,Data!$G:$G,"&lt;="&amp;Q$2,Data!$H:$H,"&gt;="&amp;Q$2)</f>
        <v>5000</v>
      </c>
      <c r="R19" s="19">
        <f>SUMIFS(Data!$I:$I,Data!$B:$B,$B19,Data!$G:$G,"&lt;="&amp;R$2,Data!$H:$H,"&gt;="&amp;R$2)</f>
        <v>5000</v>
      </c>
      <c r="S19" s="19">
        <f>SUMIFS(Data!$I:$I,Data!$B:$B,$B19,Data!$G:$G,"&lt;="&amp;S$2,Data!$H:$H,"&gt;="&amp;S$2)</f>
        <v>25000</v>
      </c>
      <c r="T19" s="19">
        <f>SUMIFS(Data!$I:$I,Data!$B:$B,$B19,Data!$G:$G,"&lt;="&amp;T$2,Data!$H:$H,"&gt;="&amp;T$2)</f>
        <v>25000</v>
      </c>
      <c r="U19" s="19">
        <f>SUMIFS(Data!$I:$I,Data!$B:$B,$B19,Data!$G:$G,"&lt;="&amp;U$2,Data!$H:$H,"&gt;="&amp;U$2)</f>
        <v>25000</v>
      </c>
      <c r="V19" s="19">
        <f>SUMIFS(Data!$I:$I,Data!$B:$B,$B19,Data!$G:$G,"&lt;="&amp;V$2,Data!$H:$H,"&gt;="&amp;V$2)</f>
        <v>25000</v>
      </c>
      <c r="W19" s="19">
        <f>SUMIFS(Data!$I:$I,Data!$B:$B,$B19,Data!$G:$G,"&lt;="&amp;W$2,Data!$H:$H,"&gt;="&amp;W$2)</f>
        <v>25000</v>
      </c>
      <c r="X19" s="19">
        <f>SUMIFS(Data!$I:$I,Data!$B:$B,$B19,Data!$G:$G,"&lt;="&amp;X$2,Data!$H:$H,"&gt;="&amp;X$2)</f>
        <v>25000</v>
      </c>
      <c r="Y19" s="19">
        <f>SUMIFS(Data!$I:$I,Data!$B:$B,$B19,Data!$G:$G,"&lt;="&amp;Y$2,Data!$H:$H,"&gt;="&amp;Y$2)</f>
        <v>0</v>
      </c>
      <c r="Z19" s="19">
        <f>SUMIFS(Data!$I:$I,Data!$B:$B,$B19,Data!$G:$G,"&lt;="&amp;Z$2,Data!$H:$H,"&gt;="&amp;Z$2)</f>
        <v>0</v>
      </c>
      <c r="AA19" s="19">
        <f>SUMIFS(Data!$I:$I,Data!$B:$B,$B19,Data!$G:$G,"&lt;="&amp;AA$2,Data!$H:$H,"&gt;="&amp;AA$2)</f>
        <v>0</v>
      </c>
      <c r="AB19" s="19">
        <f>SUMIFS(Data!$I:$I,Data!$B:$B,$B19,Data!$G:$G,"&lt;="&amp;AB$2,Data!$H:$H,"&gt;="&amp;AB$2)</f>
        <v>0</v>
      </c>
      <c r="AC19" s="19">
        <f>SUMIFS(Data!$I:$I,Data!$B:$B,$B19,Data!$G:$G,"&lt;="&amp;AC$2,Data!$H:$H,"&gt;="&amp;AC$2)</f>
        <v>0</v>
      </c>
      <c r="AD19" s="19">
        <f>SUMIFS(Data!$I:$I,Data!$B:$B,$B19,Data!$G:$G,"&lt;="&amp;AD$2,Data!$H:$H,"&gt;="&amp;AD$2)</f>
        <v>0</v>
      </c>
      <c r="AE19" s="19">
        <f>SUMIFS(Data!$I:$I,Data!$B:$B,$B19,Data!$G:$G,"&lt;="&amp;AE$2,Data!$H:$H,"&gt;="&amp;AE$2)</f>
        <v>0</v>
      </c>
      <c r="AF19" s="19">
        <f>SUMIFS(Data!$I:$I,Data!$B:$B,$B19,Data!$G:$G,"&lt;="&amp;AF$2,Data!$H:$H,"&gt;="&amp;AF$2)</f>
        <v>0</v>
      </c>
      <c r="AG19" s="19">
        <f>SUMIFS(Data!$I:$I,Data!$B:$B,$B19,Data!$G:$G,"&lt;="&amp;AG$2,Data!$H:$H,"&gt;="&amp;AG$2)</f>
        <v>0</v>
      </c>
      <c r="AH19" s="19">
        <f>SUMIFS(Data!$I:$I,Data!$B:$B,$B19,Data!$G:$G,"&lt;="&amp;AH$2,Data!$H:$H,"&gt;="&amp;AH$2)</f>
        <v>0</v>
      </c>
      <c r="AI19" s="19">
        <f>SUMIFS(Data!$I:$I,Data!$B:$B,$B19,Data!$G:$G,"&lt;="&amp;AI$2,Data!$H:$H,"&gt;="&amp;AI$2)</f>
        <v>0</v>
      </c>
      <c r="AJ19" s="19">
        <f>SUMIFS(Data!$I:$I,Data!$B:$B,$B19,Data!$G:$G,"&lt;="&amp;AJ$2,Data!$H:$H,"&gt;="&amp;AJ$2)</f>
        <v>0</v>
      </c>
      <c r="AK19" s="19">
        <f>SUMIFS(Data!$I:$I,Data!$B:$B,$B19,Data!$G:$G,"&lt;="&amp;AK$2,Data!$H:$H,"&gt;="&amp;AK$2)</f>
        <v>0</v>
      </c>
      <c r="AL19" s="19">
        <f>SUMIFS(Data!$I:$I,Data!$B:$B,$B19,Data!$G:$G,"&lt;="&amp;AL$2,Data!$H:$H,"&gt;="&amp;AL$2)</f>
        <v>0</v>
      </c>
      <c r="AM19" s="19">
        <f>SUMIFS(Data!$I:$I,Data!$B:$B,$B19,Data!$G:$G,"&lt;="&amp;AM$2,Data!$H:$H,"&gt;="&amp;AM$2)</f>
        <v>0</v>
      </c>
      <c r="AN19" s="19">
        <f>SUMIFS(Data!$I:$I,Data!$B:$B,$B19,Data!$G:$G,"&lt;="&amp;AN$2,Data!$H:$H,"&gt;="&amp;AN$2)</f>
        <v>0</v>
      </c>
      <c r="AO19" s="19">
        <f>SUMIFS(Data!$I:$I,Data!$B:$B,$B19,Data!$G:$G,"&lt;="&amp;AO$2,Data!$H:$H,"&gt;="&amp;AO$2)</f>
        <v>0</v>
      </c>
      <c r="AP19" s="19">
        <f>SUMIFS(Data!$I:$I,Data!$B:$B,$B19,Data!$G:$G,"&lt;="&amp;AP$2,Data!$H:$H,"&gt;="&amp;AP$2)</f>
        <v>0</v>
      </c>
      <c r="AQ19" s="19">
        <f>SUMIFS(Data!$I:$I,Data!$B:$B,$B19,Data!$G:$G,"&lt;="&amp;AQ$2,Data!$H:$H,"&gt;="&amp;AQ$2)</f>
        <v>0</v>
      </c>
      <c r="AR19" s="19">
        <f>SUMIFS(Data!$I:$I,Data!$B:$B,$B19,Data!$G:$G,"&lt;="&amp;AR$2,Data!$H:$H,"&gt;="&amp;AR$2)</f>
        <v>0</v>
      </c>
      <c r="AS19" s="19">
        <f>SUMIFS(Data!$I:$I,Data!$B:$B,$B19,Data!$G:$G,"&lt;="&amp;AS$2,Data!$H:$H,"&gt;="&amp;AS$2)</f>
        <v>0</v>
      </c>
      <c r="AT19" s="19">
        <f>SUMIFS(Data!$I:$I,Data!$B:$B,$B19,Data!$G:$G,"&lt;="&amp;AT$2,Data!$H:$H,"&gt;="&amp;AT$2)</f>
        <v>0</v>
      </c>
      <c r="AU19" s="19">
        <f>SUMIFS(Data!$I:$I,Data!$B:$B,$B19,Data!$G:$G,"&lt;="&amp;AU$2,Data!$H:$H,"&gt;="&amp;AU$2)</f>
        <v>0</v>
      </c>
      <c r="AV19" s="19">
        <f>SUMIFS(Data!$I:$I,Data!$B:$B,$B19,Data!$G:$G,"&lt;="&amp;AV$2,Data!$H:$H,"&gt;="&amp;AV$2)</f>
        <v>0</v>
      </c>
      <c r="AW19" s="19">
        <f>SUMIFS(Data!$I:$I,Data!$B:$B,$B19,Data!$G:$G,"&lt;="&amp;AW$2,Data!$H:$H,"&gt;="&amp;AW$2)</f>
        <v>0</v>
      </c>
      <c r="AX19" s="19">
        <f>SUMIFS(Data!$I:$I,Data!$B:$B,$B19,Data!$G:$G,"&lt;="&amp;AX$2,Data!$H:$H,"&gt;="&amp;AX$2)</f>
        <v>0</v>
      </c>
      <c r="AY19" s="19">
        <f>SUMIFS(Data!$I:$I,Data!$B:$B,$B19,Data!$G:$G,"&lt;="&amp;AY$2,Data!$H:$H,"&gt;="&amp;AY$2)</f>
        <v>0</v>
      </c>
      <c r="AZ19" s="19">
        <f>SUMIFS(Data!$I:$I,Data!$B:$B,$B19,Data!$G:$G,"&lt;="&amp;AZ$2,Data!$H:$H,"&gt;="&amp;AZ$2)</f>
        <v>0</v>
      </c>
      <c r="BA19" s="19">
        <f>SUMIFS(Data!$I:$I,Data!$B:$B,$B19,Data!$G:$G,"&lt;="&amp;BA$2,Data!$H:$H,"&gt;="&amp;BA$2)</f>
        <v>0</v>
      </c>
      <c r="BB19" s="19">
        <f>SUMIFS(Data!$I:$I,Data!$B:$B,$B19,Data!$G:$G,"&lt;="&amp;BB$2,Data!$H:$H,"&gt;="&amp;BB$2)</f>
        <v>0</v>
      </c>
      <c r="BC19" s="19">
        <f>SUMIFS(Data!$I:$I,Data!$B:$B,$B19,Data!$G:$G,"&lt;="&amp;BC$2,Data!$H:$H,"&gt;="&amp;BC$2)</f>
        <v>0</v>
      </c>
      <c r="BD19" s="19">
        <f>SUMIFS(Data!$I:$I,Data!$B:$B,$B19,Data!$G:$G,"&lt;="&amp;BD$2,Data!$H:$H,"&gt;="&amp;BD$2)</f>
        <v>0</v>
      </c>
      <c r="BE19" s="19">
        <f>SUMIFS(Data!$I:$I,Data!$B:$B,$B19,Data!$G:$G,"&lt;="&amp;BE$2,Data!$H:$H,"&gt;="&amp;BE$2)</f>
        <v>0</v>
      </c>
      <c r="BF19" s="19">
        <f>SUMIFS(Data!$I:$I,Data!$B:$B,$B19,Data!$G:$G,"&lt;="&amp;BF$2,Data!$H:$H,"&gt;="&amp;BF$2)</f>
        <v>0</v>
      </c>
      <c r="BG19" s="19">
        <f>SUMIFS(Data!$I:$I,Data!$B:$B,$B19,Data!$G:$G,"&lt;="&amp;BG$2,Data!$H:$H,"&gt;="&amp;BG$2)</f>
        <v>0</v>
      </c>
      <c r="BH19" s="19">
        <f>SUMIFS(Data!$I:$I,Data!$B:$B,$B19,Data!$G:$G,"&lt;="&amp;BH$2,Data!$H:$H,"&gt;="&amp;BH$2)</f>
        <v>0</v>
      </c>
      <c r="BI19" s="19">
        <f>SUMIFS(Data!$I:$I,Data!$B:$B,$B19,Data!$G:$G,"&lt;="&amp;BI$2,Data!$H:$H,"&gt;="&amp;BI$2)</f>
        <v>0</v>
      </c>
      <c r="BJ19" s="19">
        <f>SUMIFS(Data!$I:$I,Data!$B:$B,$B19,Data!$G:$G,"&lt;="&amp;BJ$2,Data!$H:$H,"&gt;="&amp;BJ$2)</f>
        <v>0</v>
      </c>
      <c r="BK19" s="19">
        <f>SUMIFS(Data!$I:$I,Data!$B:$B,$B19,Data!$G:$G,"&lt;="&amp;BK$2,Data!$H:$H,"&gt;="&amp;BK$2)</f>
        <v>0</v>
      </c>
      <c r="BL19" s="19">
        <f>SUMIFS(Data!$I:$I,Data!$B:$B,$B19,Data!$G:$G,"&lt;="&amp;BL$2,Data!$H:$H,"&gt;="&amp;BL$2)</f>
        <v>0</v>
      </c>
      <c r="BM19" s="19">
        <f>SUMIFS(Data!$I:$I,Data!$B:$B,$B19,Data!$G:$G,"&lt;="&amp;BM$2,Data!$H:$H,"&gt;="&amp;BM$2)</f>
        <v>0</v>
      </c>
      <c r="BN19" s="19">
        <f>SUMIFS(Data!$I:$I,Data!$B:$B,$B19,Data!$G:$G,"&lt;="&amp;BN$2,Data!$H:$H,"&gt;="&amp;BN$2)</f>
        <v>0</v>
      </c>
      <c r="BO19" s="19">
        <f>SUMIFS(Data!$I:$I,Data!$B:$B,$B19,Data!$G:$G,"&lt;="&amp;BO$2,Data!$H:$H,"&gt;="&amp;BO$2)</f>
        <v>0</v>
      </c>
      <c r="BP19" s="19">
        <f>SUMIFS(Data!$I:$I,Data!$B:$B,$B19,Data!$G:$G,"&lt;="&amp;BP$2,Data!$H:$H,"&gt;="&amp;BP$2)</f>
        <v>0</v>
      </c>
      <c r="BQ19" s="19">
        <f>SUMIFS(Data!$I:$I,Data!$B:$B,$B19,Data!$G:$G,"&lt;="&amp;BQ$2,Data!$H:$H,"&gt;="&amp;BQ$2)</f>
        <v>0</v>
      </c>
      <c r="BR19" s="19">
        <f>SUMIFS(Data!$I:$I,Data!$B:$B,$B19,Data!$G:$G,"&lt;="&amp;BR$2,Data!$H:$H,"&gt;="&amp;BR$2)</f>
        <v>0</v>
      </c>
      <c r="BS19" s="19">
        <f>SUMIFS(Data!$I:$I,Data!$B:$B,$B19,Data!$G:$G,"&lt;="&amp;BS$2,Data!$H:$H,"&gt;="&amp;BS$2)</f>
        <v>0</v>
      </c>
      <c r="BT19" s="19">
        <f>SUMIFS(Data!$I:$I,Data!$B:$B,$B19,Data!$G:$G,"&lt;="&amp;BT$2,Data!$H:$H,"&gt;="&amp;BT$2)</f>
        <v>0</v>
      </c>
      <c r="BU19" s="19">
        <f>SUMIFS(Data!$I:$I,Data!$B:$B,$B19,Data!$G:$G,"&lt;="&amp;BU$2,Data!$H:$H,"&gt;="&amp;BU$2)</f>
        <v>0</v>
      </c>
      <c r="BV19" s="19">
        <f>SUMIFS(Data!$I:$I,Data!$B:$B,$B19,Data!$G:$G,"&lt;="&amp;BV$2,Data!$H:$H,"&gt;="&amp;BV$2)</f>
        <v>0</v>
      </c>
      <c r="BW19" s="19">
        <f>SUMIFS(Data!$I:$I,Data!$B:$B,$B19,Data!$G:$G,"&lt;="&amp;BW$2,Data!$H:$H,"&gt;="&amp;BW$2)</f>
        <v>0</v>
      </c>
      <c r="BX19" s="19">
        <f>SUMIFS(Data!$I:$I,Data!$B:$B,$B19,Data!$G:$G,"&lt;="&amp;BX$2,Data!$H:$H,"&gt;="&amp;BX$2)</f>
        <v>0</v>
      </c>
      <c r="BY19" s="19">
        <f>SUMIFS(Data!$I:$I,Data!$B:$B,$B19,Data!$G:$G,"&lt;="&amp;BY$2,Data!$H:$H,"&gt;="&amp;BY$2)</f>
        <v>0</v>
      </c>
      <c r="BZ19" s="19">
        <f>SUMIFS(Data!$I:$I,Data!$B:$B,$B19,Data!$G:$G,"&lt;="&amp;BZ$2,Data!$H:$H,"&gt;="&amp;BZ$2)</f>
        <v>0</v>
      </c>
      <c r="CA19" s="20">
        <f t="shared" si="3"/>
        <v>270000</v>
      </c>
    </row>
    <row r="20" spans="2:79" x14ac:dyDescent="0.25">
      <c r="B20" s="11" t="s">
        <v>78</v>
      </c>
      <c r="C20" s="11" t="str">
        <f>VLOOKUP(B20,Data!B:C,2,FALSE)</f>
        <v>JREFI</v>
      </c>
      <c r="D20" s="19">
        <f>SUMIFS(Data!$I:$I,Data!$B:$B,$B20,Data!$G:$G,"&lt;="&amp;D$2,Data!$H:$H,"&gt;="&amp;D$2)</f>
        <v>0</v>
      </c>
      <c r="E20" s="19">
        <f>SUMIFS(Data!$I:$I,Data!$B:$B,$B20,Data!$G:$G,"&lt;="&amp;E$2,Data!$H:$H,"&gt;="&amp;E$2)</f>
        <v>0</v>
      </c>
      <c r="F20" s="19">
        <f>SUMIFS(Data!$I:$I,Data!$B:$B,$B20,Data!$G:$G,"&lt;="&amp;F$2,Data!$H:$H,"&gt;="&amp;F$2)</f>
        <v>0</v>
      </c>
      <c r="G20" s="19">
        <f>SUMIFS(Data!$I:$I,Data!$B:$B,$B20,Data!$G:$G,"&lt;="&amp;G$2,Data!$H:$H,"&gt;="&amp;G$2)</f>
        <v>42000</v>
      </c>
      <c r="H20" s="19">
        <f>SUMIFS(Data!$I:$I,Data!$B:$B,$B20,Data!$G:$G,"&lt;="&amp;H$2,Data!$H:$H,"&gt;="&amp;H$2)</f>
        <v>42000</v>
      </c>
      <c r="I20" s="19">
        <f>SUMIFS(Data!$I:$I,Data!$B:$B,$B20,Data!$G:$G,"&lt;="&amp;I$2,Data!$H:$H,"&gt;="&amp;I$2)</f>
        <v>42000</v>
      </c>
      <c r="J20" s="19">
        <f>SUMIFS(Data!$I:$I,Data!$B:$B,$B20,Data!$G:$G,"&lt;="&amp;J$2,Data!$H:$H,"&gt;="&amp;J$2)</f>
        <v>42000</v>
      </c>
      <c r="K20" s="19">
        <f>SUMIFS(Data!$I:$I,Data!$B:$B,$B20,Data!$G:$G,"&lt;="&amp;K$2,Data!$H:$H,"&gt;="&amp;K$2)</f>
        <v>42000</v>
      </c>
      <c r="L20" s="19">
        <f>SUMIFS(Data!$I:$I,Data!$B:$B,$B20,Data!$G:$G,"&lt;="&amp;L$2,Data!$H:$H,"&gt;="&amp;L$2)</f>
        <v>42000</v>
      </c>
      <c r="M20" s="19">
        <f>SUMIFS(Data!$I:$I,Data!$B:$B,$B20,Data!$G:$G,"&lt;="&amp;M$2,Data!$H:$H,"&gt;="&amp;M$2)</f>
        <v>0</v>
      </c>
      <c r="N20" s="19">
        <f>SUMIFS(Data!$I:$I,Data!$B:$B,$B20,Data!$G:$G,"&lt;="&amp;N$2,Data!$H:$H,"&gt;="&amp;N$2)</f>
        <v>0</v>
      </c>
      <c r="O20" s="19">
        <f>SUMIFS(Data!$I:$I,Data!$B:$B,$B20,Data!$G:$G,"&lt;="&amp;O$2,Data!$H:$H,"&gt;="&amp;O$2)</f>
        <v>0</v>
      </c>
      <c r="P20" s="19">
        <f>SUMIFS(Data!$I:$I,Data!$B:$B,$B20,Data!$G:$G,"&lt;="&amp;P$2,Data!$H:$H,"&gt;="&amp;P$2)</f>
        <v>0</v>
      </c>
      <c r="Q20" s="19">
        <f>SUMIFS(Data!$I:$I,Data!$B:$B,$B20,Data!$G:$G,"&lt;="&amp;Q$2,Data!$H:$H,"&gt;="&amp;Q$2)</f>
        <v>0</v>
      </c>
      <c r="R20" s="19">
        <f>SUMIFS(Data!$I:$I,Data!$B:$B,$B20,Data!$G:$G,"&lt;="&amp;R$2,Data!$H:$H,"&gt;="&amp;R$2)</f>
        <v>0</v>
      </c>
      <c r="S20" s="19">
        <f>SUMIFS(Data!$I:$I,Data!$B:$B,$B20,Data!$G:$G,"&lt;="&amp;S$2,Data!$H:$H,"&gt;="&amp;S$2)</f>
        <v>44333.333333333336</v>
      </c>
      <c r="T20" s="19">
        <f>SUMIFS(Data!$I:$I,Data!$B:$B,$B20,Data!$G:$G,"&lt;="&amp;T$2,Data!$H:$H,"&gt;="&amp;T$2)</f>
        <v>44333.333333333336</v>
      </c>
      <c r="U20" s="19">
        <f>SUMIFS(Data!$I:$I,Data!$B:$B,$B20,Data!$G:$G,"&lt;="&amp;U$2,Data!$H:$H,"&gt;="&amp;U$2)</f>
        <v>44333.333333333336</v>
      </c>
      <c r="V20" s="19">
        <f>SUMIFS(Data!$I:$I,Data!$B:$B,$B20,Data!$G:$G,"&lt;="&amp;V$2,Data!$H:$H,"&gt;="&amp;V$2)</f>
        <v>44333.333333333336</v>
      </c>
      <c r="W20" s="19">
        <f>SUMIFS(Data!$I:$I,Data!$B:$B,$B20,Data!$G:$G,"&lt;="&amp;W$2,Data!$H:$H,"&gt;="&amp;W$2)</f>
        <v>44333.333333333336</v>
      </c>
      <c r="X20" s="19">
        <f>SUMIFS(Data!$I:$I,Data!$B:$B,$B20,Data!$G:$G,"&lt;="&amp;X$2,Data!$H:$H,"&gt;="&amp;X$2)</f>
        <v>44333.333333333336</v>
      </c>
      <c r="Y20" s="19">
        <f>SUMIFS(Data!$I:$I,Data!$B:$B,$B20,Data!$G:$G,"&lt;="&amp;Y$2,Data!$H:$H,"&gt;="&amp;Y$2)</f>
        <v>0</v>
      </c>
      <c r="Z20" s="19">
        <f>SUMIFS(Data!$I:$I,Data!$B:$B,$B20,Data!$G:$G,"&lt;="&amp;Z$2,Data!$H:$H,"&gt;="&amp;Z$2)</f>
        <v>0</v>
      </c>
      <c r="AA20" s="19">
        <f>SUMIFS(Data!$I:$I,Data!$B:$B,$B20,Data!$G:$G,"&lt;="&amp;AA$2,Data!$H:$H,"&gt;="&amp;AA$2)</f>
        <v>0</v>
      </c>
      <c r="AB20" s="19">
        <f>SUMIFS(Data!$I:$I,Data!$B:$B,$B20,Data!$G:$G,"&lt;="&amp;AB$2,Data!$H:$H,"&gt;="&amp;AB$2)</f>
        <v>0</v>
      </c>
      <c r="AC20" s="19">
        <f>SUMIFS(Data!$I:$I,Data!$B:$B,$B20,Data!$G:$G,"&lt;="&amp;AC$2,Data!$H:$H,"&gt;="&amp;AC$2)</f>
        <v>0</v>
      </c>
      <c r="AD20" s="19">
        <f>SUMIFS(Data!$I:$I,Data!$B:$B,$B20,Data!$G:$G,"&lt;="&amp;AD$2,Data!$H:$H,"&gt;="&amp;AD$2)</f>
        <v>0</v>
      </c>
      <c r="AE20" s="19">
        <f>SUMIFS(Data!$I:$I,Data!$B:$B,$B20,Data!$G:$G,"&lt;="&amp;AE$2,Data!$H:$H,"&gt;="&amp;AE$2)</f>
        <v>0</v>
      </c>
      <c r="AF20" s="19">
        <f>SUMIFS(Data!$I:$I,Data!$B:$B,$B20,Data!$G:$G,"&lt;="&amp;AF$2,Data!$H:$H,"&gt;="&amp;AF$2)</f>
        <v>0</v>
      </c>
      <c r="AG20" s="19">
        <f>SUMIFS(Data!$I:$I,Data!$B:$B,$B20,Data!$G:$G,"&lt;="&amp;AG$2,Data!$H:$H,"&gt;="&amp;AG$2)</f>
        <v>0</v>
      </c>
      <c r="AH20" s="19">
        <f>SUMIFS(Data!$I:$I,Data!$B:$B,$B20,Data!$G:$G,"&lt;="&amp;AH$2,Data!$H:$H,"&gt;="&amp;AH$2)</f>
        <v>0</v>
      </c>
      <c r="AI20" s="19">
        <f>SUMIFS(Data!$I:$I,Data!$B:$B,$B20,Data!$G:$G,"&lt;="&amp;AI$2,Data!$H:$H,"&gt;="&amp;AI$2)</f>
        <v>0</v>
      </c>
      <c r="AJ20" s="19">
        <f>SUMIFS(Data!$I:$I,Data!$B:$B,$B20,Data!$G:$G,"&lt;="&amp;AJ$2,Data!$H:$H,"&gt;="&amp;AJ$2)</f>
        <v>0</v>
      </c>
      <c r="AK20" s="19">
        <f>SUMIFS(Data!$I:$I,Data!$B:$B,$B20,Data!$G:$G,"&lt;="&amp;AK$2,Data!$H:$H,"&gt;="&amp;AK$2)</f>
        <v>0</v>
      </c>
      <c r="AL20" s="19">
        <f>SUMIFS(Data!$I:$I,Data!$B:$B,$B20,Data!$G:$G,"&lt;="&amp;AL$2,Data!$H:$H,"&gt;="&amp;AL$2)</f>
        <v>0</v>
      </c>
      <c r="AM20" s="19">
        <f>SUMIFS(Data!$I:$I,Data!$B:$B,$B20,Data!$G:$G,"&lt;="&amp;AM$2,Data!$H:$H,"&gt;="&amp;AM$2)</f>
        <v>0</v>
      </c>
      <c r="AN20" s="19">
        <f>SUMIFS(Data!$I:$I,Data!$B:$B,$B20,Data!$G:$G,"&lt;="&amp;AN$2,Data!$H:$H,"&gt;="&amp;AN$2)</f>
        <v>0</v>
      </c>
      <c r="AO20" s="19">
        <f>SUMIFS(Data!$I:$I,Data!$B:$B,$B20,Data!$G:$G,"&lt;="&amp;AO$2,Data!$H:$H,"&gt;="&amp;AO$2)</f>
        <v>0</v>
      </c>
      <c r="AP20" s="19">
        <f>SUMIFS(Data!$I:$I,Data!$B:$B,$B20,Data!$G:$G,"&lt;="&amp;AP$2,Data!$H:$H,"&gt;="&amp;AP$2)</f>
        <v>0</v>
      </c>
      <c r="AQ20" s="19">
        <f>SUMIFS(Data!$I:$I,Data!$B:$B,$B20,Data!$G:$G,"&lt;="&amp;AQ$2,Data!$H:$H,"&gt;="&amp;AQ$2)</f>
        <v>0</v>
      </c>
      <c r="AR20" s="19">
        <f>SUMIFS(Data!$I:$I,Data!$B:$B,$B20,Data!$G:$G,"&lt;="&amp;AR$2,Data!$H:$H,"&gt;="&amp;AR$2)</f>
        <v>0</v>
      </c>
      <c r="AS20" s="19">
        <f>SUMIFS(Data!$I:$I,Data!$B:$B,$B20,Data!$G:$G,"&lt;="&amp;AS$2,Data!$H:$H,"&gt;="&amp;AS$2)</f>
        <v>0</v>
      </c>
      <c r="AT20" s="19">
        <f>SUMIFS(Data!$I:$I,Data!$B:$B,$B20,Data!$G:$G,"&lt;="&amp;AT$2,Data!$H:$H,"&gt;="&amp;AT$2)</f>
        <v>0</v>
      </c>
      <c r="AU20" s="19">
        <f>SUMIFS(Data!$I:$I,Data!$B:$B,$B20,Data!$G:$G,"&lt;="&amp;AU$2,Data!$H:$H,"&gt;="&amp;AU$2)</f>
        <v>0</v>
      </c>
      <c r="AV20" s="19">
        <f>SUMIFS(Data!$I:$I,Data!$B:$B,$B20,Data!$G:$G,"&lt;="&amp;AV$2,Data!$H:$H,"&gt;="&amp;AV$2)</f>
        <v>0</v>
      </c>
      <c r="AW20" s="19">
        <f>SUMIFS(Data!$I:$I,Data!$B:$B,$B20,Data!$G:$G,"&lt;="&amp;AW$2,Data!$H:$H,"&gt;="&amp;AW$2)</f>
        <v>0</v>
      </c>
      <c r="AX20" s="19">
        <f>SUMIFS(Data!$I:$I,Data!$B:$B,$B20,Data!$G:$G,"&lt;="&amp;AX$2,Data!$H:$H,"&gt;="&amp;AX$2)</f>
        <v>0</v>
      </c>
      <c r="AY20" s="19">
        <f>SUMIFS(Data!$I:$I,Data!$B:$B,$B20,Data!$G:$G,"&lt;="&amp;AY$2,Data!$H:$H,"&gt;="&amp;AY$2)</f>
        <v>0</v>
      </c>
      <c r="AZ20" s="19">
        <f>SUMIFS(Data!$I:$I,Data!$B:$B,$B20,Data!$G:$G,"&lt;="&amp;AZ$2,Data!$H:$H,"&gt;="&amp;AZ$2)</f>
        <v>0</v>
      </c>
      <c r="BA20" s="19">
        <f>SUMIFS(Data!$I:$I,Data!$B:$B,$B20,Data!$G:$G,"&lt;="&amp;BA$2,Data!$H:$H,"&gt;="&amp;BA$2)</f>
        <v>0</v>
      </c>
      <c r="BB20" s="19">
        <f>SUMIFS(Data!$I:$I,Data!$B:$B,$B20,Data!$G:$G,"&lt;="&amp;BB$2,Data!$H:$H,"&gt;="&amp;BB$2)</f>
        <v>0</v>
      </c>
      <c r="BC20" s="19">
        <f>SUMIFS(Data!$I:$I,Data!$B:$B,$B20,Data!$G:$G,"&lt;="&amp;BC$2,Data!$H:$H,"&gt;="&amp;BC$2)</f>
        <v>0</v>
      </c>
      <c r="BD20" s="19">
        <f>SUMIFS(Data!$I:$I,Data!$B:$B,$B20,Data!$G:$G,"&lt;="&amp;BD$2,Data!$H:$H,"&gt;="&amp;BD$2)</f>
        <v>0</v>
      </c>
      <c r="BE20" s="19">
        <f>SUMIFS(Data!$I:$I,Data!$B:$B,$B20,Data!$G:$G,"&lt;="&amp;BE$2,Data!$H:$H,"&gt;="&amp;BE$2)</f>
        <v>0</v>
      </c>
      <c r="BF20" s="19">
        <f>SUMIFS(Data!$I:$I,Data!$B:$B,$B20,Data!$G:$G,"&lt;="&amp;BF$2,Data!$H:$H,"&gt;="&amp;BF$2)</f>
        <v>0</v>
      </c>
      <c r="BG20" s="19">
        <f>SUMIFS(Data!$I:$I,Data!$B:$B,$B20,Data!$G:$G,"&lt;="&amp;BG$2,Data!$H:$H,"&gt;="&amp;BG$2)</f>
        <v>0</v>
      </c>
      <c r="BH20" s="19">
        <f>SUMIFS(Data!$I:$I,Data!$B:$B,$B20,Data!$G:$G,"&lt;="&amp;BH$2,Data!$H:$H,"&gt;="&amp;BH$2)</f>
        <v>0</v>
      </c>
      <c r="BI20" s="19">
        <f>SUMIFS(Data!$I:$I,Data!$B:$B,$B20,Data!$G:$G,"&lt;="&amp;BI$2,Data!$H:$H,"&gt;="&amp;BI$2)</f>
        <v>0</v>
      </c>
      <c r="BJ20" s="19">
        <f>SUMIFS(Data!$I:$I,Data!$B:$B,$B20,Data!$G:$G,"&lt;="&amp;BJ$2,Data!$H:$H,"&gt;="&amp;BJ$2)</f>
        <v>0</v>
      </c>
      <c r="BK20" s="19">
        <f>SUMIFS(Data!$I:$I,Data!$B:$B,$B20,Data!$G:$G,"&lt;="&amp;BK$2,Data!$H:$H,"&gt;="&amp;BK$2)</f>
        <v>0</v>
      </c>
      <c r="BL20" s="19">
        <f>SUMIFS(Data!$I:$I,Data!$B:$B,$B20,Data!$G:$G,"&lt;="&amp;BL$2,Data!$H:$H,"&gt;="&amp;BL$2)</f>
        <v>0</v>
      </c>
      <c r="BM20" s="19">
        <f>SUMIFS(Data!$I:$I,Data!$B:$B,$B20,Data!$G:$G,"&lt;="&amp;BM$2,Data!$H:$H,"&gt;="&amp;BM$2)</f>
        <v>0</v>
      </c>
      <c r="BN20" s="19">
        <f>SUMIFS(Data!$I:$I,Data!$B:$B,$B20,Data!$G:$G,"&lt;="&amp;BN$2,Data!$H:$H,"&gt;="&amp;BN$2)</f>
        <v>0</v>
      </c>
      <c r="BO20" s="19">
        <f>SUMIFS(Data!$I:$I,Data!$B:$B,$B20,Data!$G:$G,"&lt;="&amp;BO$2,Data!$H:$H,"&gt;="&amp;BO$2)</f>
        <v>0</v>
      </c>
      <c r="BP20" s="19">
        <f>SUMIFS(Data!$I:$I,Data!$B:$B,$B20,Data!$G:$G,"&lt;="&amp;BP$2,Data!$H:$H,"&gt;="&amp;BP$2)</f>
        <v>0</v>
      </c>
      <c r="BQ20" s="19">
        <f>SUMIFS(Data!$I:$I,Data!$B:$B,$B20,Data!$G:$G,"&lt;="&amp;BQ$2,Data!$H:$H,"&gt;="&amp;BQ$2)</f>
        <v>0</v>
      </c>
      <c r="BR20" s="19">
        <f>SUMIFS(Data!$I:$I,Data!$B:$B,$B20,Data!$G:$G,"&lt;="&amp;BR$2,Data!$H:$H,"&gt;="&amp;BR$2)</f>
        <v>0</v>
      </c>
      <c r="BS20" s="19">
        <f>SUMIFS(Data!$I:$I,Data!$B:$B,$B20,Data!$G:$G,"&lt;="&amp;BS$2,Data!$H:$H,"&gt;="&amp;BS$2)</f>
        <v>0</v>
      </c>
      <c r="BT20" s="19">
        <f>SUMIFS(Data!$I:$I,Data!$B:$B,$B20,Data!$G:$G,"&lt;="&amp;BT$2,Data!$H:$H,"&gt;="&amp;BT$2)</f>
        <v>0</v>
      </c>
      <c r="BU20" s="19">
        <f>SUMIFS(Data!$I:$I,Data!$B:$B,$B20,Data!$G:$G,"&lt;="&amp;BU$2,Data!$H:$H,"&gt;="&amp;BU$2)</f>
        <v>0</v>
      </c>
      <c r="BV20" s="19">
        <f>SUMIFS(Data!$I:$I,Data!$B:$B,$B20,Data!$G:$G,"&lt;="&amp;BV$2,Data!$H:$H,"&gt;="&amp;BV$2)</f>
        <v>0</v>
      </c>
      <c r="BW20" s="19">
        <f>SUMIFS(Data!$I:$I,Data!$B:$B,$B20,Data!$G:$G,"&lt;="&amp;BW$2,Data!$H:$H,"&gt;="&amp;BW$2)</f>
        <v>0</v>
      </c>
      <c r="BX20" s="19">
        <f>SUMIFS(Data!$I:$I,Data!$B:$B,$B20,Data!$G:$G,"&lt;="&amp;BX$2,Data!$H:$H,"&gt;="&amp;BX$2)</f>
        <v>0</v>
      </c>
      <c r="BY20" s="19">
        <f>SUMIFS(Data!$I:$I,Data!$B:$B,$B20,Data!$G:$G,"&lt;="&amp;BY$2,Data!$H:$H,"&gt;="&amp;BY$2)</f>
        <v>0</v>
      </c>
      <c r="BZ20" s="19">
        <f>SUMIFS(Data!$I:$I,Data!$B:$B,$B20,Data!$G:$G,"&lt;="&amp;BZ$2,Data!$H:$H,"&gt;="&amp;BZ$2)</f>
        <v>0</v>
      </c>
      <c r="CA20" s="20">
        <f t="shared" si="3"/>
        <v>517999.99999999988</v>
      </c>
    </row>
    <row r="21" spans="2:79" x14ac:dyDescent="0.25">
      <c r="B21" s="11" t="s">
        <v>81</v>
      </c>
      <c r="C21" s="11" t="str">
        <f>VLOOKUP(B21,Data!B:C,2,FALSE)</f>
        <v>JREFI</v>
      </c>
      <c r="D21" s="19">
        <f>SUMIFS(Data!$I:$I,Data!$B:$B,$B21,Data!$G:$G,"&lt;="&amp;D$2,Data!$H:$H,"&gt;="&amp;D$2)</f>
        <v>0</v>
      </c>
      <c r="E21" s="19">
        <f>SUMIFS(Data!$I:$I,Data!$B:$B,$B21,Data!$G:$G,"&lt;="&amp;E$2,Data!$H:$H,"&gt;="&amp;E$2)</f>
        <v>0</v>
      </c>
      <c r="F21" s="19">
        <f>SUMIFS(Data!$I:$I,Data!$B:$B,$B21,Data!$G:$G,"&lt;="&amp;F$2,Data!$H:$H,"&gt;="&amp;F$2)</f>
        <v>0</v>
      </c>
      <c r="G21" s="19">
        <f>SUMIFS(Data!$I:$I,Data!$B:$B,$B21,Data!$G:$G,"&lt;="&amp;G$2,Data!$H:$H,"&gt;="&amp;G$2)</f>
        <v>18333.333333333336</v>
      </c>
      <c r="H21" s="19">
        <f>SUMIFS(Data!$I:$I,Data!$B:$B,$B21,Data!$G:$G,"&lt;="&amp;H$2,Data!$H:$H,"&gt;="&amp;H$2)</f>
        <v>18333.333333333336</v>
      </c>
      <c r="I21" s="19">
        <f>SUMIFS(Data!$I:$I,Data!$B:$B,$B21,Data!$G:$G,"&lt;="&amp;I$2,Data!$H:$H,"&gt;="&amp;I$2)</f>
        <v>18333.333333333336</v>
      </c>
      <c r="J21" s="19">
        <f>SUMIFS(Data!$I:$I,Data!$B:$B,$B21,Data!$G:$G,"&lt;="&amp;J$2,Data!$H:$H,"&gt;="&amp;J$2)</f>
        <v>3333.3333333333335</v>
      </c>
      <c r="K21" s="19">
        <f>SUMIFS(Data!$I:$I,Data!$B:$B,$B21,Data!$G:$G,"&lt;="&amp;K$2,Data!$H:$H,"&gt;="&amp;K$2)</f>
        <v>3333.3333333333335</v>
      </c>
      <c r="L21" s="19">
        <f>SUMIFS(Data!$I:$I,Data!$B:$B,$B21,Data!$G:$G,"&lt;="&amp;L$2,Data!$H:$H,"&gt;="&amp;L$2)</f>
        <v>3333.3333333333335</v>
      </c>
      <c r="M21" s="19">
        <f>SUMIFS(Data!$I:$I,Data!$B:$B,$B21,Data!$G:$G,"&lt;="&amp;M$2,Data!$H:$H,"&gt;="&amp;M$2)</f>
        <v>12333.333333333334</v>
      </c>
      <c r="N21" s="19">
        <f>SUMIFS(Data!$I:$I,Data!$B:$B,$B21,Data!$G:$G,"&lt;="&amp;N$2,Data!$H:$H,"&gt;="&amp;N$2)</f>
        <v>12333.333333333334</v>
      </c>
      <c r="O21" s="19">
        <f>SUMIFS(Data!$I:$I,Data!$B:$B,$B21,Data!$G:$G,"&lt;="&amp;O$2,Data!$H:$H,"&gt;="&amp;O$2)</f>
        <v>12333.333333333334</v>
      </c>
      <c r="P21" s="19">
        <f>SUMIFS(Data!$I:$I,Data!$B:$B,$B21,Data!$G:$G,"&lt;="&amp;P$2,Data!$H:$H,"&gt;="&amp;P$2)</f>
        <v>38333.333333333336</v>
      </c>
      <c r="Q21" s="19">
        <f>SUMIFS(Data!$I:$I,Data!$B:$B,$B21,Data!$G:$G,"&lt;="&amp;Q$2,Data!$H:$H,"&gt;="&amp;Q$2)</f>
        <v>38333.333333333336</v>
      </c>
      <c r="R21" s="19">
        <f>SUMIFS(Data!$I:$I,Data!$B:$B,$B21,Data!$G:$G,"&lt;="&amp;R$2,Data!$H:$H,"&gt;="&amp;R$2)</f>
        <v>38333.333333333336</v>
      </c>
      <c r="S21" s="19">
        <f>SUMIFS(Data!$I:$I,Data!$B:$B,$B21,Data!$G:$G,"&lt;="&amp;S$2,Data!$H:$H,"&gt;="&amp;S$2)</f>
        <v>0</v>
      </c>
      <c r="T21" s="19">
        <f>SUMIFS(Data!$I:$I,Data!$B:$B,$B21,Data!$G:$G,"&lt;="&amp;T$2,Data!$H:$H,"&gt;="&amp;T$2)</f>
        <v>0</v>
      </c>
      <c r="U21" s="19">
        <f>SUMIFS(Data!$I:$I,Data!$B:$B,$B21,Data!$G:$G,"&lt;="&amp;U$2,Data!$H:$H,"&gt;="&amp;U$2)</f>
        <v>0</v>
      </c>
      <c r="V21" s="19">
        <f>SUMIFS(Data!$I:$I,Data!$B:$B,$B21,Data!$G:$G,"&lt;="&amp;V$2,Data!$H:$H,"&gt;="&amp;V$2)</f>
        <v>0</v>
      </c>
      <c r="W21" s="19">
        <f>SUMIFS(Data!$I:$I,Data!$B:$B,$B21,Data!$G:$G,"&lt;="&amp;W$2,Data!$H:$H,"&gt;="&amp;W$2)</f>
        <v>0</v>
      </c>
      <c r="X21" s="19">
        <f>SUMIFS(Data!$I:$I,Data!$B:$B,$B21,Data!$G:$G,"&lt;="&amp;X$2,Data!$H:$H,"&gt;="&amp;X$2)</f>
        <v>0</v>
      </c>
      <c r="Y21" s="19">
        <f>SUMIFS(Data!$I:$I,Data!$B:$B,$B21,Data!$G:$G,"&lt;="&amp;Y$2,Data!$H:$H,"&gt;="&amp;Y$2)</f>
        <v>0</v>
      </c>
      <c r="Z21" s="19">
        <f>SUMIFS(Data!$I:$I,Data!$B:$B,$B21,Data!$G:$G,"&lt;="&amp;Z$2,Data!$H:$H,"&gt;="&amp;Z$2)</f>
        <v>0</v>
      </c>
      <c r="AA21" s="19">
        <f>SUMIFS(Data!$I:$I,Data!$B:$B,$B21,Data!$G:$G,"&lt;="&amp;AA$2,Data!$H:$H,"&gt;="&amp;AA$2)</f>
        <v>0</v>
      </c>
      <c r="AB21" s="19">
        <f>SUMIFS(Data!$I:$I,Data!$B:$B,$B21,Data!$G:$G,"&lt;="&amp;AB$2,Data!$H:$H,"&gt;="&amp;AB$2)</f>
        <v>0</v>
      </c>
      <c r="AC21" s="19">
        <f>SUMIFS(Data!$I:$I,Data!$B:$B,$B21,Data!$G:$G,"&lt;="&amp;AC$2,Data!$H:$H,"&gt;="&amp;AC$2)</f>
        <v>0</v>
      </c>
      <c r="AD21" s="19">
        <f>SUMIFS(Data!$I:$I,Data!$B:$B,$B21,Data!$G:$G,"&lt;="&amp;AD$2,Data!$H:$H,"&gt;="&amp;AD$2)</f>
        <v>0</v>
      </c>
      <c r="AE21" s="19">
        <f>SUMIFS(Data!$I:$I,Data!$B:$B,$B21,Data!$G:$G,"&lt;="&amp;AE$2,Data!$H:$H,"&gt;="&amp;AE$2)</f>
        <v>0</v>
      </c>
      <c r="AF21" s="19">
        <f>SUMIFS(Data!$I:$I,Data!$B:$B,$B21,Data!$G:$G,"&lt;="&amp;AF$2,Data!$H:$H,"&gt;="&amp;AF$2)</f>
        <v>0</v>
      </c>
      <c r="AG21" s="19">
        <f>SUMIFS(Data!$I:$I,Data!$B:$B,$B21,Data!$G:$G,"&lt;="&amp;AG$2,Data!$H:$H,"&gt;="&amp;AG$2)</f>
        <v>0</v>
      </c>
      <c r="AH21" s="19">
        <f>SUMIFS(Data!$I:$I,Data!$B:$B,$B21,Data!$G:$G,"&lt;="&amp;AH$2,Data!$H:$H,"&gt;="&amp;AH$2)</f>
        <v>0</v>
      </c>
      <c r="AI21" s="19">
        <f>SUMIFS(Data!$I:$I,Data!$B:$B,$B21,Data!$G:$G,"&lt;="&amp;AI$2,Data!$H:$H,"&gt;="&amp;AI$2)</f>
        <v>0</v>
      </c>
      <c r="AJ21" s="19">
        <f>SUMIFS(Data!$I:$I,Data!$B:$B,$B21,Data!$G:$G,"&lt;="&amp;AJ$2,Data!$H:$H,"&gt;="&amp;AJ$2)</f>
        <v>0</v>
      </c>
      <c r="AK21" s="19">
        <f>SUMIFS(Data!$I:$I,Data!$B:$B,$B21,Data!$G:$G,"&lt;="&amp;AK$2,Data!$H:$H,"&gt;="&amp;AK$2)</f>
        <v>0</v>
      </c>
      <c r="AL21" s="19">
        <f>SUMIFS(Data!$I:$I,Data!$B:$B,$B21,Data!$G:$G,"&lt;="&amp;AL$2,Data!$H:$H,"&gt;="&amp;AL$2)</f>
        <v>0</v>
      </c>
      <c r="AM21" s="19">
        <f>SUMIFS(Data!$I:$I,Data!$B:$B,$B21,Data!$G:$G,"&lt;="&amp;AM$2,Data!$H:$H,"&gt;="&amp;AM$2)</f>
        <v>0</v>
      </c>
      <c r="AN21" s="19">
        <f>SUMIFS(Data!$I:$I,Data!$B:$B,$B21,Data!$G:$G,"&lt;="&amp;AN$2,Data!$H:$H,"&gt;="&amp;AN$2)</f>
        <v>0</v>
      </c>
      <c r="AO21" s="19">
        <f>SUMIFS(Data!$I:$I,Data!$B:$B,$B21,Data!$G:$G,"&lt;="&amp;AO$2,Data!$H:$H,"&gt;="&amp;AO$2)</f>
        <v>0</v>
      </c>
      <c r="AP21" s="19">
        <f>SUMIFS(Data!$I:$I,Data!$B:$B,$B21,Data!$G:$G,"&lt;="&amp;AP$2,Data!$H:$H,"&gt;="&amp;AP$2)</f>
        <v>0</v>
      </c>
      <c r="AQ21" s="19">
        <f>SUMIFS(Data!$I:$I,Data!$B:$B,$B21,Data!$G:$G,"&lt;="&amp;AQ$2,Data!$H:$H,"&gt;="&amp;AQ$2)</f>
        <v>0</v>
      </c>
      <c r="AR21" s="19">
        <f>SUMIFS(Data!$I:$I,Data!$B:$B,$B21,Data!$G:$G,"&lt;="&amp;AR$2,Data!$H:$H,"&gt;="&amp;AR$2)</f>
        <v>0</v>
      </c>
      <c r="AS21" s="19">
        <f>SUMIFS(Data!$I:$I,Data!$B:$B,$B21,Data!$G:$G,"&lt;="&amp;AS$2,Data!$H:$H,"&gt;="&amp;AS$2)</f>
        <v>0</v>
      </c>
      <c r="AT21" s="19">
        <f>SUMIFS(Data!$I:$I,Data!$B:$B,$B21,Data!$G:$G,"&lt;="&amp;AT$2,Data!$H:$H,"&gt;="&amp;AT$2)</f>
        <v>0</v>
      </c>
      <c r="AU21" s="19">
        <f>SUMIFS(Data!$I:$I,Data!$B:$B,$B21,Data!$G:$G,"&lt;="&amp;AU$2,Data!$H:$H,"&gt;="&amp;AU$2)</f>
        <v>0</v>
      </c>
      <c r="AV21" s="19">
        <f>SUMIFS(Data!$I:$I,Data!$B:$B,$B21,Data!$G:$G,"&lt;="&amp;AV$2,Data!$H:$H,"&gt;="&amp;AV$2)</f>
        <v>0</v>
      </c>
      <c r="AW21" s="19">
        <f>SUMIFS(Data!$I:$I,Data!$B:$B,$B21,Data!$G:$G,"&lt;="&amp;AW$2,Data!$H:$H,"&gt;="&amp;AW$2)</f>
        <v>0</v>
      </c>
      <c r="AX21" s="19">
        <f>SUMIFS(Data!$I:$I,Data!$B:$B,$B21,Data!$G:$G,"&lt;="&amp;AX$2,Data!$H:$H,"&gt;="&amp;AX$2)</f>
        <v>0</v>
      </c>
      <c r="AY21" s="19">
        <f>SUMIFS(Data!$I:$I,Data!$B:$B,$B21,Data!$G:$G,"&lt;="&amp;AY$2,Data!$H:$H,"&gt;="&amp;AY$2)</f>
        <v>0</v>
      </c>
      <c r="AZ21" s="19">
        <f>SUMIFS(Data!$I:$I,Data!$B:$B,$B21,Data!$G:$G,"&lt;="&amp;AZ$2,Data!$H:$H,"&gt;="&amp;AZ$2)</f>
        <v>0</v>
      </c>
      <c r="BA21" s="19">
        <f>SUMIFS(Data!$I:$I,Data!$B:$B,$B21,Data!$G:$G,"&lt;="&amp;BA$2,Data!$H:$H,"&gt;="&amp;BA$2)</f>
        <v>0</v>
      </c>
      <c r="BB21" s="19">
        <f>SUMIFS(Data!$I:$I,Data!$B:$B,$B21,Data!$G:$G,"&lt;="&amp;BB$2,Data!$H:$H,"&gt;="&amp;BB$2)</f>
        <v>0</v>
      </c>
      <c r="BC21" s="19">
        <f>SUMIFS(Data!$I:$I,Data!$B:$B,$B21,Data!$G:$G,"&lt;="&amp;BC$2,Data!$H:$H,"&gt;="&amp;BC$2)</f>
        <v>0</v>
      </c>
      <c r="BD21" s="19">
        <f>SUMIFS(Data!$I:$I,Data!$B:$B,$B21,Data!$G:$G,"&lt;="&amp;BD$2,Data!$H:$H,"&gt;="&amp;BD$2)</f>
        <v>0</v>
      </c>
      <c r="BE21" s="19">
        <f>SUMIFS(Data!$I:$I,Data!$B:$B,$B21,Data!$G:$G,"&lt;="&amp;BE$2,Data!$H:$H,"&gt;="&amp;BE$2)</f>
        <v>0</v>
      </c>
      <c r="BF21" s="19">
        <f>SUMIFS(Data!$I:$I,Data!$B:$B,$B21,Data!$G:$G,"&lt;="&amp;BF$2,Data!$H:$H,"&gt;="&amp;BF$2)</f>
        <v>0</v>
      </c>
      <c r="BG21" s="19">
        <f>SUMIFS(Data!$I:$I,Data!$B:$B,$B21,Data!$G:$G,"&lt;="&amp;BG$2,Data!$H:$H,"&gt;="&amp;BG$2)</f>
        <v>0</v>
      </c>
      <c r="BH21" s="19">
        <f>SUMIFS(Data!$I:$I,Data!$B:$B,$B21,Data!$G:$G,"&lt;="&amp;BH$2,Data!$H:$H,"&gt;="&amp;BH$2)</f>
        <v>0</v>
      </c>
      <c r="BI21" s="19">
        <f>SUMIFS(Data!$I:$I,Data!$B:$B,$B21,Data!$G:$G,"&lt;="&amp;BI$2,Data!$H:$H,"&gt;="&amp;BI$2)</f>
        <v>0</v>
      </c>
      <c r="BJ21" s="19">
        <f>SUMIFS(Data!$I:$I,Data!$B:$B,$B21,Data!$G:$G,"&lt;="&amp;BJ$2,Data!$H:$H,"&gt;="&amp;BJ$2)</f>
        <v>0</v>
      </c>
      <c r="BK21" s="19">
        <f>SUMIFS(Data!$I:$I,Data!$B:$B,$B21,Data!$G:$G,"&lt;="&amp;BK$2,Data!$H:$H,"&gt;="&amp;BK$2)</f>
        <v>0</v>
      </c>
      <c r="BL21" s="19">
        <f>SUMIFS(Data!$I:$I,Data!$B:$B,$B21,Data!$G:$G,"&lt;="&amp;BL$2,Data!$H:$H,"&gt;="&amp;BL$2)</f>
        <v>0</v>
      </c>
      <c r="BM21" s="19">
        <f>SUMIFS(Data!$I:$I,Data!$B:$B,$B21,Data!$G:$G,"&lt;="&amp;BM$2,Data!$H:$H,"&gt;="&amp;BM$2)</f>
        <v>0</v>
      </c>
      <c r="BN21" s="19">
        <f>SUMIFS(Data!$I:$I,Data!$B:$B,$B21,Data!$G:$G,"&lt;="&amp;BN$2,Data!$H:$H,"&gt;="&amp;BN$2)</f>
        <v>0</v>
      </c>
      <c r="BO21" s="19">
        <f>SUMIFS(Data!$I:$I,Data!$B:$B,$B21,Data!$G:$G,"&lt;="&amp;BO$2,Data!$H:$H,"&gt;="&amp;BO$2)</f>
        <v>0</v>
      </c>
      <c r="BP21" s="19">
        <f>SUMIFS(Data!$I:$I,Data!$B:$B,$B21,Data!$G:$G,"&lt;="&amp;BP$2,Data!$H:$H,"&gt;="&amp;BP$2)</f>
        <v>0</v>
      </c>
      <c r="BQ21" s="19">
        <f>SUMIFS(Data!$I:$I,Data!$B:$B,$B21,Data!$G:$G,"&lt;="&amp;BQ$2,Data!$H:$H,"&gt;="&amp;BQ$2)</f>
        <v>0</v>
      </c>
      <c r="BR21" s="19">
        <f>SUMIFS(Data!$I:$I,Data!$B:$B,$B21,Data!$G:$G,"&lt;="&amp;BR$2,Data!$H:$H,"&gt;="&amp;BR$2)</f>
        <v>0</v>
      </c>
      <c r="BS21" s="19">
        <f>SUMIFS(Data!$I:$I,Data!$B:$B,$B21,Data!$G:$G,"&lt;="&amp;BS$2,Data!$H:$H,"&gt;="&amp;BS$2)</f>
        <v>0</v>
      </c>
      <c r="BT21" s="19">
        <f>SUMIFS(Data!$I:$I,Data!$B:$B,$B21,Data!$G:$G,"&lt;="&amp;BT$2,Data!$H:$H,"&gt;="&amp;BT$2)</f>
        <v>0</v>
      </c>
      <c r="BU21" s="19">
        <f>SUMIFS(Data!$I:$I,Data!$B:$B,$B21,Data!$G:$G,"&lt;="&amp;BU$2,Data!$H:$H,"&gt;="&amp;BU$2)</f>
        <v>0</v>
      </c>
      <c r="BV21" s="19">
        <f>SUMIFS(Data!$I:$I,Data!$B:$B,$B21,Data!$G:$G,"&lt;="&amp;BV$2,Data!$H:$H,"&gt;="&amp;BV$2)</f>
        <v>0</v>
      </c>
      <c r="BW21" s="19">
        <f>SUMIFS(Data!$I:$I,Data!$B:$B,$B21,Data!$G:$G,"&lt;="&amp;BW$2,Data!$H:$H,"&gt;="&amp;BW$2)</f>
        <v>0</v>
      </c>
      <c r="BX21" s="19">
        <f>SUMIFS(Data!$I:$I,Data!$B:$B,$B21,Data!$G:$G,"&lt;="&amp;BX$2,Data!$H:$H,"&gt;="&amp;BX$2)</f>
        <v>0</v>
      </c>
      <c r="BY21" s="19">
        <f>SUMIFS(Data!$I:$I,Data!$B:$B,$B21,Data!$G:$G,"&lt;="&amp;BY$2,Data!$H:$H,"&gt;="&amp;BY$2)</f>
        <v>0</v>
      </c>
      <c r="BZ21" s="19">
        <f>SUMIFS(Data!$I:$I,Data!$B:$B,$B21,Data!$G:$G,"&lt;="&amp;BZ$2,Data!$H:$H,"&gt;="&amp;BZ$2)</f>
        <v>0</v>
      </c>
      <c r="CA21" s="20">
        <f t="shared" si="3"/>
        <v>217000.00000000003</v>
      </c>
    </row>
    <row r="22" spans="2:79" x14ac:dyDescent="0.25">
      <c r="B22" s="11" t="s">
        <v>84</v>
      </c>
      <c r="C22" s="11" t="str">
        <f>VLOOKUP(B22,Data!B:C,2,FALSE)</f>
        <v>JREFI</v>
      </c>
      <c r="D22" s="19">
        <f>SUMIFS(Data!$I:$I,Data!$B:$B,$B22,Data!$G:$G,"&lt;="&amp;D$2,Data!$H:$H,"&gt;="&amp;D$2)</f>
        <v>0</v>
      </c>
      <c r="E22" s="19">
        <f>SUMIFS(Data!$I:$I,Data!$B:$B,$B22,Data!$G:$G,"&lt;="&amp;E$2,Data!$H:$H,"&gt;="&amp;E$2)</f>
        <v>0</v>
      </c>
      <c r="F22" s="19">
        <f>SUMIFS(Data!$I:$I,Data!$B:$B,$B22,Data!$G:$G,"&lt;="&amp;F$2,Data!$H:$H,"&gt;="&amp;F$2)</f>
        <v>0</v>
      </c>
      <c r="G22" s="19">
        <f>SUMIFS(Data!$I:$I,Data!$B:$B,$B22,Data!$G:$G,"&lt;="&amp;G$2,Data!$H:$H,"&gt;="&amp;G$2)</f>
        <v>26666.666666666668</v>
      </c>
      <c r="H22" s="19">
        <f>SUMIFS(Data!$I:$I,Data!$B:$B,$B22,Data!$G:$G,"&lt;="&amp;H$2,Data!$H:$H,"&gt;="&amp;H$2)</f>
        <v>26666.666666666668</v>
      </c>
      <c r="I22" s="19">
        <f>SUMIFS(Data!$I:$I,Data!$B:$B,$B22,Data!$G:$G,"&lt;="&amp;I$2,Data!$H:$H,"&gt;="&amp;I$2)</f>
        <v>26666.666666666668</v>
      </c>
      <c r="J22" s="19">
        <f>SUMIFS(Data!$I:$I,Data!$B:$B,$B22,Data!$G:$G,"&lt;="&amp;J$2,Data!$H:$H,"&gt;="&amp;J$2)</f>
        <v>5000</v>
      </c>
      <c r="K22" s="19">
        <f>SUMIFS(Data!$I:$I,Data!$B:$B,$B22,Data!$G:$G,"&lt;="&amp;K$2,Data!$H:$H,"&gt;="&amp;K$2)</f>
        <v>5000</v>
      </c>
      <c r="L22" s="19">
        <f>SUMIFS(Data!$I:$I,Data!$B:$B,$B22,Data!$G:$G,"&lt;="&amp;L$2,Data!$H:$H,"&gt;="&amp;L$2)</f>
        <v>5000</v>
      </c>
      <c r="M22" s="19">
        <f>SUMIFS(Data!$I:$I,Data!$B:$B,$B22,Data!$G:$G,"&lt;="&amp;M$2,Data!$H:$H,"&gt;="&amp;M$2)</f>
        <v>16666.666666666668</v>
      </c>
      <c r="N22" s="19">
        <f>SUMIFS(Data!$I:$I,Data!$B:$B,$B22,Data!$G:$G,"&lt;="&amp;N$2,Data!$H:$H,"&gt;="&amp;N$2)</f>
        <v>16666.666666666668</v>
      </c>
      <c r="O22" s="19">
        <f>SUMIFS(Data!$I:$I,Data!$B:$B,$B22,Data!$G:$G,"&lt;="&amp;O$2,Data!$H:$H,"&gt;="&amp;O$2)</f>
        <v>26666.666666666668</v>
      </c>
      <c r="P22" s="19">
        <f>SUMIFS(Data!$I:$I,Data!$B:$B,$B22,Data!$G:$G,"&lt;="&amp;P$2,Data!$H:$H,"&gt;="&amp;P$2)</f>
        <v>14666.666666666666</v>
      </c>
      <c r="Q22" s="19">
        <f>SUMIFS(Data!$I:$I,Data!$B:$B,$B22,Data!$G:$G,"&lt;="&amp;Q$2,Data!$H:$H,"&gt;="&amp;Q$2)</f>
        <v>14666.666666666666</v>
      </c>
      <c r="R22" s="19">
        <f>SUMIFS(Data!$I:$I,Data!$B:$B,$B22,Data!$G:$G,"&lt;="&amp;R$2,Data!$H:$H,"&gt;="&amp;R$2)</f>
        <v>4666.6666666666661</v>
      </c>
      <c r="S22" s="19">
        <f>SUMIFS(Data!$I:$I,Data!$B:$B,$B22,Data!$G:$G,"&lt;="&amp;S$2,Data!$H:$H,"&gt;="&amp;S$2)</f>
        <v>0</v>
      </c>
      <c r="T22" s="19">
        <f>SUMIFS(Data!$I:$I,Data!$B:$B,$B22,Data!$G:$G,"&lt;="&amp;T$2,Data!$H:$H,"&gt;="&amp;T$2)</f>
        <v>0</v>
      </c>
      <c r="U22" s="19">
        <f>SUMIFS(Data!$I:$I,Data!$B:$B,$B22,Data!$G:$G,"&lt;="&amp;U$2,Data!$H:$H,"&gt;="&amp;U$2)</f>
        <v>0</v>
      </c>
      <c r="V22" s="19">
        <f>SUMIFS(Data!$I:$I,Data!$B:$B,$B22,Data!$G:$G,"&lt;="&amp;V$2,Data!$H:$H,"&gt;="&amp;V$2)</f>
        <v>0</v>
      </c>
      <c r="W22" s="19">
        <f>SUMIFS(Data!$I:$I,Data!$B:$B,$B22,Data!$G:$G,"&lt;="&amp;W$2,Data!$H:$H,"&gt;="&amp;W$2)</f>
        <v>0</v>
      </c>
      <c r="X22" s="19">
        <f>SUMIFS(Data!$I:$I,Data!$B:$B,$B22,Data!$G:$G,"&lt;="&amp;X$2,Data!$H:$H,"&gt;="&amp;X$2)</f>
        <v>0</v>
      </c>
      <c r="Y22" s="19">
        <f>SUMIFS(Data!$I:$I,Data!$B:$B,$B22,Data!$G:$G,"&lt;="&amp;Y$2,Data!$H:$H,"&gt;="&amp;Y$2)</f>
        <v>0</v>
      </c>
      <c r="Z22" s="19">
        <f>SUMIFS(Data!$I:$I,Data!$B:$B,$B22,Data!$G:$G,"&lt;="&amp;Z$2,Data!$H:$H,"&gt;="&amp;Z$2)</f>
        <v>0</v>
      </c>
      <c r="AA22" s="19">
        <f>SUMIFS(Data!$I:$I,Data!$B:$B,$B22,Data!$G:$G,"&lt;="&amp;AA$2,Data!$H:$H,"&gt;="&amp;AA$2)</f>
        <v>0</v>
      </c>
      <c r="AB22" s="19">
        <f>SUMIFS(Data!$I:$I,Data!$B:$B,$B22,Data!$G:$G,"&lt;="&amp;AB$2,Data!$H:$H,"&gt;="&amp;AB$2)</f>
        <v>0</v>
      </c>
      <c r="AC22" s="19">
        <f>SUMIFS(Data!$I:$I,Data!$B:$B,$B22,Data!$G:$G,"&lt;="&amp;AC$2,Data!$H:$H,"&gt;="&amp;AC$2)</f>
        <v>0</v>
      </c>
      <c r="AD22" s="19">
        <f>SUMIFS(Data!$I:$I,Data!$B:$B,$B22,Data!$G:$G,"&lt;="&amp;AD$2,Data!$H:$H,"&gt;="&amp;AD$2)</f>
        <v>0</v>
      </c>
      <c r="AE22" s="19">
        <f>SUMIFS(Data!$I:$I,Data!$B:$B,$B22,Data!$G:$G,"&lt;="&amp;AE$2,Data!$H:$H,"&gt;="&amp;AE$2)</f>
        <v>0</v>
      </c>
      <c r="AF22" s="19">
        <f>SUMIFS(Data!$I:$I,Data!$B:$B,$B22,Data!$G:$G,"&lt;="&amp;AF$2,Data!$H:$H,"&gt;="&amp;AF$2)</f>
        <v>0</v>
      </c>
      <c r="AG22" s="19">
        <f>SUMIFS(Data!$I:$I,Data!$B:$B,$B22,Data!$G:$G,"&lt;="&amp;AG$2,Data!$H:$H,"&gt;="&amp;AG$2)</f>
        <v>0</v>
      </c>
      <c r="AH22" s="19">
        <f>SUMIFS(Data!$I:$I,Data!$B:$B,$B22,Data!$G:$G,"&lt;="&amp;AH$2,Data!$H:$H,"&gt;="&amp;AH$2)</f>
        <v>0</v>
      </c>
      <c r="AI22" s="19">
        <f>SUMIFS(Data!$I:$I,Data!$B:$B,$B22,Data!$G:$G,"&lt;="&amp;AI$2,Data!$H:$H,"&gt;="&amp;AI$2)</f>
        <v>0</v>
      </c>
      <c r="AJ22" s="19">
        <f>SUMIFS(Data!$I:$I,Data!$B:$B,$B22,Data!$G:$G,"&lt;="&amp;AJ$2,Data!$H:$H,"&gt;="&amp;AJ$2)</f>
        <v>0</v>
      </c>
      <c r="AK22" s="19">
        <f>SUMIFS(Data!$I:$I,Data!$B:$B,$B22,Data!$G:$G,"&lt;="&amp;AK$2,Data!$H:$H,"&gt;="&amp;AK$2)</f>
        <v>0</v>
      </c>
      <c r="AL22" s="19">
        <f>SUMIFS(Data!$I:$I,Data!$B:$B,$B22,Data!$G:$G,"&lt;="&amp;AL$2,Data!$H:$H,"&gt;="&amp;AL$2)</f>
        <v>0</v>
      </c>
      <c r="AM22" s="19">
        <f>SUMIFS(Data!$I:$I,Data!$B:$B,$B22,Data!$G:$G,"&lt;="&amp;AM$2,Data!$H:$H,"&gt;="&amp;AM$2)</f>
        <v>0</v>
      </c>
      <c r="AN22" s="19">
        <f>SUMIFS(Data!$I:$I,Data!$B:$B,$B22,Data!$G:$G,"&lt;="&amp;AN$2,Data!$H:$H,"&gt;="&amp;AN$2)</f>
        <v>0</v>
      </c>
      <c r="AO22" s="19">
        <f>SUMIFS(Data!$I:$I,Data!$B:$B,$B22,Data!$G:$G,"&lt;="&amp;AO$2,Data!$H:$H,"&gt;="&amp;AO$2)</f>
        <v>0</v>
      </c>
      <c r="AP22" s="19">
        <f>SUMIFS(Data!$I:$I,Data!$B:$B,$B22,Data!$G:$G,"&lt;="&amp;AP$2,Data!$H:$H,"&gt;="&amp;AP$2)</f>
        <v>0</v>
      </c>
      <c r="AQ22" s="19">
        <f>SUMIFS(Data!$I:$I,Data!$B:$B,$B22,Data!$G:$G,"&lt;="&amp;AQ$2,Data!$H:$H,"&gt;="&amp;AQ$2)</f>
        <v>0</v>
      </c>
      <c r="AR22" s="19">
        <f>SUMIFS(Data!$I:$I,Data!$B:$B,$B22,Data!$G:$G,"&lt;="&amp;AR$2,Data!$H:$H,"&gt;="&amp;AR$2)</f>
        <v>0</v>
      </c>
      <c r="AS22" s="19">
        <f>SUMIFS(Data!$I:$I,Data!$B:$B,$B22,Data!$G:$G,"&lt;="&amp;AS$2,Data!$H:$H,"&gt;="&amp;AS$2)</f>
        <v>0</v>
      </c>
      <c r="AT22" s="19">
        <f>SUMIFS(Data!$I:$I,Data!$B:$B,$B22,Data!$G:$G,"&lt;="&amp;AT$2,Data!$H:$H,"&gt;="&amp;AT$2)</f>
        <v>0</v>
      </c>
      <c r="AU22" s="19">
        <f>SUMIFS(Data!$I:$I,Data!$B:$B,$B22,Data!$G:$G,"&lt;="&amp;AU$2,Data!$H:$H,"&gt;="&amp;AU$2)</f>
        <v>0</v>
      </c>
      <c r="AV22" s="19">
        <f>SUMIFS(Data!$I:$I,Data!$B:$B,$B22,Data!$G:$G,"&lt;="&amp;AV$2,Data!$H:$H,"&gt;="&amp;AV$2)</f>
        <v>0</v>
      </c>
      <c r="AW22" s="19">
        <f>SUMIFS(Data!$I:$I,Data!$B:$B,$B22,Data!$G:$G,"&lt;="&amp;AW$2,Data!$H:$H,"&gt;="&amp;AW$2)</f>
        <v>0</v>
      </c>
      <c r="AX22" s="19">
        <f>SUMIFS(Data!$I:$I,Data!$B:$B,$B22,Data!$G:$G,"&lt;="&amp;AX$2,Data!$H:$H,"&gt;="&amp;AX$2)</f>
        <v>0</v>
      </c>
      <c r="AY22" s="19">
        <f>SUMIFS(Data!$I:$I,Data!$B:$B,$B22,Data!$G:$G,"&lt;="&amp;AY$2,Data!$H:$H,"&gt;="&amp;AY$2)</f>
        <v>0</v>
      </c>
      <c r="AZ22" s="19">
        <f>SUMIFS(Data!$I:$I,Data!$B:$B,$B22,Data!$G:$G,"&lt;="&amp;AZ$2,Data!$H:$H,"&gt;="&amp;AZ$2)</f>
        <v>0</v>
      </c>
      <c r="BA22" s="19">
        <f>SUMIFS(Data!$I:$I,Data!$B:$B,$B22,Data!$G:$G,"&lt;="&amp;BA$2,Data!$H:$H,"&gt;="&amp;BA$2)</f>
        <v>0</v>
      </c>
      <c r="BB22" s="19">
        <f>SUMIFS(Data!$I:$I,Data!$B:$B,$B22,Data!$G:$G,"&lt;="&amp;BB$2,Data!$H:$H,"&gt;="&amp;BB$2)</f>
        <v>0</v>
      </c>
      <c r="BC22" s="19">
        <f>SUMIFS(Data!$I:$I,Data!$B:$B,$B22,Data!$G:$G,"&lt;="&amp;BC$2,Data!$H:$H,"&gt;="&amp;BC$2)</f>
        <v>0</v>
      </c>
      <c r="BD22" s="19">
        <f>SUMIFS(Data!$I:$I,Data!$B:$B,$B22,Data!$G:$G,"&lt;="&amp;BD$2,Data!$H:$H,"&gt;="&amp;BD$2)</f>
        <v>0</v>
      </c>
      <c r="BE22" s="19">
        <f>SUMIFS(Data!$I:$I,Data!$B:$B,$B22,Data!$G:$G,"&lt;="&amp;BE$2,Data!$H:$H,"&gt;="&amp;BE$2)</f>
        <v>0</v>
      </c>
      <c r="BF22" s="19">
        <f>SUMIFS(Data!$I:$I,Data!$B:$B,$B22,Data!$G:$G,"&lt;="&amp;BF$2,Data!$H:$H,"&gt;="&amp;BF$2)</f>
        <v>0</v>
      </c>
      <c r="BG22" s="19">
        <f>SUMIFS(Data!$I:$I,Data!$B:$B,$B22,Data!$G:$G,"&lt;="&amp;BG$2,Data!$H:$H,"&gt;="&amp;BG$2)</f>
        <v>0</v>
      </c>
      <c r="BH22" s="19">
        <f>SUMIFS(Data!$I:$I,Data!$B:$B,$B22,Data!$G:$G,"&lt;="&amp;BH$2,Data!$H:$H,"&gt;="&amp;BH$2)</f>
        <v>0</v>
      </c>
      <c r="BI22" s="19">
        <f>SUMIFS(Data!$I:$I,Data!$B:$B,$B22,Data!$G:$G,"&lt;="&amp;BI$2,Data!$H:$H,"&gt;="&amp;BI$2)</f>
        <v>0</v>
      </c>
      <c r="BJ22" s="19">
        <f>SUMIFS(Data!$I:$I,Data!$B:$B,$B22,Data!$G:$G,"&lt;="&amp;BJ$2,Data!$H:$H,"&gt;="&amp;BJ$2)</f>
        <v>0</v>
      </c>
      <c r="BK22" s="19">
        <f>SUMIFS(Data!$I:$I,Data!$B:$B,$B22,Data!$G:$G,"&lt;="&amp;BK$2,Data!$H:$H,"&gt;="&amp;BK$2)</f>
        <v>0</v>
      </c>
      <c r="BL22" s="19">
        <f>SUMIFS(Data!$I:$I,Data!$B:$B,$B22,Data!$G:$G,"&lt;="&amp;BL$2,Data!$H:$H,"&gt;="&amp;BL$2)</f>
        <v>0</v>
      </c>
      <c r="BM22" s="19">
        <f>SUMIFS(Data!$I:$I,Data!$B:$B,$B22,Data!$G:$G,"&lt;="&amp;BM$2,Data!$H:$H,"&gt;="&amp;BM$2)</f>
        <v>0</v>
      </c>
      <c r="BN22" s="19">
        <f>SUMIFS(Data!$I:$I,Data!$B:$B,$B22,Data!$G:$G,"&lt;="&amp;BN$2,Data!$H:$H,"&gt;="&amp;BN$2)</f>
        <v>0</v>
      </c>
      <c r="BO22" s="19">
        <f>SUMIFS(Data!$I:$I,Data!$B:$B,$B22,Data!$G:$G,"&lt;="&amp;BO$2,Data!$H:$H,"&gt;="&amp;BO$2)</f>
        <v>0</v>
      </c>
      <c r="BP22" s="19">
        <f>SUMIFS(Data!$I:$I,Data!$B:$B,$B22,Data!$G:$G,"&lt;="&amp;BP$2,Data!$H:$H,"&gt;="&amp;BP$2)</f>
        <v>0</v>
      </c>
      <c r="BQ22" s="19">
        <f>SUMIFS(Data!$I:$I,Data!$B:$B,$B22,Data!$G:$G,"&lt;="&amp;BQ$2,Data!$H:$H,"&gt;="&amp;BQ$2)</f>
        <v>0</v>
      </c>
      <c r="BR22" s="19">
        <f>SUMIFS(Data!$I:$I,Data!$B:$B,$B22,Data!$G:$G,"&lt;="&amp;BR$2,Data!$H:$H,"&gt;="&amp;BR$2)</f>
        <v>0</v>
      </c>
      <c r="BS22" s="19">
        <f>SUMIFS(Data!$I:$I,Data!$B:$B,$B22,Data!$G:$G,"&lt;="&amp;BS$2,Data!$H:$H,"&gt;="&amp;BS$2)</f>
        <v>0</v>
      </c>
      <c r="BT22" s="19">
        <f>SUMIFS(Data!$I:$I,Data!$B:$B,$B22,Data!$G:$G,"&lt;="&amp;BT$2,Data!$H:$H,"&gt;="&amp;BT$2)</f>
        <v>0</v>
      </c>
      <c r="BU22" s="19">
        <f>SUMIFS(Data!$I:$I,Data!$B:$B,$B22,Data!$G:$G,"&lt;="&amp;BU$2,Data!$H:$H,"&gt;="&amp;BU$2)</f>
        <v>0</v>
      </c>
      <c r="BV22" s="19">
        <f>SUMIFS(Data!$I:$I,Data!$B:$B,$B22,Data!$G:$G,"&lt;="&amp;BV$2,Data!$H:$H,"&gt;="&amp;BV$2)</f>
        <v>0</v>
      </c>
      <c r="BW22" s="19">
        <f>SUMIFS(Data!$I:$I,Data!$B:$B,$B22,Data!$G:$G,"&lt;="&amp;BW$2,Data!$H:$H,"&gt;="&amp;BW$2)</f>
        <v>0</v>
      </c>
      <c r="BX22" s="19">
        <f>SUMIFS(Data!$I:$I,Data!$B:$B,$B22,Data!$G:$G,"&lt;="&amp;BX$2,Data!$H:$H,"&gt;="&amp;BX$2)</f>
        <v>0</v>
      </c>
      <c r="BY22" s="19">
        <f>SUMIFS(Data!$I:$I,Data!$B:$B,$B22,Data!$G:$G,"&lt;="&amp;BY$2,Data!$H:$H,"&gt;="&amp;BY$2)</f>
        <v>0</v>
      </c>
      <c r="BZ22" s="19">
        <f>SUMIFS(Data!$I:$I,Data!$B:$B,$B22,Data!$G:$G,"&lt;="&amp;BZ$2,Data!$H:$H,"&gt;="&amp;BZ$2)</f>
        <v>0</v>
      </c>
      <c r="CA22" s="20">
        <f t="shared" si="3"/>
        <v>188999.99999999997</v>
      </c>
    </row>
    <row r="23" spans="2:79" x14ac:dyDescent="0.25">
      <c r="B23" s="12" t="s">
        <v>87</v>
      </c>
      <c r="C23" s="12" t="str">
        <f>VLOOKUP(B23,Data!B:C,2,FALSE)</f>
        <v>JREFI</v>
      </c>
      <c r="D23" s="21">
        <f>SUMIFS(Data!$I:$I,Data!$B:$B,$B23,Data!$G:$G,"&lt;="&amp;D$2,Data!$H:$H,"&gt;="&amp;D$2)</f>
        <v>0</v>
      </c>
      <c r="E23" s="21">
        <f>SUMIFS(Data!$I:$I,Data!$B:$B,$B23,Data!$G:$G,"&lt;="&amp;E$2,Data!$H:$H,"&gt;="&amp;E$2)</f>
        <v>0</v>
      </c>
      <c r="F23" s="21">
        <f>SUMIFS(Data!$I:$I,Data!$B:$B,$B23,Data!$G:$G,"&lt;="&amp;F$2,Data!$H:$H,"&gt;="&amp;F$2)</f>
        <v>0</v>
      </c>
      <c r="G23" s="21">
        <f>SUMIFS(Data!$I:$I,Data!$B:$B,$B23,Data!$G:$G,"&lt;="&amp;G$2,Data!$H:$H,"&gt;="&amp;G$2)</f>
        <v>21666.666666666668</v>
      </c>
      <c r="H23" s="21">
        <f>SUMIFS(Data!$I:$I,Data!$B:$B,$B23,Data!$G:$G,"&lt;="&amp;H$2,Data!$H:$H,"&gt;="&amp;H$2)</f>
        <v>21666.666666666668</v>
      </c>
      <c r="I23" s="21">
        <f>SUMIFS(Data!$I:$I,Data!$B:$B,$B23,Data!$G:$G,"&lt;="&amp;I$2,Data!$H:$H,"&gt;="&amp;I$2)</f>
        <v>21666.666666666668</v>
      </c>
      <c r="J23" s="21">
        <f>SUMIFS(Data!$I:$I,Data!$B:$B,$B23,Data!$G:$G,"&lt;="&amp;J$2,Data!$H:$H,"&gt;="&amp;J$2)</f>
        <v>0</v>
      </c>
      <c r="K23" s="21">
        <f>SUMIFS(Data!$I:$I,Data!$B:$B,$B23,Data!$G:$G,"&lt;="&amp;K$2,Data!$H:$H,"&gt;="&amp;K$2)</f>
        <v>0</v>
      </c>
      <c r="L23" s="21">
        <f>SUMIFS(Data!$I:$I,Data!$B:$B,$B23,Data!$G:$G,"&lt;="&amp;L$2,Data!$H:$H,"&gt;="&amp;L$2)</f>
        <v>0</v>
      </c>
      <c r="M23" s="21">
        <f>SUMIFS(Data!$I:$I,Data!$B:$B,$B23,Data!$G:$G,"&lt;="&amp;M$2,Data!$H:$H,"&gt;="&amp;M$2)</f>
        <v>16666.666666666668</v>
      </c>
      <c r="N23" s="21">
        <f>SUMIFS(Data!$I:$I,Data!$B:$B,$B23,Data!$G:$G,"&lt;="&amp;N$2,Data!$H:$H,"&gt;="&amp;N$2)</f>
        <v>16666.666666666668</v>
      </c>
      <c r="O23" s="21">
        <f>SUMIFS(Data!$I:$I,Data!$B:$B,$B23,Data!$G:$G,"&lt;="&amp;O$2,Data!$H:$H,"&gt;="&amp;O$2)</f>
        <v>16666.666666666668</v>
      </c>
      <c r="P23" s="21">
        <f>SUMIFS(Data!$I:$I,Data!$B:$B,$B23,Data!$G:$G,"&lt;="&amp;P$2,Data!$H:$H,"&gt;="&amp;P$2)</f>
        <v>33333.333333333336</v>
      </c>
      <c r="Q23" s="21">
        <f>SUMIFS(Data!$I:$I,Data!$B:$B,$B23,Data!$G:$G,"&lt;="&amp;Q$2,Data!$H:$H,"&gt;="&amp;Q$2)</f>
        <v>33333.333333333336</v>
      </c>
      <c r="R23" s="21">
        <f>SUMIFS(Data!$I:$I,Data!$B:$B,$B23,Data!$G:$G,"&lt;="&amp;R$2,Data!$H:$H,"&gt;="&amp;R$2)</f>
        <v>33333.333333333336</v>
      </c>
      <c r="S23" s="21">
        <f>SUMIFS(Data!$I:$I,Data!$B:$B,$B23,Data!$G:$G,"&lt;="&amp;S$2,Data!$H:$H,"&gt;="&amp;S$2)</f>
        <v>0</v>
      </c>
      <c r="T23" s="21">
        <f>SUMIFS(Data!$I:$I,Data!$B:$B,$B23,Data!$G:$G,"&lt;="&amp;T$2,Data!$H:$H,"&gt;="&amp;T$2)</f>
        <v>0</v>
      </c>
      <c r="U23" s="21">
        <f>SUMIFS(Data!$I:$I,Data!$B:$B,$B23,Data!$G:$G,"&lt;="&amp;U$2,Data!$H:$H,"&gt;="&amp;U$2)</f>
        <v>0</v>
      </c>
      <c r="V23" s="21">
        <f>SUMIFS(Data!$I:$I,Data!$B:$B,$B23,Data!$G:$G,"&lt;="&amp;V$2,Data!$H:$H,"&gt;="&amp;V$2)</f>
        <v>0</v>
      </c>
      <c r="W23" s="21">
        <f>SUMIFS(Data!$I:$I,Data!$B:$B,$B23,Data!$G:$G,"&lt;="&amp;W$2,Data!$H:$H,"&gt;="&amp;W$2)</f>
        <v>0</v>
      </c>
      <c r="X23" s="21">
        <f>SUMIFS(Data!$I:$I,Data!$B:$B,$B23,Data!$G:$G,"&lt;="&amp;X$2,Data!$H:$H,"&gt;="&amp;X$2)</f>
        <v>0</v>
      </c>
      <c r="Y23" s="21">
        <f>SUMIFS(Data!$I:$I,Data!$B:$B,$B23,Data!$G:$G,"&lt;="&amp;Y$2,Data!$H:$H,"&gt;="&amp;Y$2)</f>
        <v>0</v>
      </c>
      <c r="Z23" s="21">
        <f>SUMIFS(Data!$I:$I,Data!$B:$B,$B23,Data!$G:$G,"&lt;="&amp;Z$2,Data!$H:$H,"&gt;="&amp;Z$2)</f>
        <v>0</v>
      </c>
      <c r="AA23" s="21">
        <f>SUMIFS(Data!$I:$I,Data!$B:$B,$B23,Data!$G:$G,"&lt;="&amp;AA$2,Data!$H:$H,"&gt;="&amp;AA$2)</f>
        <v>0</v>
      </c>
      <c r="AB23" s="21">
        <f>SUMIFS(Data!$I:$I,Data!$B:$B,$B23,Data!$G:$G,"&lt;="&amp;AB$2,Data!$H:$H,"&gt;="&amp;AB$2)</f>
        <v>0</v>
      </c>
      <c r="AC23" s="21">
        <f>SUMIFS(Data!$I:$I,Data!$B:$B,$B23,Data!$G:$G,"&lt;="&amp;AC$2,Data!$H:$H,"&gt;="&amp;AC$2)</f>
        <v>0</v>
      </c>
      <c r="AD23" s="21">
        <f>SUMIFS(Data!$I:$I,Data!$B:$B,$B23,Data!$G:$G,"&lt;="&amp;AD$2,Data!$H:$H,"&gt;="&amp;AD$2)</f>
        <v>0</v>
      </c>
      <c r="AE23" s="21">
        <f>SUMIFS(Data!$I:$I,Data!$B:$B,$B23,Data!$G:$G,"&lt;="&amp;AE$2,Data!$H:$H,"&gt;="&amp;AE$2)</f>
        <v>0</v>
      </c>
      <c r="AF23" s="21">
        <f>SUMIFS(Data!$I:$I,Data!$B:$B,$B23,Data!$G:$G,"&lt;="&amp;AF$2,Data!$H:$H,"&gt;="&amp;AF$2)</f>
        <v>0</v>
      </c>
      <c r="AG23" s="21">
        <f>SUMIFS(Data!$I:$I,Data!$B:$B,$B23,Data!$G:$G,"&lt;="&amp;AG$2,Data!$H:$H,"&gt;="&amp;AG$2)</f>
        <v>0</v>
      </c>
      <c r="AH23" s="21">
        <f>SUMIFS(Data!$I:$I,Data!$B:$B,$B23,Data!$G:$G,"&lt;="&amp;AH$2,Data!$H:$H,"&gt;="&amp;AH$2)</f>
        <v>0</v>
      </c>
      <c r="AI23" s="21">
        <f>SUMIFS(Data!$I:$I,Data!$B:$B,$B23,Data!$G:$G,"&lt;="&amp;AI$2,Data!$H:$H,"&gt;="&amp;AI$2)</f>
        <v>0</v>
      </c>
      <c r="AJ23" s="21">
        <f>SUMIFS(Data!$I:$I,Data!$B:$B,$B23,Data!$G:$G,"&lt;="&amp;AJ$2,Data!$H:$H,"&gt;="&amp;AJ$2)</f>
        <v>0</v>
      </c>
      <c r="AK23" s="21">
        <f>SUMIFS(Data!$I:$I,Data!$B:$B,$B23,Data!$G:$G,"&lt;="&amp;AK$2,Data!$H:$H,"&gt;="&amp;AK$2)</f>
        <v>0</v>
      </c>
      <c r="AL23" s="21">
        <f>SUMIFS(Data!$I:$I,Data!$B:$B,$B23,Data!$G:$G,"&lt;="&amp;AL$2,Data!$H:$H,"&gt;="&amp;AL$2)</f>
        <v>0</v>
      </c>
      <c r="AM23" s="21">
        <f>SUMIFS(Data!$I:$I,Data!$B:$B,$B23,Data!$G:$G,"&lt;="&amp;AM$2,Data!$H:$H,"&gt;="&amp;AM$2)</f>
        <v>0</v>
      </c>
      <c r="AN23" s="21">
        <f>SUMIFS(Data!$I:$I,Data!$B:$B,$B23,Data!$G:$G,"&lt;="&amp;AN$2,Data!$H:$H,"&gt;="&amp;AN$2)</f>
        <v>0</v>
      </c>
      <c r="AO23" s="21">
        <f>SUMIFS(Data!$I:$I,Data!$B:$B,$B23,Data!$G:$G,"&lt;="&amp;AO$2,Data!$H:$H,"&gt;="&amp;AO$2)</f>
        <v>0</v>
      </c>
      <c r="AP23" s="21">
        <f>SUMIFS(Data!$I:$I,Data!$B:$B,$B23,Data!$G:$G,"&lt;="&amp;AP$2,Data!$H:$H,"&gt;="&amp;AP$2)</f>
        <v>0</v>
      </c>
      <c r="AQ23" s="21">
        <f>SUMIFS(Data!$I:$I,Data!$B:$B,$B23,Data!$G:$G,"&lt;="&amp;AQ$2,Data!$H:$H,"&gt;="&amp;AQ$2)</f>
        <v>0</v>
      </c>
      <c r="AR23" s="21">
        <f>SUMIFS(Data!$I:$I,Data!$B:$B,$B23,Data!$G:$G,"&lt;="&amp;AR$2,Data!$H:$H,"&gt;="&amp;AR$2)</f>
        <v>0</v>
      </c>
      <c r="AS23" s="21">
        <f>SUMIFS(Data!$I:$I,Data!$B:$B,$B23,Data!$G:$G,"&lt;="&amp;AS$2,Data!$H:$H,"&gt;="&amp;AS$2)</f>
        <v>0</v>
      </c>
      <c r="AT23" s="21">
        <f>SUMIFS(Data!$I:$I,Data!$B:$B,$B23,Data!$G:$G,"&lt;="&amp;AT$2,Data!$H:$H,"&gt;="&amp;AT$2)</f>
        <v>0</v>
      </c>
      <c r="AU23" s="21">
        <f>SUMIFS(Data!$I:$I,Data!$B:$B,$B23,Data!$G:$G,"&lt;="&amp;AU$2,Data!$H:$H,"&gt;="&amp;AU$2)</f>
        <v>0</v>
      </c>
      <c r="AV23" s="21">
        <f>SUMIFS(Data!$I:$I,Data!$B:$B,$B23,Data!$G:$G,"&lt;="&amp;AV$2,Data!$H:$H,"&gt;="&amp;AV$2)</f>
        <v>0</v>
      </c>
      <c r="AW23" s="21">
        <f>SUMIFS(Data!$I:$I,Data!$B:$B,$B23,Data!$G:$G,"&lt;="&amp;AW$2,Data!$H:$H,"&gt;="&amp;AW$2)</f>
        <v>0</v>
      </c>
      <c r="AX23" s="21">
        <f>SUMIFS(Data!$I:$I,Data!$B:$B,$B23,Data!$G:$G,"&lt;="&amp;AX$2,Data!$H:$H,"&gt;="&amp;AX$2)</f>
        <v>0</v>
      </c>
      <c r="AY23" s="21">
        <f>SUMIFS(Data!$I:$I,Data!$B:$B,$B23,Data!$G:$G,"&lt;="&amp;AY$2,Data!$H:$H,"&gt;="&amp;AY$2)</f>
        <v>0</v>
      </c>
      <c r="AZ23" s="21">
        <f>SUMIFS(Data!$I:$I,Data!$B:$B,$B23,Data!$G:$G,"&lt;="&amp;AZ$2,Data!$H:$H,"&gt;="&amp;AZ$2)</f>
        <v>0</v>
      </c>
      <c r="BA23" s="21">
        <f>SUMIFS(Data!$I:$I,Data!$B:$B,$B23,Data!$G:$G,"&lt;="&amp;BA$2,Data!$H:$H,"&gt;="&amp;BA$2)</f>
        <v>0</v>
      </c>
      <c r="BB23" s="21">
        <f>SUMIFS(Data!$I:$I,Data!$B:$B,$B23,Data!$G:$G,"&lt;="&amp;BB$2,Data!$H:$H,"&gt;="&amp;BB$2)</f>
        <v>0</v>
      </c>
      <c r="BC23" s="21">
        <f>SUMIFS(Data!$I:$I,Data!$B:$B,$B23,Data!$G:$G,"&lt;="&amp;BC$2,Data!$H:$H,"&gt;="&amp;BC$2)</f>
        <v>0</v>
      </c>
      <c r="BD23" s="21">
        <f>SUMIFS(Data!$I:$I,Data!$B:$B,$B23,Data!$G:$G,"&lt;="&amp;BD$2,Data!$H:$H,"&gt;="&amp;BD$2)</f>
        <v>0</v>
      </c>
      <c r="BE23" s="21">
        <f>SUMIFS(Data!$I:$I,Data!$B:$B,$B23,Data!$G:$G,"&lt;="&amp;BE$2,Data!$H:$H,"&gt;="&amp;BE$2)</f>
        <v>0</v>
      </c>
      <c r="BF23" s="21">
        <f>SUMIFS(Data!$I:$I,Data!$B:$B,$B23,Data!$G:$G,"&lt;="&amp;BF$2,Data!$H:$H,"&gt;="&amp;BF$2)</f>
        <v>0</v>
      </c>
      <c r="BG23" s="21">
        <f>SUMIFS(Data!$I:$I,Data!$B:$B,$B23,Data!$G:$G,"&lt;="&amp;BG$2,Data!$H:$H,"&gt;="&amp;BG$2)</f>
        <v>0</v>
      </c>
      <c r="BH23" s="21">
        <f>SUMIFS(Data!$I:$I,Data!$B:$B,$B23,Data!$G:$G,"&lt;="&amp;BH$2,Data!$H:$H,"&gt;="&amp;BH$2)</f>
        <v>0</v>
      </c>
      <c r="BI23" s="21">
        <f>SUMIFS(Data!$I:$I,Data!$B:$B,$B23,Data!$G:$G,"&lt;="&amp;BI$2,Data!$H:$H,"&gt;="&amp;BI$2)</f>
        <v>0</v>
      </c>
      <c r="BJ23" s="21">
        <f>SUMIFS(Data!$I:$I,Data!$B:$B,$B23,Data!$G:$G,"&lt;="&amp;BJ$2,Data!$H:$H,"&gt;="&amp;BJ$2)</f>
        <v>0</v>
      </c>
      <c r="BK23" s="21">
        <f>SUMIFS(Data!$I:$I,Data!$B:$B,$B23,Data!$G:$G,"&lt;="&amp;BK$2,Data!$H:$H,"&gt;="&amp;BK$2)</f>
        <v>0</v>
      </c>
      <c r="BL23" s="21">
        <f>SUMIFS(Data!$I:$I,Data!$B:$B,$B23,Data!$G:$G,"&lt;="&amp;BL$2,Data!$H:$H,"&gt;="&amp;BL$2)</f>
        <v>0</v>
      </c>
      <c r="BM23" s="21">
        <f>SUMIFS(Data!$I:$I,Data!$B:$B,$B23,Data!$G:$G,"&lt;="&amp;BM$2,Data!$H:$H,"&gt;="&amp;BM$2)</f>
        <v>0</v>
      </c>
      <c r="BN23" s="21">
        <f>SUMIFS(Data!$I:$I,Data!$B:$B,$B23,Data!$G:$G,"&lt;="&amp;BN$2,Data!$H:$H,"&gt;="&amp;BN$2)</f>
        <v>0</v>
      </c>
      <c r="BO23" s="21">
        <f>SUMIFS(Data!$I:$I,Data!$B:$B,$B23,Data!$G:$G,"&lt;="&amp;BO$2,Data!$H:$H,"&gt;="&amp;BO$2)</f>
        <v>0</v>
      </c>
      <c r="BP23" s="21">
        <f>SUMIFS(Data!$I:$I,Data!$B:$B,$B23,Data!$G:$G,"&lt;="&amp;BP$2,Data!$H:$H,"&gt;="&amp;BP$2)</f>
        <v>0</v>
      </c>
      <c r="BQ23" s="21">
        <f>SUMIFS(Data!$I:$I,Data!$B:$B,$B23,Data!$G:$G,"&lt;="&amp;BQ$2,Data!$H:$H,"&gt;="&amp;BQ$2)</f>
        <v>0</v>
      </c>
      <c r="BR23" s="21">
        <f>SUMIFS(Data!$I:$I,Data!$B:$B,$B23,Data!$G:$G,"&lt;="&amp;BR$2,Data!$H:$H,"&gt;="&amp;BR$2)</f>
        <v>0</v>
      </c>
      <c r="BS23" s="21">
        <f>SUMIFS(Data!$I:$I,Data!$B:$B,$B23,Data!$G:$G,"&lt;="&amp;BS$2,Data!$H:$H,"&gt;="&amp;BS$2)</f>
        <v>0</v>
      </c>
      <c r="BT23" s="21">
        <f>SUMIFS(Data!$I:$I,Data!$B:$B,$B23,Data!$G:$G,"&lt;="&amp;BT$2,Data!$H:$H,"&gt;="&amp;BT$2)</f>
        <v>0</v>
      </c>
      <c r="BU23" s="21">
        <f>SUMIFS(Data!$I:$I,Data!$B:$B,$B23,Data!$G:$G,"&lt;="&amp;BU$2,Data!$H:$H,"&gt;="&amp;BU$2)</f>
        <v>0</v>
      </c>
      <c r="BV23" s="21">
        <f>SUMIFS(Data!$I:$I,Data!$B:$B,$B23,Data!$G:$G,"&lt;="&amp;BV$2,Data!$H:$H,"&gt;="&amp;BV$2)</f>
        <v>0</v>
      </c>
      <c r="BW23" s="21">
        <f>SUMIFS(Data!$I:$I,Data!$B:$B,$B23,Data!$G:$G,"&lt;="&amp;BW$2,Data!$H:$H,"&gt;="&amp;BW$2)</f>
        <v>0</v>
      </c>
      <c r="BX23" s="21">
        <f>SUMIFS(Data!$I:$I,Data!$B:$B,$B23,Data!$G:$G,"&lt;="&amp;BX$2,Data!$H:$H,"&gt;="&amp;BX$2)</f>
        <v>0</v>
      </c>
      <c r="BY23" s="21">
        <f>SUMIFS(Data!$I:$I,Data!$B:$B,$B23,Data!$G:$G,"&lt;="&amp;BY$2,Data!$H:$H,"&gt;="&amp;BY$2)</f>
        <v>0</v>
      </c>
      <c r="BZ23" s="21">
        <f>SUMIFS(Data!$I:$I,Data!$B:$B,$B23,Data!$G:$G,"&lt;="&amp;BZ$2,Data!$H:$H,"&gt;="&amp;BZ$2)</f>
        <v>0</v>
      </c>
      <c r="CA23" s="22">
        <f t="shared" si="3"/>
        <v>215000.00000000003</v>
      </c>
    </row>
    <row r="24" spans="2:79" x14ac:dyDescent="0.25">
      <c r="B24" s="9" t="s">
        <v>239</v>
      </c>
      <c r="C24" s="8"/>
      <c r="D24" s="23">
        <f>SUM(D3:D23)</f>
        <v>0</v>
      </c>
      <c r="E24" s="23">
        <f>SUM(E3:E23)</f>
        <v>0</v>
      </c>
      <c r="F24" s="23">
        <f>SUM(F3:F23)</f>
        <v>0</v>
      </c>
      <c r="G24" s="23">
        <f>SUM(G3:G23)</f>
        <v>645200</v>
      </c>
      <c r="H24" s="23">
        <f t="shared" ref="H24:T24" si="4">SUM(H3:H23)</f>
        <v>645200</v>
      </c>
      <c r="I24" s="23">
        <f t="shared" si="4"/>
        <v>653533.33333333326</v>
      </c>
      <c r="J24" s="23">
        <f t="shared" si="4"/>
        <v>515333.33333333331</v>
      </c>
      <c r="K24" s="23">
        <f t="shared" si="4"/>
        <v>502833.33333333331</v>
      </c>
      <c r="L24" s="23">
        <f t="shared" si="4"/>
        <v>501166.66666666669</v>
      </c>
      <c r="M24" s="23">
        <f t="shared" si="4"/>
        <v>434666.66666666669</v>
      </c>
      <c r="N24" s="23">
        <f t="shared" si="4"/>
        <v>434666.66666666669</v>
      </c>
      <c r="O24" s="23">
        <f t="shared" si="4"/>
        <v>471333.33333333337</v>
      </c>
      <c r="P24" s="23">
        <f t="shared" si="4"/>
        <v>387833.33333333331</v>
      </c>
      <c r="Q24" s="23">
        <f t="shared" si="4"/>
        <v>387833.33333333331</v>
      </c>
      <c r="R24" s="23">
        <f t="shared" si="4"/>
        <v>346204.54545454547</v>
      </c>
      <c r="S24" s="23">
        <f t="shared" si="4"/>
        <v>90371.212121212127</v>
      </c>
      <c r="T24" s="23">
        <f t="shared" si="4"/>
        <v>90371.212121212127</v>
      </c>
      <c r="U24" s="23">
        <f t="shared" ref="U24" si="5">SUM(U3:U23)</f>
        <v>88666.666666666672</v>
      </c>
      <c r="V24" s="23">
        <f t="shared" ref="V24" si="6">SUM(V3:V23)</f>
        <v>75333.333333333343</v>
      </c>
      <c r="W24" s="23">
        <f t="shared" ref="W24" si="7">SUM(W3:W23)</f>
        <v>75333.333333333343</v>
      </c>
      <c r="X24" s="23">
        <f t="shared" ref="X24" si="8">SUM(X3:X23)</f>
        <v>75333.333333333343</v>
      </c>
      <c r="Y24" s="23">
        <f t="shared" ref="Y24" si="9">SUM(Y3:Y23)</f>
        <v>6000</v>
      </c>
      <c r="Z24" s="23">
        <f t="shared" ref="Z24" si="10">SUM(Z3:Z23)</f>
        <v>6000</v>
      </c>
      <c r="AA24" s="23">
        <f t="shared" ref="AA24" si="11">SUM(AA3:AA23)</f>
        <v>6000</v>
      </c>
      <c r="AB24" s="23">
        <f t="shared" ref="AB24" si="12">SUM(AB3:AB23)</f>
        <v>6000</v>
      </c>
      <c r="AC24" s="23">
        <f t="shared" ref="AC24" si="13">SUM(AC3:AC23)</f>
        <v>6000</v>
      </c>
      <c r="AD24" s="23">
        <f t="shared" ref="AD24" si="14">SUM(AD3:AD23)</f>
        <v>6000</v>
      </c>
      <c r="AE24" s="23">
        <f t="shared" ref="AE24" si="15">SUM(AE3:AE23)</f>
        <v>6000</v>
      </c>
      <c r="AF24" s="23">
        <f t="shared" ref="AF24" si="16">SUM(AF3:AF23)</f>
        <v>6000</v>
      </c>
      <c r="AG24" s="23">
        <f t="shared" ref="AG24" si="17">SUM(AG3:AG23)</f>
        <v>6000</v>
      </c>
      <c r="AH24" s="23">
        <f t="shared" ref="AH24" si="18">SUM(AH3:AH23)</f>
        <v>6000</v>
      </c>
      <c r="AI24" s="23">
        <f t="shared" ref="AI24" si="19">SUM(AI3:AI23)</f>
        <v>6000</v>
      </c>
      <c r="AJ24" s="23">
        <f t="shared" ref="AJ24" si="20">SUM(AJ3:AJ23)</f>
        <v>6000</v>
      </c>
      <c r="AK24" s="23">
        <f t="shared" ref="AK24" si="21">SUM(AK3:AK23)</f>
        <v>6000</v>
      </c>
      <c r="AL24" s="23">
        <f t="shared" ref="AL24" si="22">SUM(AL3:AL23)</f>
        <v>6000</v>
      </c>
      <c r="AM24" s="23">
        <f t="shared" ref="AM24" si="23">SUM(AM3:AM23)</f>
        <v>6000</v>
      </c>
      <c r="AN24" s="23">
        <f t="shared" ref="AN24" si="24">SUM(AN3:AN23)</f>
        <v>6000</v>
      </c>
      <c r="AO24" s="23">
        <f t="shared" ref="AO24" si="25">SUM(AO3:AO23)</f>
        <v>6000</v>
      </c>
      <c r="AP24" s="23">
        <f t="shared" ref="AP24" si="26">SUM(AP3:AP23)</f>
        <v>6000</v>
      </c>
      <c r="AQ24" s="23">
        <f t="shared" ref="AQ24" si="27">SUM(AQ3:AQ23)</f>
        <v>6000</v>
      </c>
      <c r="AR24" s="23">
        <f t="shared" ref="AR24" si="28">SUM(AR3:AR23)</f>
        <v>6000</v>
      </c>
      <c r="AS24" s="23">
        <f t="shared" ref="AS24" si="29">SUM(AS3:AS23)</f>
        <v>6000</v>
      </c>
      <c r="AT24" s="23">
        <f t="shared" ref="AT24" si="30">SUM(AT3:AT23)</f>
        <v>6000</v>
      </c>
      <c r="AU24" s="23">
        <f t="shared" ref="AU24" si="31">SUM(AU3:AU23)</f>
        <v>6000</v>
      </c>
      <c r="AV24" s="23">
        <f t="shared" ref="AV24" si="32">SUM(AV3:AV23)</f>
        <v>6000</v>
      </c>
      <c r="AW24" s="23">
        <f t="shared" ref="AW24" si="33">SUM(AW3:AW23)</f>
        <v>6000</v>
      </c>
      <c r="AX24" s="23">
        <f t="shared" ref="AX24" si="34">SUM(AX3:AX23)</f>
        <v>6000</v>
      </c>
      <c r="AY24" s="23">
        <f t="shared" ref="AY24" si="35">SUM(AY3:AY23)</f>
        <v>6000</v>
      </c>
      <c r="AZ24" s="23">
        <f t="shared" ref="AZ24" si="36">SUM(AZ3:AZ23)</f>
        <v>6000</v>
      </c>
      <c r="BA24" s="23">
        <f t="shared" ref="BA24" si="37">SUM(BA3:BA23)</f>
        <v>6000</v>
      </c>
      <c r="BB24" s="23">
        <f t="shared" ref="BB24" si="38">SUM(BB3:BB23)</f>
        <v>6000</v>
      </c>
      <c r="BC24" s="23">
        <f t="shared" ref="BC24" si="39">SUM(BC3:BC23)</f>
        <v>6000</v>
      </c>
      <c r="BD24" s="23">
        <f t="shared" ref="BD24" si="40">SUM(BD3:BD23)</f>
        <v>6000</v>
      </c>
      <c r="BE24" s="23">
        <f t="shared" ref="BE24" si="41">SUM(BE3:BE23)</f>
        <v>6000</v>
      </c>
      <c r="BF24" s="23">
        <f t="shared" ref="BF24" si="42">SUM(BF3:BF23)</f>
        <v>6000</v>
      </c>
      <c r="BG24" s="23">
        <f t="shared" ref="BG24" si="43">SUM(BG3:BG23)</f>
        <v>6000</v>
      </c>
      <c r="BH24" s="23">
        <f t="shared" ref="BH24" si="44">SUM(BH3:BH23)</f>
        <v>6000</v>
      </c>
      <c r="BI24" s="23">
        <f t="shared" ref="BI24" si="45">SUM(BI3:BI23)</f>
        <v>6000</v>
      </c>
      <c r="BJ24" s="23">
        <f t="shared" ref="BJ24" si="46">SUM(BJ3:BJ23)</f>
        <v>6000</v>
      </c>
      <c r="BK24" s="23">
        <f t="shared" ref="BK24" si="47">SUM(BK3:BK23)</f>
        <v>6000</v>
      </c>
      <c r="BL24" s="23">
        <f t="shared" ref="BL24" si="48">SUM(BL3:BL23)</f>
        <v>6000</v>
      </c>
      <c r="BM24" s="23">
        <f t="shared" ref="BM24" si="49">SUM(BM3:BM23)</f>
        <v>6000</v>
      </c>
      <c r="BN24" s="23">
        <f t="shared" ref="BN24" si="50">SUM(BN3:BN23)</f>
        <v>6000</v>
      </c>
      <c r="BO24" s="23">
        <f t="shared" ref="BO24" si="51">SUM(BO3:BO23)</f>
        <v>6000</v>
      </c>
      <c r="BP24" s="23">
        <f t="shared" ref="BP24" si="52">SUM(BP3:BP23)</f>
        <v>6000</v>
      </c>
      <c r="BQ24" s="23">
        <f t="shared" ref="BQ24" si="53">SUM(BQ3:BQ23)</f>
        <v>6000</v>
      </c>
      <c r="BR24" s="23">
        <f t="shared" ref="BR24" si="54">SUM(BR3:BR23)</f>
        <v>6000</v>
      </c>
      <c r="BS24" s="23">
        <f t="shared" ref="BS24" si="55">SUM(BS3:BS23)</f>
        <v>6000</v>
      </c>
      <c r="BT24" s="23">
        <f t="shared" ref="BT24" si="56">SUM(BT3:BT23)</f>
        <v>6000</v>
      </c>
      <c r="BU24" s="23">
        <f t="shared" ref="BU24" si="57">SUM(BU3:BU23)</f>
        <v>6000</v>
      </c>
      <c r="BV24" s="23">
        <f t="shared" ref="BV24" si="58">SUM(BV3:BV23)</f>
        <v>6000</v>
      </c>
      <c r="BW24" s="23">
        <f t="shared" ref="BW24" si="59">SUM(BW3:BW23)</f>
        <v>6000</v>
      </c>
      <c r="BX24" s="23">
        <f t="shared" ref="BX24" si="60">SUM(BX3:BX23)</f>
        <v>6000</v>
      </c>
      <c r="BY24" s="23">
        <f t="shared" ref="BY24" si="61">SUM(BY3:BY23)</f>
        <v>6000</v>
      </c>
      <c r="BZ24" s="23">
        <f t="shared" ref="BZ24" si="62">SUM(BZ3:BZ23)</f>
        <v>6000</v>
      </c>
      <c r="CA24" s="23">
        <f t="shared" si="3"/>
        <v>6745213.6363636348</v>
      </c>
    </row>
    <row r="25" spans="2:79" x14ac:dyDescent="0.25"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</row>
    <row r="26" spans="2:79" ht="17.25" x14ac:dyDescent="0.4">
      <c r="B26" s="15" t="s">
        <v>238</v>
      </c>
      <c r="C26" s="15" t="s">
        <v>1</v>
      </c>
      <c r="D26" s="27">
        <v>45961</v>
      </c>
      <c r="E26" s="27">
        <f t="shared" ref="E26:G26" si="63">EOMONTH(D26,1)</f>
        <v>45991</v>
      </c>
      <c r="F26" s="27">
        <f t="shared" si="63"/>
        <v>46022</v>
      </c>
      <c r="G26" s="27">
        <f t="shared" si="63"/>
        <v>46053</v>
      </c>
      <c r="H26" s="27">
        <f>EOMONTH(G26,1)</f>
        <v>46081</v>
      </c>
      <c r="I26" s="27">
        <f t="shared" ref="I26:BT26" si="64">EOMONTH(H26,1)</f>
        <v>46112</v>
      </c>
      <c r="J26" s="27">
        <f t="shared" si="64"/>
        <v>46142</v>
      </c>
      <c r="K26" s="27">
        <f t="shared" si="64"/>
        <v>46173</v>
      </c>
      <c r="L26" s="27">
        <f t="shared" si="64"/>
        <v>46203</v>
      </c>
      <c r="M26" s="27">
        <f t="shared" si="64"/>
        <v>46234</v>
      </c>
      <c r="N26" s="27">
        <f t="shared" si="64"/>
        <v>46265</v>
      </c>
      <c r="O26" s="27">
        <f t="shared" si="64"/>
        <v>46295</v>
      </c>
      <c r="P26" s="27">
        <f t="shared" si="64"/>
        <v>46326</v>
      </c>
      <c r="Q26" s="27">
        <f t="shared" si="64"/>
        <v>46356</v>
      </c>
      <c r="R26" s="27">
        <f t="shared" si="64"/>
        <v>46387</v>
      </c>
      <c r="S26" s="27">
        <f t="shared" si="64"/>
        <v>46418</v>
      </c>
      <c r="T26" s="27">
        <f t="shared" si="64"/>
        <v>46446</v>
      </c>
      <c r="U26" s="27">
        <f t="shared" si="64"/>
        <v>46477</v>
      </c>
      <c r="V26" s="27">
        <f t="shared" si="64"/>
        <v>46507</v>
      </c>
      <c r="W26" s="27">
        <f t="shared" si="64"/>
        <v>46538</v>
      </c>
      <c r="X26" s="27">
        <f t="shared" si="64"/>
        <v>46568</v>
      </c>
      <c r="Y26" s="27">
        <f t="shared" si="64"/>
        <v>46599</v>
      </c>
      <c r="Z26" s="27">
        <f t="shared" si="64"/>
        <v>46630</v>
      </c>
      <c r="AA26" s="27">
        <f t="shared" si="64"/>
        <v>46660</v>
      </c>
      <c r="AB26" s="27">
        <f t="shared" si="64"/>
        <v>46691</v>
      </c>
      <c r="AC26" s="27">
        <f t="shared" si="64"/>
        <v>46721</v>
      </c>
      <c r="AD26" s="27">
        <f t="shared" si="64"/>
        <v>46752</v>
      </c>
      <c r="AE26" s="27">
        <f t="shared" si="64"/>
        <v>46783</v>
      </c>
      <c r="AF26" s="27">
        <f t="shared" si="64"/>
        <v>46812</v>
      </c>
      <c r="AG26" s="27">
        <f t="shared" si="64"/>
        <v>46843</v>
      </c>
      <c r="AH26" s="27">
        <f t="shared" si="64"/>
        <v>46873</v>
      </c>
      <c r="AI26" s="27">
        <f t="shared" si="64"/>
        <v>46904</v>
      </c>
      <c r="AJ26" s="27">
        <f t="shared" si="64"/>
        <v>46934</v>
      </c>
      <c r="AK26" s="27">
        <f t="shared" si="64"/>
        <v>46965</v>
      </c>
      <c r="AL26" s="27">
        <f t="shared" si="64"/>
        <v>46996</v>
      </c>
      <c r="AM26" s="27">
        <f t="shared" si="64"/>
        <v>47026</v>
      </c>
      <c r="AN26" s="27">
        <f t="shared" si="64"/>
        <v>47057</v>
      </c>
      <c r="AO26" s="27">
        <f t="shared" si="64"/>
        <v>47087</v>
      </c>
      <c r="AP26" s="27">
        <f t="shared" si="64"/>
        <v>47118</v>
      </c>
      <c r="AQ26" s="27">
        <f t="shared" si="64"/>
        <v>47149</v>
      </c>
      <c r="AR26" s="27">
        <f t="shared" si="64"/>
        <v>47177</v>
      </c>
      <c r="AS26" s="27">
        <f t="shared" si="64"/>
        <v>47208</v>
      </c>
      <c r="AT26" s="27">
        <f t="shared" si="64"/>
        <v>47238</v>
      </c>
      <c r="AU26" s="27">
        <f t="shared" si="64"/>
        <v>47269</v>
      </c>
      <c r="AV26" s="27">
        <f t="shared" si="64"/>
        <v>47299</v>
      </c>
      <c r="AW26" s="27">
        <f t="shared" si="64"/>
        <v>47330</v>
      </c>
      <c r="AX26" s="27">
        <f t="shared" si="64"/>
        <v>47361</v>
      </c>
      <c r="AY26" s="27">
        <f t="shared" si="64"/>
        <v>47391</v>
      </c>
      <c r="AZ26" s="27">
        <f t="shared" si="64"/>
        <v>47422</v>
      </c>
      <c r="BA26" s="27">
        <f t="shared" si="64"/>
        <v>47452</v>
      </c>
      <c r="BB26" s="27">
        <f t="shared" si="64"/>
        <v>47483</v>
      </c>
      <c r="BC26" s="27">
        <f t="shared" si="64"/>
        <v>47514</v>
      </c>
      <c r="BD26" s="27">
        <f t="shared" si="64"/>
        <v>47542</v>
      </c>
      <c r="BE26" s="27">
        <f t="shared" si="64"/>
        <v>47573</v>
      </c>
      <c r="BF26" s="27">
        <f t="shared" si="64"/>
        <v>47603</v>
      </c>
      <c r="BG26" s="27">
        <f t="shared" si="64"/>
        <v>47634</v>
      </c>
      <c r="BH26" s="27">
        <f t="shared" si="64"/>
        <v>47664</v>
      </c>
      <c r="BI26" s="27">
        <f t="shared" si="64"/>
        <v>47695</v>
      </c>
      <c r="BJ26" s="27">
        <f t="shared" si="64"/>
        <v>47726</v>
      </c>
      <c r="BK26" s="27">
        <f t="shared" si="64"/>
        <v>47756</v>
      </c>
      <c r="BL26" s="27">
        <f t="shared" si="64"/>
        <v>47787</v>
      </c>
      <c r="BM26" s="27">
        <f t="shared" si="64"/>
        <v>47817</v>
      </c>
      <c r="BN26" s="27">
        <f t="shared" si="64"/>
        <v>47848</v>
      </c>
      <c r="BO26" s="27">
        <f t="shared" si="64"/>
        <v>47879</v>
      </c>
      <c r="BP26" s="27">
        <f t="shared" si="64"/>
        <v>47907</v>
      </c>
      <c r="BQ26" s="27">
        <f t="shared" si="64"/>
        <v>47938</v>
      </c>
      <c r="BR26" s="27">
        <f t="shared" si="64"/>
        <v>47968</v>
      </c>
      <c r="BS26" s="27">
        <f t="shared" si="64"/>
        <v>47999</v>
      </c>
      <c r="BT26" s="27">
        <f t="shared" si="64"/>
        <v>48029</v>
      </c>
      <c r="BU26" s="27">
        <f t="shared" ref="BU26:BZ26" si="65">EOMONTH(BT26,1)</f>
        <v>48060</v>
      </c>
      <c r="BV26" s="27">
        <f t="shared" si="65"/>
        <v>48091</v>
      </c>
      <c r="BW26" s="27">
        <f t="shared" si="65"/>
        <v>48121</v>
      </c>
      <c r="BX26" s="27">
        <f t="shared" si="65"/>
        <v>48152</v>
      </c>
      <c r="BY26" s="27">
        <f t="shared" si="65"/>
        <v>48182</v>
      </c>
      <c r="BZ26" s="27">
        <f t="shared" si="65"/>
        <v>48213</v>
      </c>
      <c r="CA26" s="16" t="s">
        <v>239</v>
      </c>
    </row>
    <row r="27" spans="2:79" x14ac:dyDescent="0.25">
      <c r="B27" s="10" t="s">
        <v>90</v>
      </c>
      <c r="C27" s="10" t="str">
        <f>VLOOKUP(B27,Data!B:C,2,FALSE)</f>
        <v>JREFII</v>
      </c>
      <c r="D27" s="21">
        <f>SUMIFS(Data!$I:$I,Data!$B:$B,$B27,Data!$G:$G,"&lt;="&amp;D$2,Data!$H:$H,"&gt;="&amp;D$2)</f>
        <v>0</v>
      </c>
      <c r="E27" s="21">
        <f>SUMIFS(Data!$I:$I,Data!$B:$B,$B27,Data!$G:$G,"&lt;="&amp;E$2,Data!$H:$H,"&gt;="&amp;E$2)</f>
        <v>0</v>
      </c>
      <c r="F27" s="21">
        <f>SUMIFS(Data!$I:$I,Data!$B:$B,$B27,Data!$G:$G,"&lt;="&amp;F$2,Data!$H:$H,"&gt;="&amp;F$2)</f>
        <v>0</v>
      </c>
      <c r="G27" s="21">
        <f>SUMIFS(Data!$I:$I,Data!$B:$B,$B27,Data!$G:$G,"&lt;="&amp;G$2,Data!$H:$H,"&gt;="&amp;G$2)</f>
        <v>22666.666666666664</v>
      </c>
      <c r="H27" s="21">
        <f>SUMIFS(Data!$I:$I,Data!$B:$B,$B27,Data!$G:$G,"&lt;="&amp;H$2,Data!$H:$H,"&gt;="&amp;H$2)</f>
        <v>22666.666666666664</v>
      </c>
      <c r="I27" s="21">
        <f>SUMIFS(Data!$I:$I,Data!$B:$B,$B27,Data!$G:$G,"&lt;="&amp;I$2,Data!$H:$H,"&gt;="&amp;I$2)</f>
        <v>22666.666666666664</v>
      </c>
      <c r="J27" s="21">
        <f>SUMIFS(Data!$I:$I,Data!$B:$B,$B27,Data!$G:$G,"&lt;="&amp;J$2,Data!$H:$H,"&gt;="&amp;J$2)</f>
        <v>43333.333333333328</v>
      </c>
      <c r="K27" s="21">
        <f>SUMIFS(Data!$I:$I,Data!$B:$B,$B27,Data!$G:$G,"&lt;="&amp;K$2,Data!$H:$H,"&gt;="&amp;K$2)</f>
        <v>56666.666666666664</v>
      </c>
      <c r="L27" s="21">
        <f>SUMIFS(Data!$I:$I,Data!$B:$B,$B27,Data!$G:$G,"&lt;="&amp;L$2,Data!$H:$H,"&gt;="&amp;L$2)</f>
        <v>56666.666666666664</v>
      </c>
      <c r="M27" s="21">
        <f>SUMIFS(Data!$I:$I,Data!$B:$B,$B27,Data!$G:$G,"&lt;="&amp;M$2,Data!$H:$H,"&gt;="&amp;M$2)</f>
        <v>35000</v>
      </c>
      <c r="N27" s="21">
        <f>SUMIFS(Data!$I:$I,Data!$B:$B,$B27,Data!$G:$G,"&lt;="&amp;N$2,Data!$H:$H,"&gt;="&amp;N$2)</f>
        <v>21666.666666666664</v>
      </c>
      <c r="O27" s="21">
        <f>SUMIFS(Data!$I:$I,Data!$B:$B,$B27,Data!$G:$G,"&lt;="&amp;O$2,Data!$H:$H,"&gt;="&amp;O$2)</f>
        <v>21666.666666666664</v>
      </c>
      <c r="P27" s="21">
        <f>SUMIFS(Data!$I:$I,Data!$B:$B,$B27,Data!$G:$G,"&lt;="&amp;P$2,Data!$H:$H,"&gt;="&amp;P$2)</f>
        <v>21666.666666666664</v>
      </c>
      <c r="Q27" s="21">
        <f>SUMIFS(Data!$I:$I,Data!$B:$B,$B27,Data!$G:$G,"&lt;="&amp;Q$2,Data!$H:$H,"&gt;="&amp;Q$2)</f>
        <v>21666.666666666664</v>
      </c>
      <c r="R27" s="21">
        <f>SUMIFS(Data!$I:$I,Data!$B:$B,$B27,Data!$G:$G,"&lt;="&amp;R$2,Data!$H:$H,"&gt;="&amp;R$2)</f>
        <v>21666.666666666664</v>
      </c>
      <c r="S27" s="21">
        <f>SUMIFS(Data!$I:$I,Data!$B:$B,$B27,Data!$G:$G,"&lt;="&amp;S$2,Data!$H:$H,"&gt;="&amp;S$2)</f>
        <v>0</v>
      </c>
      <c r="T27" s="21">
        <f>SUMIFS(Data!$I:$I,Data!$B:$B,$B27,Data!$G:$G,"&lt;="&amp;T$2,Data!$H:$H,"&gt;="&amp;T$2)</f>
        <v>0</v>
      </c>
      <c r="U27" s="21">
        <f>SUMIFS(Data!$I:$I,Data!$B:$B,$B27,Data!$G:$G,"&lt;="&amp;U$2,Data!$H:$H,"&gt;="&amp;U$2)</f>
        <v>0</v>
      </c>
      <c r="V27" s="21">
        <f>SUMIFS(Data!$I:$I,Data!$B:$B,$B27,Data!$G:$G,"&lt;="&amp;V$2,Data!$H:$H,"&gt;="&amp;V$2)</f>
        <v>0</v>
      </c>
      <c r="W27" s="21">
        <f>SUMIFS(Data!$I:$I,Data!$B:$B,$B27,Data!$G:$G,"&lt;="&amp;W$2,Data!$H:$H,"&gt;="&amp;W$2)</f>
        <v>13333.333333333334</v>
      </c>
      <c r="X27" s="21">
        <f>SUMIFS(Data!$I:$I,Data!$B:$B,$B27,Data!$G:$G,"&lt;="&amp;X$2,Data!$H:$H,"&gt;="&amp;X$2)</f>
        <v>13333.333333333334</v>
      </c>
      <c r="Y27" s="21">
        <f>SUMIFS(Data!$I:$I,Data!$B:$B,$B27,Data!$G:$G,"&lt;="&amp;Y$2,Data!$H:$H,"&gt;="&amp;Y$2)</f>
        <v>13333.333333333334</v>
      </c>
      <c r="Z27" s="21">
        <f>SUMIFS(Data!$I:$I,Data!$B:$B,$B27,Data!$G:$G,"&lt;="&amp;Z$2,Data!$H:$H,"&gt;="&amp;Z$2)</f>
        <v>0</v>
      </c>
      <c r="AA27" s="21">
        <f>SUMIFS(Data!$I:$I,Data!$B:$B,$B27,Data!$G:$G,"&lt;="&amp;AA$2,Data!$H:$H,"&gt;="&amp;AA$2)</f>
        <v>0</v>
      </c>
      <c r="AB27" s="21">
        <f>SUMIFS(Data!$I:$I,Data!$B:$B,$B27,Data!$G:$G,"&lt;="&amp;AB$2,Data!$H:$H,"&gt;="&amp;AB$2)</f>
        <v>0</v>
      </c>
      <c r="AC27" s="21">
        <f>SUMIFS(Data!$I:$I,Data!$B:$B,$B27,Data!$G:$G,"&lt;="&amp;AC$2,Data!$H:$H,"&gt;="&amp;AC$2)</f>
        <v>0</v>
      </c>
      <c r="AD27" s="21">
        <f>SUMIFS(Data!$I:$I,Data!$B:$B,$B27,Data!$G:$G,"&lt;="&amp;AD$2,Data!$H:$H,"&gt;="&amp;AD$2)</f>
        <v>0</v>
      </c>
      <c r="AE27" s="21">
        <f>SUMIFS(Data!$I:$I,Data!$B:$B,$B27,Data!$G:$G,"&lt;="&amp;AE$2,Data!$H:$H,"&gt;="&amp;AE$2)</f>
        <v>0</v>
      </c>
      <c r="AF27" s="21">
        <f>SUMIFS(Data!$I:$I,Data!$B:$B,$B27,Data!$G:$G,"&lt;="&amp;AF$2,Data!$H:$H,"&gt;="&amp;AF$2)</f>
        <v>0</v>
      </c>
      <c r="AG27" s="21">
        <f>SUMIFS(Data!$I:$I,Data!$B:$B,$B27,Data!$G:$G,"&lt;="&amp;AG$2,Data!$H:$H,"&gt;="&amp;AG$2)</f>
        <v>0</v>
      </c>
      <c r="AH27" s="21">
        <f>SUMIFS(Data!$I:$I,Data!$B:$B,$B27,Data!$G:$G,"&lt;="&amp;AH$2,Data!$H:$H,"&gt;="&amp;AH$2)</f>
        <v>0</v>
      </c>
      <c r="AI27" s="21">
        <f>SUMIFS(Data!$I:$I,Data!$B:$B,$B27,Data!$G:$G,"&lt;="&amp;AI$2,Data!$H:$H,"&gt;="&amp;AI$2)</f>
        <v>13333.333333333334</v>
      </c>
      <c r="AJ27" s="21">
        <f>SUMIFS(Data!$I:$I,Data!$B:$B,$B27,Data!$G:$G,"&lt;="&amp;AJ$2,Data!$H:$H,"&gt;="&amp;AJ$2)</f>
        <v>13333.333333333334</v>
      </c>
      <c r="AK27" s="21">
        <f>SUMIFS(Data!$I:$I,Data!$B:$B,$B27,Data!$G:$G,"&lt;="&amp;AK$2,Data!$H:$H,"&gt;="&amp;AK$2)</f>
        <v>13333.333333333334</v>
      </c>
      <c r="AL27" s="21">
        <f>SUMIFS(Data!$I:$I,Data!$B:$B,$B27,Data!$G:$G,"&lt;="&amp;AL$2,Data!$H:$H,"&gt;="&amp;AL$2)</f>
        <v>0</v>
      </c>
      <c r="AM27" s="21">
        <f>SUMIFS(Data!$I:$I,Data!$B:$B,$B27,Data!$G:$G,"&lt;="&amp;AM$2,Data!$H:$H,"&gt;="&amp;AM$2)</f>
        <v>0</v>
      </c>
      <c r="AN27" s="21">
        <f>SUMIFS(Data!$I:$I,Data!$B:$B,$B27,Data!$G:$G,"&lt;="&amp;AN$2,Data!$H:$H,"&gt;="&amp;AN$2)</f>
        <v>0</v>
      </c>
      <c r="AO27" s="21">
        <f>SUMIFS(Data!$I:$I,Data!$B:$B,$B27,Data!$G:$G,"&lt;="&amp;AO$2,Data!$H:$H,"&gt;="&amp;AO$2)</f>
        <v>0</v>
      </c>
      <c r="AP27" s="21">
        <f>SUMIFS(Data!$I:$I,Data!$B:$B,$B27,Data!$G:$G,"&lt;="&amp;AP$2,Data!$H:$H,"&gt;="&amp;AP$2)</f>
        <v>0</v>
      </c>
      <c r="AQ27" s="21">
        <f>SUMIFS(Data!$I:$I,Data!$B:$B,$B27,Data!$G:$G,"&lt;="&amp;AQ$2,Data!$H:$H,"&gt;="&amp;AQ$2)</f>
        <v>0</v>
      </c>
      <c r="AR27" s="21">
        <f>SUMIFS(Data!$I:$I,Data!$B:$B,$B27,Data!$G:$G,"&lt;="&amp;AR$2,Data!$H:$H,"&gt;="&amp;AR$2)</f>
        <v>0</v>
      </c>
      <c r="AS27" s="21">
        <f>SUMIFS(Data!$I:$I,Data!$B:$B,$B27,Data!$G:$G,"&lt;="&amp;AS$2,Data!$H:$H,"&gt;="&amp;AS$2)</f>
        <v>0</v>
      </c>
      <c r="AT27" s="21">
        <f>SUMIFS(Data!$I:$I,Data!$B:$B,$B27,Data!$G:$G,"&lt;="&amp;AT$2,Data!$H:$H,"&gt;="&amp;AT$2)</f>
        <v>0</v>
      </c>
      <c r="AU27" s="21">
        <f>SUMIFS(Data!$I:$I,Data!$B:$B,$B27,Data!$G:$G,"&lt;="&amp;AU$2,Data!$H:$H,"&gt;="&amp;AU$2)</f>
        <v>10000</v>
      </c>
      <c r="AV27" s="21">
        <f>SUMIFS(Data!$I:$I,Data!$B:$B,$B27,Data!$G:$G,"&lt;="&amp;AV$2,Data!$H:$H,"&gt;="&amp;AV$2)</f>
        <v>10000</v>
      </c>
      <c r="AW27" s="21">
        <f>SUMIFS(Data!$I:$I,Data!$B:$B,$B27,Data!$G:$G,"&lt;="&amp;AW$2,Data!$H:$H,"&gt;="&amp;AW$2)</f>
        <v>10000</v>
      </c>
      <c r="AX27" s="21">
        <f>SUMIFS(Data!$I:$I,Data!$B:$B,$B27,Data!$G:$G,"&lt;="&amp;AX$2,Data!$H:$H,"&gt;="&amp;AX$2)</f>
        <v>0</v>
      </c>
      <c r="AY27" s="21">
        <f>SUMIFS(Data!$I:$I,Data!$B:$B,$B27,Data!$G:$G,"&lt;="&amp;AY$2,Data!$H:$H,"&gt;="&amp;AY$2)</f>
        <v>0</v>
      </c>
      <c r="AZ27" s="21">
        <f>SUMIFS(Data!$I:$I,Data!$B:$B,$B27,Data!$G:$G,"&lt;="&amp;AZ$2,Data!$H:$H,"&gt;="&amp;AZ$2)</f>
        <v>0</v>
      </c>
      <c r="BA27" s="21">
        <f>SUMIFS(Data!$I:$I,Data!$B:$B,$B27,Data!$G:$G,"&lt;="&amp;BA$2,Data!$H:$H,"&gt;="&amp;BA$2)</f>
        <v>0</v>
      </c>
      <c r="BB27" s="21">
        <f>SUMIFS(Data!$I:$I,Data!$B:$B,$B27,Data!$G:$G,"&lt;="&amp;BB$2,Data!$H:$H,"&gt;="&amp;BB$2)</f>
        <v>0</v>
      </c>
      <c r="BC27" s="21">
        <f>SUMIFS(Data!$I:$I,Data!$B:$B,$B27,Data!$G:$G,"&lt;="&amp;BC$2,Data!$H:$H,"&gt;="&amp;BC$2)</f>
        <v>0</v>
      </c>
      <c r="BD27" s="21">
        <f>SUMIFS(Data!$I:$I,Data!$B:$B,$B27,Data!$G:$G,"&lt;="&amp;BD$2,Data!$H:$H,"&gt;="&amp;BD$2)</f>
        <v>0</v>
      </c>
      <c r="BE27" s="21">
        <f>SUMIFS(Data!$I:$I,Data!$B:$B,$B27,Data!$G:$G,"&lt;="&amp;BE$2,Data!$H:$H,"&gt;="&amp;BE$2)</f>
        <v>0</v>
      </c>
      <c r="BF27" s="21">
        <f>SUMIFS(Data!$I:$I,Data!$B:$B,$B27,Data!$G:$G,"&lt;="&amp;BF$2,Data!$H:$H,"&gt;="&amp;BF$2)</f>
        <v>0</v>
      </c>
      <c r="BG27" s="21">
        <f>SUMIFS(Data!$I:$I,Data!$B:$B,$B27,Data!$G:$G,"&lt;="&amp;BG$2,Data!$H:$H,"&gt;="&amp;BG$2)</f>
        <v>0</v>
      </c>
      <c r="BH27" s="21">
        <f>SUMIFS(Data!$I:$I,Data!$B:$B,$B27,Data!$G:$G,"&lt;="&amp;BH$2,Data!$H:$H,"&gt;="&amp;BH$2)</f>
        <v>0</v>
      </c>
      <c r="BI27" s="21">
        <f>SUMIFS(Data!$I:$I,Data!$B:$B,$B27,Data!$G:$G,"&lt;="&amp;BI$2,Data!$H:$H,"&gt;="&amp;BI$2)</f>
        <v>0</v>
      </c>
      <c r="BJ27" s="21">
        <f>SUMIFS(Data!$I:$I,Data!$B:$B,$B27,Data!$G:$G,"&lt;="&amp;BJ$2,Data!$H:$H,"&gt;="&amp;BJ$2)</f>
        <v>0</v>
      </c>
      <c r="BK27" s="21">
        <f>SUMIFS(Data!$I:$I,Data!$B:$B,$B27,Data!$G:$G,"&lt;="&amp;BK$2,Data!$H:$H,"&gt;="&amp;BK$2)</f>
        <v>0</v>
      </c>
      <c r="BL27" s="21">
        <f>SUMIFS(Data!$I:$I,Data!$B:$B,$B27,Data!$G:$G,"&lt;="&amp;BL$2,Data!$H:$H,"&gt;="&amp;BL$2)</f>
        <v>0</v>
      </c>
      <c r="BM27" s="21">
        <f>SUMIFS(Data!$I:$I,Data!$B:$B,$B27,Data!$G:$G,"&lt;="&amp;BM$2,Data!$H:$H,"&gt;="&amp;BM$2)</f>
        <v>0</v>
      </c>
      <c r="BN27" s="21">
        <f>SUMIFS(Data!$I:$I,Data!$B:$B,$B27,Data!$G:$G,"&lt;="&amp;BN$2,Data!$H:$H,"&gt;="&amp;BN$2)</f>
        <v>0</v>
      </c>
      <c r="BO27" s="21">
        <f>SUMIFS(Data!$I:$I,Data!$B:$B,$B27,Data!$G:$G,"&lt;="&amp;BO$2,Data!$H:$H,"&gt;="&amp;BO$2)</f>
        <v>0</v>
      </c>
      <c r="BP27" s="21">
        <f>SUMIFS(Data!$I:$I,Data!$B:$B,$B27,Data!$G:$G,"&lt;="&amp;BP$2,Data!$H:$H,"&gt;="&amp;BP$2)</f>
        <v>0</v>
      </c>
      <c r="BQ27" s="21">
        <f>SUMIFS(Data!$I:$I,Data!$B:$B,$B27,Data!$G:$G,"&lt;="&amp;BQ$2,Data!$H:$H,"&gt;="&amp;BQ$2)</f>
        <v>0</v>
      </c>
      <c r="BR27" s="21">
        <f>SUMIFS(Data!$I:$I,Data!$B:$B,$B27,Data!$G:$G,"&lt;="&amp;BR$2,Data!$H:$H,"&gt;="&amp;BR$2)</f>
        <v>0</v>
      </c>
      <c r="BS27" s="21">
        <f>SUMIFS(Data!$I:$I,Data!$B:$B,$B27,Data!$G:$G,"&lt;="&amp;BS$2,Data!$H:$H,"&gt;="&amp;BS$2)</f>
        <v>0</v>
      </c>
      <c r="BT27" s="21">
        <f>SUMIFS(Data!$I:$I,Data!$B:$B,$B27,Data!$G:$G,"&lt;="&amp;BT$2,Data!$H:$H,"&gt;="&amp;BT$2)</f>
        <v>0</v>
      </c>
      <c r="BU27" s="21">
        <f>SUMIFS(Data!$I:$I,Data!$B:$B,$B27,Data!$G:$G,"&lt;="&amp;BU$2,Data!$H:$H,"&gt;="&amp;BU$2)</f>
        <v>0</v>
      </c>
      <c r="BV27" s="21">
        <f>SUMIFS(Data!$I:$I,Data!$B:$B,$B27,Data!$G:$G,"&lt;="&amp;BV$2,Data!$H:$H,"&gt;="&amp;BV$2)</f>
        <v>0</v>
      </c>
      <c r="BW27" s="21">
        <f>SUMIFS(Data!$I:$I,Data!$B:$B,$B27,Data!$G:$G,"&lt;="&amp;BW$2,Data!$H:$H,"&gt;="&amp;BW$2)</f>
        <v>0</v>
      </c>
      <c r="BX27" s="21">
        <f>SUMIFS(Data!$I:$I,Data!$B:$B,$B27,Data!$G:$G,"&lt;="&amp;BX$2,Data!$H:$H,"&gt;="&amp;BX$2)</f>
        <v>0</v>
      </c>
      <c r="BY27" s="21">
        <f>SUMIFS(Data!$I:$I,Data!$B:$B,$B27,Data!$G:$G,"&lt;="&amp;BY$2,Data!$H:$H,"&gt;="&amp;BY$2)</f>
        <v>0</v>
      </c>
      <c r="BZ27" s="21">
        <f>SUMIFS(Data!$I:$I,Data!$B:$B,$B27,Data!$G:$G,"&lt;="&amp;BZ$2,Data!$H:$H,"&gt;="&amp;BZ$2)</f>
        <v>0</v>
      </c>
      <c r="CA27" s="22">
        <f t="shared" ref="CA27:CA46" si="66">SUM(D27:BZ27)</f>
        <v>477999.99999999994</v>
      </c>
    </row>
    <row r="28" spans="2:79" x14ac:dyDescent="0.25">
      <c r="B28" s="11" t="s">
        <v>95</v>
      </c>
      <c r="C28" s="11" t="str">
        <f>VLOOKUP(B28,Data!B:C,2,FALSE)</f>
        <v>JREFII</v>
      </c>
      <c r="D28" s="21">
        <f>SUMIFS(Data!$I:$I,Data!$B:$B,$B28,Data!$G:$G,"&lt;="&amp;D$2,Data!$H:$H,"&gt;="&amp;D$2)</f>
        <v>0</v>
      </c>
      <c r="E28" s="21">
        <f>SUMIFS(Data!$I:$I,Data!$B:$B,$B28,Data!$G:$G,"&lt;="&amp;E$2,Data!$H:$H,"&gt;="&amp;E$2)</f>
        <v>0</v>
      </c>
      <c r="F28" s="21">
        <f>SUMIFS(Data!$I:$I,Data!$B:$B,$B28,Data!$G:$G,"&lt;="&amp;F$2,Data!$H:$H,"&gt;="&amp;F$2)</f>
        <v>0</v>
      </c>
      <c r="G28" s="21">
        <f>SUMIFS(Data!$I:$I,Data!$B:$B,$B28,Data!$G:$G,"&lt;="&amp;G$2,Data!$H:$H,"&gt;="&amp;G$2)</f>
        <v>4000</v>
      </c>
      <c r="H28" s="21">
        <f>SUMIFS(Data!$I:$I,Data!$B:$B,$B28,Data!$G:$G,"&lt;="&amp;H$2,Data!$H:$H,"&gt;="&amp;H$2)</f>
        <v>4000</v>
      </c>
      <c r="I28" s="21">
        <f>SUMIFS(Data!$I:$I,Data!$B:$B,$B28,Data!$G:$G,"&lt;="&amp;I$2,Data!$H:$H,"&gt;="&amp;I$2)</f>
        <v>4000</v>
      </c>
      <c r="J28" s="21">
        <f>SUMIFS(Data!$I:$I,Data!$B:$B,$B28,Data!$G:$G,"&lt;="&amp;J$2,Data!$H:$H,"&gt;="&amp;J$2)</f>
        <v>0</v>
      </c>
      <c r="K28" s="21">
        <f>SUMIFS(Data!$I:$I,Data!$B:$B,$B28,Data!$G:$G,"&lt;="&amp;K$2,Data!$H:$H,"&gt;="&amp;K$2)</f>
        <v>0</v>
      </c>
      <c r="L28" s="21">
        <f>SUMIFS(Data!$I:$I,Data!$B:$B,$B28,Data!$G:$G,"&lt;="&amp;L$2,Data!$H:$H,"&gt;="&amp;L$2)</f>
        <v>0</v>
      </c>
      <c r="M28" s="21">
        <f>SUMIFS(Data!$I:$I,Data!$B:$B,$B28,Data!$G:$G,"&lt;="&amp;M$2,Data!$H:$H,"&gt;="&amp;M$2)</f>
        <v>0</v>
      </c>
      <c r="N28" s="21">
        <f>SUMIFS(Data!$I:$I,Data!$B:$B,$B28,Data!$G:$G,"&lt;="&amp;N$2,Data!$H:$H,"&gt;="&amp;N$2)</f>
        <v>0</v>
      </c>
      <c r="O28" s="21">
        <f>SUMIFS(Data!$I:$I,Data!$B:$B,$B28,Data!$G:$G,"&lt;="&amp;O$2,Data!$H:$H,"&gt;="&amp;O$2)</f>
        <v>0</v>
      </c>
      <c r="P28" s="21">
        <f>SUMIFS(Data!$I:$I,Data!$B:$B,$B28,Data!$G:$G,"&lt;="&amp;P$2,Data!$H:$H,"&gt;="&amp;P$2)</f>
        <v>0</v>
      </c>
      <c r="Q28" s="21">
        <f>SUMIFS(Data!$I:$I,Data!$B:$B,$B28,Data!$G:$G,"&lt;="&amp;Q$2,Data!$H:$H,"&gt;="&amp;Q$2)</f>
        <v>0</v>
      </c>
      <c r="R28" s="21">
        <f>SUMIFS(Data!$I:$I,Data!$B:$B,$B28,Data!$G:$G,"&lt;="&amp;R$2,Data!$H:$H,"&gt;="&amp;R$2)</f>
        <v>0</v>
      </c>
      <c r="S28" s="21">
        <f>SUMIFS(Data!$I:$I,Data!$B:$B,$B28,Data!$G:$G,"&lt;="&amp;S$2,Data!$H:$H,"&gt;="&amp;S$2)</f>
        <v>0</v>
      </c>
      <c r="T28" s="21">
        <f>SUMIFS(Data!$I:$I,Data!$B:$B,$B28,Data!$G:$G,"&lt;="&amp;T$2,Data!$H:$H,"&gt;="&amp;T$2)</f>
        <v>0</v>
      </c>
      <c r="U28" s="21">
        <f>SUMIFS(Data!$I:$I,Data!$B:$B,$B28,Data!$G:$G,"&lt;="&amp;U$2,Data!$H:$H,"&gt;="&amp;U$2)</f>
        <v>0</v>
      </c>
      <c r="V28" s="21">
        <f>SUMIFS(Data!$I:$I,Data!$B:$B,$B28,Data!$G:$G,"&lt;="&amp;V$2,Data!$H:$H,"&gt;="&amp;V$2)</f>
        <v>0</v>
      </c>
      <c r="W28" s="21">
        <f>SUMIFS(Data!$I:$I,Data!$B:$B,$B28,Data!$G:$G,"&lt;="&amp;W$2,Data!$H:$H,"&gt;="&amp;W$2)</f>
        <v>0</v>
      </c>
      <c r="X28" s="21">
        <f>SUMIFS(Data!$I:$I,Data!$B:$B,$B28,Data!$G:$G,"&lt;="&amp;X$2,Data!$H:$H,"&gt;="&amp;X$2)</f>
        <v>0</v>
      </c>
      <c r="Y28" s="21">
        <f>SUMIFS(Data!$I:$I,Data!$B:$B,$B28,Data!$G:$G,"&lt;="&amp;Y$2,Data!$H:$H,"&gt;="&amp;Y$2)</f>
        <v>0</v>
      </c>
      <c r="Z28" s="21">
        <f>SUMIFS(Data!$I:$I,Data!$B:$B,$B28,Data!$G:$G,"&lt;="&amp;Z$2,Data!$H:$H,"&gt;="&amp;Z$2)</f>
        <v>0</v>
      </c>
      <c r="AA28" s="21">
        <f>SUMIFS(Data!$I:$I,Data!$B:$B,$B28,Data!$G:$G,"&lt;="&amp;AA$2,Data!$H:$H,"&gt;="&amp;AA$2)</f>
        <v>0</v>
      </c>
      <c r="AB28" s="21">
        <f>SUMIFS(Data!$I:$I,Data!$B:$B,$B28,Data!$G:$G,"&lt;="&amp;AB$2,Data!$H:$H,"&gt;="&amp;AB$2)</f>
        <v>0</v>
      </c>
      <c r="AC28" s="21">
        <f>SUMIFS(Data!$I:$I,Data!$B:$B,$B28,Data!$G:$G,"&lt;="&amp;AC$2,Data!$H:$H,"&gt;="&amp;AC$2)</f>
        <v>0</v>
      </c>
      <c r="AD28" s="21">
        <f>SUMIFS(Data!$I:$I,Data!$B:$B,$B28,Data!$G:$G,"&lt;="&amp;AD$2,Data!$H:$H,"&gt;="&amp;AD$2)</f>
        <v>0</v>
      </c>
      <c r="AE28" s="21">
        <f>SUMIFS(Data!$I:$I,Data!$B:$B,$B28,Data!$G:$G,"&lt;="&amp;AE$2,Data!$H:$H,"&gt;="&amp;AE$2)</f>
        <v>0</v>
      </c>
      <c r="AF28" s="21">
        <f>SUMIFS(Data!$I:$I,Data!$B:$B,$B28,Data!$G:$G,"&lt;="&amp;AF$2,Data!$H:$H,"&gt;="&amp;AF$2)</f>
        <v>0</v>
      </c>
      <c r="AG28" s="21">
        <f>SUMIFS(Data!$I:$I,Data!$B:$B,$B28,Data!$G:$G,"&lt;="&amp;AG$2,Data!$H:$H,"&gt;="&amp;AG$2)</f>
        <v>0</v>
      </c>
      <c r="AH28" s="21">
        <f>SUMIFS(Data!$I:$I,Data!$B:$B,$B28,Data!$G:$G,"&lt;="&amp;AH$2,Data!$H:$H,"&gt;="&amp;AH$2)</f>
        <v>0</v>
      </c>
      <c r="AI28" s="21">
        <f>SUMIFS(Data!$I:$I,Data!$B:$B,$B28,Data!$G:$G,"&lt;="&amp;AI$2,Data!$H:$H,"&gt;="&amp;AI$2)</f>
        <v>0</v>
      </c>
      <c r="AJ28" s="21">
        <f>SUMIFS(Data!$I:$I,Data!$B:$B,$B28,Data!$G:$G,"&lt;="&amp;AJ$2,Data!$H:$H,"&gt;="&amp;AJ$2)</f>
        <v>0</v>
      </c>
      <c r="AK28" s="21">
        <f>SUMIFS(Data!$I:$I,Data!$B:$B,$B28,Data!$G:$G,"&lt;="&amp;AK$2,Data!$H:$H,"&gt;="&amp;AK$2)</f>
        <v>0</v>
      </c>
      <c r="AL28" s="21">
        <f>SUMIFS(Data!$I:$I,Data!$B:$B,$B28,Data!$G:$G,"&lt;="&amp;AL$2,Data!$H:$H,"&gt;="&amp;AL$2)</f>
        <v>0</v>
      </c>
      <c r="AM28" s="21">
        <f>SUMIFS(Data!$I:$I,Data!$B:$B,$B28,Data!$G:$G,"&lt;="&amp;AM$2,Data!$H:$H,"&gt;="&amp;AM$2)</f>
        <v>0</v>
      </c>
      <c r="AN28" s="21">
        <f>SUMIFS(Data!$I:$I,Data!$B:$B,$B28,Data!$G:$G,"&lt;="&amp;AN$2,Data!$H:$H,"&gt;="&amp;AN$2)</f>
        <v>0</v>
      </c>
      <c r="AO28" s="21">
        <f>SUMIFS(Data!$I:$I,Data!$B:$B,$B28,Data!$G:$G,"&lt;="&amp;AO$2,Data!$H:$H,"&gt;="&amp;AO$2)</f>
        <v>0</v>
      </c>
      <c r="AP28" s="21">
        <f>SUMIFS(Data!$I:$I,Data!$B:$B,$B28,Data!$G:$G,"&lt;="&amp;AP$2,Data!$H:$H,"&gt;="&amp;AP$2)</f>
        <v>0</v>
      </c>
      <c r="AQ28" s="21">
        <f>SUMIFS(Data!$I:$I,Data!$B:$B,$B28,Data!$G:$G,"&lt;="&amp;AQ$2,Data!$H:$H,"&gt;="&amp;AQ$2)</f>
        <v>0</v>
      </c>
      <c r="AR28" s="21">
        <f>SUMIFS(Data!$I:$I,Data!$B:$B,$B28,Data!$G:$G,"&lt;="&amp;AR$2,Data!$H:$H,"&gt;="&amp;AR$2)</f>
        <v>0</v>
      </c>
      <c r="AS28" s="21">
        <f>SUMIFS(Data!$I:$I,Data!$B:$B,$B28,Data!$G:$G,"&lt;="&amp;AS$2,Data!$H:$H,"&gt;="&amp;AS$2)</f>
        <v>0</v>
      </c>
      <c r="AT28" s="21">
        <f>SUMIFS(Data!$I:$I,Data!$B:$B,$B28,Data!$G:$G,"&lt;="&amp;AT$2,Data!$H:$H,"&gt;="&amp;AT$2)</f>
        <v>0</v>
      </c>
      <c r="AU28" s="21">
        <f>SUMIFS(Data!$I:$I,Data!$B:$B,$B28,Data!$G:$G,"&lt;="&amp;AU$2,Data!$H:$H,"&gt;="&amp;AU$2)</f>
        <v>0</v>
      </c>
      <c r="AV28" s="21">
        <f>SUMIFS(Data!$I:$I,Data!$B:$B,$B28,Data!$G:$G,"&lt;="&amp;AV$2,Data!$H:$H,"&gt;="&amp;AV$2)</f>
        <v>0</v>
      </c>
      <c r="AW28" s="21">
        <f>SUMIFS(Data!$I:$I,Data!$B:$B,$B28,Data!$G:$G,"&lt;="&amp;AW$2,Data!$H:$H,"&gt;="&amp;AW$2)</f>
        <v>0</v>
      </c>
      <c r="AX28" s="21">
        <f>SUMIFS(Data!$I:$I,Data!$B:$B,$B28,Data!$G:$G,"&lt;="&amp;AX$2,Data!$H:$H,"&gt;="&amp;AX$2)</f>
        <v>0</v>
      </c>
      <c r="AY28" s="21">
        <f>SUMIFS(Data!$I:$I,Data!$B:$B,$B28,Data!$G:$G,"&lt;="&amp;AY$2,Data!$H:$H,"&gt;="&amp;AY$2)</f>
        <v>0</v>
      </c>
      <c r="AZ28" s="21">
        <f>SUMIFS(Data!$I:$I,Data!$B:$B,$B28,Data!$G:$G,"&lt;="&amp;AZ$2,Data!$H:$H,"&gt;="&amp;AZ$2)</f>
        <v>0</v>
      </c>
      <c r="BA28" s="21">
        <f>SUMIFS(Data!$I:$I,Data!$B:$B,$B28,Data!$G:$G,"&lt;="&amp;BA$2,Data!$H:$H,"&gt;="&amp;BA$2)</f>
        <v>0</v>
      </c>
      <c r="BB28" s="21">
        <f>SUMIFS(Data!$I:$I,Data!$B:$B,$B28,Data!$G:$G,"&lt;="&amp;BB$2,Data!$H:$H,"&gt;="&amp;BB$2)</f>
        <v>0</v>
      </c>
      <c r="BC28" s="21">
        <f>SUMIFS(Data!$I:$I,Data!$B:$B,$B28,Data!$G:$G,"&lt;="&amp;BC$2,Data!$H:$H,"&gt;="&amp;BC$2)</f>
        <v>0</v>
      </c>
      <c r="BD28" s="21">
        <f>SUMIFS(Data!$I:$I,Data!$B:$B,$B28,Data!$G:$G,"&lt;="&amp;BD$2,Data!$H:$H,"&gt;="&amp;BD$2)</f>
        <v>0</v>
      </c>
      <c r="BE28" s="21">
        <f>SUMIFS(Data!$I:$I,Data!$B:$B,$B28,Data!$G:$G,"&lt;="&amp;BE$2,Data!$H:$H,"&gt;="&amp;BE$2)</f>
        <v>0</v>
      </c>
      <c r="BF28" s="21">
        <f>SUMIFS(Data!$I:$I,Data!$B:$B,$B28,Data!$G:$G,"&lt;="&amp;BF$2,Data!$H:$H,"&gt;="&amp;BF$2)</f>
        <v>0</v>
      </c>
      <c r="BG28" s="21">
        <f>SUMIFS(Data!$I:$I,Data!$B:$B,$B28,Data!$G:$G,"&lt;="&amp;BG$2,Data!$H:$H,"&gt;="&amp;BG$2)</f>
        <v>0</v>
      </c>
      <c r="BH28" s="21">
        <f>SUMIFS(Data!$I:$I,Data!$B:$B,$B28,Data!$G:$G,"&lt;="&amp;BH$2,Data!$H:$H,"&gt;="&amp;BH$2)</f>
        <v>0</v>
      </c>
      <c r="BI28" s="21">
        <f>SUMIFS(Data!$I:$I,Data!$B:$B,$B28,Data!$G:$G,"&lt;="&amp;BI$2,Data!$H:$H,"&gt;="&amp;BI$2)</f>
        <v>0</v>
      </c>
      <c r="BJ28" s="21">
        <f>SUMIFS(Data!$I:$I,Data!$B:$B,$B28,Data!$G:$G,"&lt;="&amp;BJ$2,Data!$H:$H,"&gt;="&amp;BJ$2)</f>
        <v>0</v>
      </c>
      <c r="BK28" s="21">
        <f>SUMIFS(Data!$I:$I,Data!$B:$B,$B28,Data!$G:$G,"&lt;="&amp;BK$2,Data!$H:$H,"&gt;="&amp;BK$2)</f>
        <v>0</v>
      </c>
      <c r="BL28" s="21">
        <f>SUMIFS(Data!$I:$I,Data!$B:$B,$B28,Data!$G:$G,"&lt;="&amp;BL$2,Data!$H:$H,"&gt;="&amp;BL$2)</f>
        <v>0</v>
      </c>
      <c r="BM28" s="21">
        <f>SUMIFS(Data!$I:$I,Data!$B:$B,$B28,Data!$G:$G,"&lt;="&amp;BM$2,Data!$H:$H,"&gt;="&amp;BM$2)</f>
        <v>0</v>
      </c>
      <c r="BN28" s="21">
        <f>SUMIFS(Data!$I:$I,Data!$B:$B,$B28,Data!$G:$G,"&lt;="&amp;BN$2,Data!$H:$H,"&gt;="&amp;BN$2)</f>
        <v>0</v>
      </c>
      <c r="BO28" s="21">
        <f>SUMIFS(Data!$I:$I,Data!$B:$B,$B28,Data!$G:$G,"&lt;="&amp;BO$2,Data!$H:$H,"&gt;="&amp;BO$2)</f>
        <v>0</v>
      </c>
      <c r="BP28" s="21">
        <f>SUMIFS(Data!$I:$I,Data!$B:$B,$B28,Data!$G:$G,"&lt;="&amp;BP$2,Data!$H:$H,"&gt;="&amp;BP$2)</f>
        <v>0</v>
      </c>
      <c r="BQ28" s="21">
        <f>SUMIFS(Data!$I:$I,Data!$B:$B,$B28,Data!$G:$G,"&lt;="&amp;BQ$2,Data!$H:$H,"&gt;="&amp;BQ$2)</f>
        <v>0</v>
      </c>
      <c r="BR28" s="21">
        <f>SUMIFS(Data!$I:$I,Data!$B:$B,$B28,Data!$G:$G,"&lt;="&amp;BR$2,Data!$H:$H,"&gt;="&amp;BR$2)</f>
        <v>0</v>
      </c>
      <c r="BS28" s="21">
        <f>SUMIFS(Data!$I:$I,Data!$B:$B,$B28,Data!$G:$G,"&lt;="&amp;BS$2,Data!$H:$H,"&gt;="&amp;BS$2)</f>
        <v>0</v>
      </c>
      <c r="BT28" s="21">
        <f>SUMIFS(Data!$I:$I,Data!$B:$B,$B28,Data!$G:$G,"&lt;="&amp;BT$2,Data!$H:$H,"&gt;="&amp;BT$2)</f>
        <v>0</v>
      </c>
      <c r="BU28" s="21">
        <f>SUMIFS(Data!$I:$I,Data!$B:$B,$B28,Data!$G:$G,"&lt;="&amp;BU$2,Data!$H:$H,"&gt;="&amp;BU$2)</f>
        <v>0</v>
      </c>
      <c r="BV28" s="21">
        <f>SUMIFS(Data!$I:$I,Data!$B:$B,$B28,Data!$G:$G,"&lt;="&amp;BV$2,Data!$H:$H,"&gt;="&amp;BV$2)</f>
        <v>0</v>
      </c>
      <c r="BW28" s="21">
        <f>SUMIFS(Data!$I:$I,Data!$B:$B,$B28,Data!$G:$G,"&lt;="&amp;BW$2,Data!$H:$H,"&gt;="&amp;BW$2)</f>
        <v>0</v>
      </c>
      <c r="BX28" s="21">
        <f>SUMIFS(Data!$I:$I,Data!$B:$B,$B28,Data!$G:$G,"&lt;="&amp;BX$2,Data!$H:$H,"&gt;="&amp;BX$2)</f>
        <v>0</v>
      </c>
      <c r="BY28" s="21">
        <f>SUMIFS(Data!$I:$I,Data!$B:$B,$B28,Data!$G:$G,"&lt;="&amp;BY$2,Data!$H:$H,"&gt;="&amp;BY$2)</f>
        <v>0</v>
      </c>
      <c r="BZ28" s="21">
        <f>SUMIFS(Data!$I:$I,Data!$B:$B,$B28,Data!$G:$G,"&lt;="&amp;BZ$2,Data!$H:$H,"&gt;="&amp;BZ$2)</f>
        <v>0</v>
      </c>
      <c r="CA28" s="22">
        <f t="shared" si="66"/>
        <v>12000</v>
      </c>
    </row>
    <row r="29" spans="2:79" x14ac:dyDescent="0.25">
      <c r="B29" s="11" t="s">
        <v>96</v>
      </c>
      <c r="C29" s="11" t="str">
        <f>VLOOKUP(B29,Data!B:C,2,FALSE)</f>
        <v>JREFII</v>
      </c>
      <c r="D29" s="21">
        <f>SUMIFS(Data!$I:$I,Data!$B:$B,$B29,Data!$G:$G,"&lt;="&amp;D$2,Data!$H:$H,"&gt;="&amp;D$2)</f>
        <v>0</v>
      </c>
      <c r="E29" s="21">
        <f>SUMIFS(Data!$I:$I,Data!$B:$B,$B29,Data!$G:$G,"&lt;="&amp;E$2,Data!$H:$H,"&gt;="&amp;E$2)</f>
        <v>0</v>
      </c>
      <c r="F29" s="21">
        <f>SUMIFS(Data!$I:$I,Data!$B:$B,$B29,Data!$G:$G,"&lt;="&amp;F$2,Data!$H:$H,"&gt;="&amp;F$2)</f>
        <v>0</v>
      </c>
      <c r="G29" s="21">
        <f>SUMIFS(Data!$I:$I,Data!$B:$B,$B29,Data!$G:$G,"&lt;="&amp;G$2,Data!$H:$H,"&gt;="&amp;G$2)</f>
        <v>3333.3333333333335</v>
      </c>
      <c r="H29" s="21">
        <f>SUMIFS(Data!$I:$I,Data!$B:$B,$B29,Data!$G:$G,"&lt;="&amp;H$2,Data!$H:$H,"&gt;="&amp;H$2)</f>
        <v>3333.3333333333335</v>
      </c>
      <c r="I29" s="21">
        <f>SUMIFS(Data!$I:$I,Data!$B:$B,$B29,Data!$G:$G,"&lt;="&amp;I$2,Data!$H:$H,"&gt;="&amp;I$2)</f>
        <v>3333.3333333333335</v>
      </c>
      <c r="J29" s="21">
        <f>SUMIFS(Data!$I:$I,Data!$B:$B,$B29,Data!$G:$G,"&lt;="&amp;J$2,Data!$H:$H,"&gt;="&amp;J$2)</f>
        <v>0</v>
      </c>
      <c r="K29" s="21">
        <f>SUMIFS(Data!$I:$I,Data!$B:$B,$B29,Data!$G:$G,"&lt;="&amp;K$2,Data!$H:$H,"&gt;="&amp;K$2)</f>
        <v>0</v>
      </c>
      <c r="L29" s="21">
        <f>SUMIFS(Data!$I:$I,Data!$B:$B,$B29,Data!$G:$G,"&lt;="&amp;L$2,Data!$H:$H,"&gt;="&amp;L$2)</f>
        <v>0</v>
      </c>
      <c r="M29" s="21">
        <f>SUMIFS(Data!$I:$I,Data!$B:$B,$B29,Data!$G:$G,"&lt;="&amp;M$2,Data!$H:$H,"&gt;="&amp;M$2)</f>
        <v>0</v>
      </c>
      <c r="N29" s="21">
        <f>SUMIFS(Data!$I:$I,Data!$B:$B,$B29,Data!$G:$G,"&lt;="&amp;N$2,Data!$H:$H,"&gt;="&amp;N$2)</f>
        <v>0</v>
      </c>
      <c r="O29" s="21">
        <f>SUMIFS(Data!$I:$I,Data!$B:$B,$B29,Data!$G:$G,"&lt;="&amp;O$2,Data!$H:$H,"&gt;="&amp;O$2)</f>
        <v>0</v>
      </c>
      <c r="P29" s="21">
        <f>SUMIFS(Data!$I:$I,Data!$B:$B,$B29,Data!$G:$G,"&lt;="&amp;P$2,Data!$H:$H,"&gt;="&amp;P$2)</f>
        <v>450000</v>
      </c>
      <c r="Q29" s="21">
        <f>SUMIFS(Data!$I:$I,Data!$B:$B,$B29,Data!$G:$G,"&lt;="&amp;Q$2,Data!$H:$H,"&gt;="&amp;Q$2)</f>
        <v>450000</v>
      </c>
      <c r="R29" s="21">
        <f>SUMIFS(Data!$I:$I,Data!$B:$B,$B29,Data!$G:$G,"&lt;="&amp;R$2,Data!$H:$H,"&gt;="&amp;R$2)</f>
        <v>450000</v>
      </c>
      <c r="S29" s="21">
        <f>SUMIFS(Data!$I:$I,Data!$B:$B,$B29,Data!$G:$G,"&lt;="&amp;S$2,Data!$H:$H,"&gt;="&amp;S$2)</f>
        <v>0</v>
      </c>
      <c r="T29" s="21">
        <f>SUMIFS(Data!$I:$I,Data!$B:$B,$B29,Data!$G:$G,"&lt;="&amp;T$2,Data!$H:$H,"&gt;="&amp;T$2)</f>
        <v>0</v>
      </c>
      <c r="U29" s="21">
        <f>SUMIFS(Data!$I:$I,Data!$B:$B,$B29,Data!$G:$G,"&lt;="&amp;U$2,Data!$H:$H,"&gt;="&amp;U$2)</f>
        <v>0</v>
      </c>
      <c r="V29" s="21">
        <f>SUMIFS(Data!$I:$I,Data!$B:$B,$B29,Data!$G:$G,"&lt;="&amp;V$2,Data!$H:$H,"&gt;="&amp;V$2)</f>
        <v>0</v>
      </c>
      <c r="W29" s="21">
        <f>SUMIFS(Data!$I:$I,Data!$B:$B,$B29,Data!$G:$G,"&lt;="&amp;W$2,Data!$H:$H,"&gt;="&amp;W$2)</f>
        <v>0</v>
      </c>
      <c r="X29" s="21">
        <f>SUMIFS(Data!$I:$I,Data!$B:$B,$B29,Data!$G:$G,"&lt;="&amp;X$2,Data!$H:$H,"&gt;="&amp;X$2)</f>
        <v>0</v>
      </c>
      <c r="Y29" s="21">
        <f>SUMIFS(Data!$I:$I,Data!$B:$B,$B29,Data!$G:$G,"&lt;="&amp;Y$2,Data!$H:$H,"&gt;="&amp;Y$2)</f>
        <v>0</v>
      </c>
      <c r="Z29" s="21">
        <f>SUMIFS(Data!$I:$I,Data!$B:$B,$B29,Data!$G:$G,"&lt;="&amp;Z$2,Data!$H:$H,"&gt;="&amp;Z$2)</f>
        <v>0</v>
      </c>
      <c r="AA29" s="21">
        <f>SUMIFS(Data!$I:$I,Data!$B:$B,$B29,Data!$G:$G,"&lt;="&amp;AA$2,Data!$H:$H,"&gt;="&amp;AA$2)</f>
        <v>0</v>
      </c>
      <c r="AB29" s="21">
        <f>SUMIFS(Data!$I:$I,Data!$B:$B,$B29,Data!$G:$G,"&lt;="&amp;AB$2,Data!$H:$H,"&gt;="&amp;AB$2)</f>
        <v>0</v>
      </c>
      <c r="AC29" s="21">
        <f>SUMIFS(Data!$I:$I,Data!$B:$B,$B29,Data!$G:$G,"&lt;="&amp;AC$2,Data!$H:$H,"&gt;="&amp;AC$2)</f>
        <v>0</v>
      </c>
      <c r="AD29" s="21">
        <f>SUMIFS(Data!$I:$I,Data!$B:$B,$B29,Data!$G:$G,"&lt;="&amp;AD$2,Data!$H:$H,"&gt;="&amp;AD$2)</f>
        <v>0</v>
      </c>
      <c r="AE29" s="21">
        <f>SUMIFS(Data!$I:$I,Data!$B:$B,$B29,Data!$G:$G,"&lt;="&amp;AE$2,Data!$H:$H,"&gt;="&amp;AE$2)</f>
        <v>0</v>
      </c>
      <c r="AF29" s="21">
        <f>SUMIFS(Data!$I:$I,Data!$B:$B,$B29,Data!$G:$G,"&lt;="&amp;AF$2,Data!$H:$H,"&gt;="&amp;AF$2)</f>
        <v>0</v>
      </c>
      <c r="AG29" s="21">
        <f>SUMIFS(Data!$I:$I,Data!$B:$B,$B29,Data!$G:$G,"&lt;="&amp;AG$2,Data!$H:$H,"&gt;="&amp;AG$2)</f>
        <v>0</v>
      </c>
      <c r="AH29" s="21">
        <f>SUMIFS(Data!$I:$I,Data!$B:$B,$B29,Data!$G:$G,"&lt;="&amp;AH$2,Data!$H:$H,"&gt;="&amp;AH$2)</f>
        <v>0</v>
      </c>
      <c r="AI29" s="21">
        <f>SUMIFS(Data!$I:$I,Data!$B:$B,$B29,Data!$G:$G,"&lt;="&amp;AI$2,Data!$H:$H,"&gt;="&amp;AI$2)</f>
        <v>0</v>
      </c>
      <c r="AJ29" s="21">
        <f>SUMIFS(Data!$I:$I,Data!$B:$B,$B29,Data!$G:$G,"&lt;="&amp;AJ$2,Data!$H:$H,"&gt;="&amp;AJ$2)</f>
        <v>0</v>
      </c>
      <c r="AK29" s="21">
        <f>SUMIFS(Data!$I:$I,Data!$B:$B,$B29,Data!$G:$G,"&lt;="&amp;AK$2,Data!$H:$H,"&gt;="&amp;AK$2)</f>
        <v>0</v>
      </c>
      <c r="AL29" s="21">
        <f>SUMIFS(Data!$I:$I,Data!$B:$B,$B29,Data!$G:$G,"&lt;="&amp;AL$2,Data!$H:$H,"&gt;="&amp;AL$2)</f>
        <v>0</v>
      </c>
      <c r="AM29" s="21">
        <f>SUMIFS(Data!$I:$I,Data!$B:$B,$B29,Data!$G:$G,"&lt;="&amp;AM$2,Data!$H:$H,"&gt;="&amp;AM$2)</f>
        <v>0</v>
      </c>
      <c r="AN29" s="21">
        <f>SUMIFS(Data!$I:$I,Data!$B:$B,$B29,Data!$G:$G,"&lt;="&amp;AN$2,Data!$H:$H,"&gt;="&amp;AN$2)</f>
        <v>0</v>
      </c>
      <c r="AO29" s="21">
        <f>SUMIFS(Data!$I:$I,Data!$B:$B,$B29,Data!$G:$G,"&lt;="&amp;AO$2,Data!$H:$H,"&gt;="&amp;AO$2)</f>
        <v>0</v>
      </c>
      <c r="AP29" s="21">
        <f>SUMIFS(Data!$I:$I,Data!$B:$B,$B29,Data!$G:$G,"&lt;="&amp;AP$2,Data!$H:$H,"&gt;="&amp;AP$2)</f>
        <v>0</v>
      </c>
      <c r="AQ29" s="21">
        <f>SUMIFS(Data!$I:$I,Data!$B:$B,$B29,Data!$G:$G,"&lt;="&amp;AQ$2,Data!$H:$H,"&gt;="&amp;AQ$2)</f>
        <v>0</v>
      </c>
      <c r="AR29" s="21">
        <f>SUMIFS(Data!$I:$I,Data!$B:$B,$B29,Data!$G:$G,"&lt;="&amp;AR$2,Data!$H:$H,"&gt;="&amp;AR$2)</f>
        <v>0</v>
      </c>
      <c r="AS29" s="21">
        <f>SUMIFS(Data!$I:$I,Data!$B:$B,$B29,Data!$G:$G,"&lt;="&amp;AS$2,Data!$H:$H,"&gt;="&amp;AS$2)</f>
        <v>0</v>
      </c>
      <c r="AT29" s="21">
        <f>SUMIFS(Data!$I:$I,Data!$B:$B,$B29,Data!$G:$G,"&lt;="&amp;AT$2,Data!$H:$H,"&gt;="&amp;AT$2)</f>
        <v>0</v>
      </c>
      <c r="AU29" s="21">
        <f>SUMIFS(Data!$I:$I,Data!$B:$B,$B29,Data!$G:$G,"&lt;="&amp;AU$2,Data!$H:$H,"&gt;="&amp;AU$2)</f>
        <v>0</v>
      </c>
      <c r="AV29" s="21">
        <f>SUMIFS(Data!$I:$I,Data!$B:$B,$B29,Data!$G:$G,"&lt;="&amp;AV$2,Data!$H:$H,"&gt;="&amp;AV$2)</f>
        <v>0</v>
      </c>
      <c r="AW29" s="21">
        <f>SUMIFS(Data!$I:$I,Data!$B:$B,$B29,Data!$G:$G,"&lt;="&amp;AW$2,Data!$H:$H,"&gt;="&amp;AW$2)</f>
        <v>0</v>
      </c>
      <c r="AX29" s="21">
        <f>SUMIFS(Data!$I:$I,Data!$B:$B,$B29,Data!$G:$G,"&lt;="&amp;AX$2,Data!$H:$H,"&gt;="&amp;AX$2)</f>
        <v>0</v>
      </c>
      <c r="AY29" s="21">
        <f>SUMIFS(Data!$I:$I,Data!$B:$B,$B29,Data!$G:$G,"&lt;="&amp;AY$2,Data!$H:$H,"&gt;="&amp;AY$2)</f>
        <v>0</v>
      </c>
      <c r="AZ29" s="21">
        <f>SUMIFS(Data!$I:$I,Data!$B:$B,$B29,Data!$G:$G,"&lt;="&amp;AZ$2,Data!$H:$H,"&gt;="&amp;AZ$2)</f>
        <v>0</v>
      </c>
      <c r="BA29" s="21">
        <f>SUMIFS(Data!$I:$I,Data!$B:$B,$B29,Data!$G:$G,"&lt;="&amp;BA$2,Data!$H:$H,"&gt;="&amp;BA$2)</f>
        <v>0</v>
      </c>
      <c r="BB29" s="21">
        <f>SUMIFS(Data!$I:$I,Data!$B:$B,$B29,Data!$G:$G,"&lt;="&amp;BB$2,Data!$H:$H,"&gt;="&amp;BB$2)</f>
        <v>0</v>
      </c>
      <c r="BC29" s="21">
        <f>SUMIFS(Data!$I:$I,Data!$B:$B,$B29,Data!$G:$G,"&lt;="&amp;BC$2,Data!$H:$H,"&gt;="&amp;BC$2)</f>
        <v>0</v>
      </c>
      <c r="BD29" s="21">
        <f>SUMIFS(Data!$I:$I,Data!$B:$B,$B29,Data!$G:$G,"&lt;="&amp;BD$2,Data!$H:$H,"&gt;="&amp;BD$2)</f>
        <v>0</v>
      </c>
      <c r="BE29" s="21">
        <f>SUMIFS(Data!$I:$I,Data!$B:$B,$B29,Data!$G:$G,"&lt;="&amp;BE$2,Data!$H:$H,"&gt;="&amp;BE$2)</f>
        <v>0</v>
      </c>
      <c r="BF29" s="21">
        <f>SUMIFS(Data!$I:$I,Data!$B:$B,$B29,Data!$G:$G,"&lt;="&amp;BF$2,Data!$H:$H,"&gt;="&amp;BF$2)</f>
        <v>0</v>
      </c>
      <c r="BG29" s="21">
        <f>SUMIFS(Data!$I:$I,Data!$B:$B,$B29,Data!$G:$G,"&lt;="&amp;BG$2,Data!$H:$H,"&gt;="&amp;BG$2)</f>
        <v>0</v>
      </c>
      <c r="BH29" s="21">
        <f>SUMIFS(Data!$I:$I,Data!$B:$B,$B29,Data!$G:$G,"&lt;="&amp;BH$2,Data!$H:$H,"&gt;="&amp;BH$2)</f>
        <v>0</v>
      </c>
      <c r="BI29" s="21">
        <f>SUMIFS(Data!$I:$I,Data!$B:$B,$B29,Data!$G:$G,"&lt;="&amp;BI$2,Data!$H:$H,"&gt;="&amp;BI$2)</f>
        <v>0</v>
      </c>
      <c r="BJ29" s="21">
        <f>SUMIFS(Data!$I:$I,Data!$B:$B,$B29,Data!$G:$G,"&lt;="&amp;BJ$2,Data!$H:$H,"&gt;="&amp;BJ$2)</f>
        <v>0</v>
      </c>
      <c r="BK29" s="21">
        <f>SUMIFS(Data!$I:$I,Data!$B:$B,$B29,Data!$G:$G,"&lt;="&amp;BK$2,Data!$H:$H,"&gt;="&amp;BK$2)</f>
        <v>0</v>
      </c>
      <c r="BL29" s="21">
        <f>SUMIFS(Data!$I:$I,Data!$B:$B,$B29,Data!$G:$G,"&lt;="&amp;BL$2,Data!$H:$H,"&gt;="&amp;BL$2)</f>
        <v>0</v>
      </c>
      <c r="BM29" s="21">
        <f>SUMIFS(Data!$I:$I,Data!$B:$B,$B29,Data!$G:$G,"&lt;="&amp;BM$2,Data!$H:$H,"&gt;="&amp;BM$2)</f>
        <v>0</v>
      </c>
      <c r="BN29" s="21">
        <f>SUMIFS(Data!$I:$I,Data!$B:$B,$B29,Data!$G:$G,"&lt;="&amp;BN$2,Data!$H:$H,"&gt;="&amp;BN$2)</f>
        <v>0</v>
      </c>
      <c r="BO29" s="21">
        <f>SUMIFS(Data!$I:$I,Data!$B:$B,$B29,Data!$G:$G,"&lt;="&amp;BO$2,Data!$H:$H,"&gt;="&amp;BO$2)</f>
        <v>0</v>
      </c>
      <c r="BP29" s="21">
        <f>SUMIFS(Data!$I:$I,Data!$B:$B,$B29,Data!$G:$G,"&lt;="&amp;BP$2,Data!$H:$H,"&gt;="&amp;BP$2)</f>
        <v>0</v>
      </c>
      <c r="BQ29" s="21">
        <f>SUMIFS(Data!$I:$I,Data!$B:$B,$B29,Data!$G:$G,"&lt;="&amp;BQ$2,Data!$H:$H,"&gt;="&amp;BQ$2)</f>
        <v>0</v>
      </c>
      <c r="BR29" s="21">
        <f>SUMIFS(Data!$I:$I,Data!$B:$B,$B29,Data!$G:$G,"&lt;="&amp;BR$2,Data!$H:$H,"&gt;="&amp;BR$2)</f>
        <v>0</v>
      </c>
      <c r="BS29" s="21">
        <f>SUMIFS(Data!$I:$I,Data!$B:$B,$B29,Data!$G:$G,"&lt;="&amp;BS$2,Data!$H:$H,"&gt;="&amp;BS$2)</f>
        <v>0</v>
      </c>
      <c r="BT29" s="21">
        <f>SUMIFS(Data!$I:$I,Data!$B:$B,$B29,Data!$G:$G,"&lt;="&amp;BT$2,Data!$H:$H,"&gt;="&amp;BT$2)</f>
        <v>0</v>
      </c>
      <c r="BU29" s="21">
        <f>SUMIFS(Data!$I:$I,Data!$B:$B,$B29,Data!$G:$G,"&lt;="&amp;BU$2,Data!$H:$H,"&gt;="&amp;BU$2)</f>
        <v>0</v>
      </c>
      <c r="BV29" s="21">
        <f>SUMIFS(Data!$I:$I,Data!$B:$B,$B29,Data!$G:$G,"&lt;="&amp;BV$2,Data!$H:$H,"&gt;="&amp;BV$2)</f>
        <v>0</v>
      </c>
      <c r="BW29" s="21">
        <f>SUMIFS(Data!$I:$I,Data!$B:$B,$B29,Data!$G:$G,"&lt;="&amp;BW$2,Data!$H:$H,"&gt;="&amp;BW$2)</f>
        <v>0</v>
      </c>
      <c r="BX29" s="21">
        <f>SUMIFS(Data!$I:$I,Data!$B:$B,$B29,Data!$G:$G,"&lt;="&amp;BX$2,Data!$H:$H,"&gt;="&amp;BX$2)</f>
        <v>0</v>
      </c>
      <c r="BY29" s="21">
        <f>SUMIFS(Data!$I:$I,Data!$B:$B,$B29,Data!$G:$G,"&lt;="&amp;BY$2,Data!$H:$H,"&gt;="&amp;BY$2)</f>
        <v>0</v>
      </c>
      <c r="BZ29" s="21">
        <f>SUMIFS(Data!$I:$I,Data!$B:$B,$B29,Data!$G:$G,"&lt;="&amp;BZ$2,Data!$H:$H,"&gt;="&amp;BZ$2)</f>
        <v>0</v>
      </c>
      <c r="CA29" s="22">
        <f t="shared" si="66"/>
        <v>1360000</v>
      </c>
    </row>
    <row r="30" spans="2:79" x14ac:dyDescent="0.25">
      <c r="B30" s="11" t="s">
        <v>89</v>
      </c>
      <c r="C30" s="11" t="str">
        <f>VLOOKUP(B30,Data!B:C,2,FALSE)</f>
        <v>JREFII</v>
      </c>
      <c r="D30" s="21">
        <f>SUMIFS(Data!$I:$I,Data!$B:$B,$B30,Data!$G:$G,"&lt;="&amp;D$2,Data!$H:$H,"&gt;="&amp;D$2)</f>
        <v>0</v>
      </c>
      <c r="E30" s="21">
        <f>SUMIFS(Data!$I:$I,Data!$B:$B,$B30,Data!$G:$G,"&lt;="&amp;E$2,Data!$H:$H,"&gt;="&amp;E$2)</f>
        <v>0</v>
      </c>
      <c r="F30" s="21">
        <f>SUMIFS(Data!$I:$I,Data!$B:$B,$B30,Data!$G:$G,"&lt;="&amp;F$2,Data!$H:$H,"&gt;="&amp;F$2)</f>
        <v>0</v>
      </c>
      <c r="G30" s="21">
        <f>SUMIFS(Data!$I:$I,Data!$B:$B,$B30,Data!$G:$G,"&lt;="&amp;G$2,Data!$H:$H,"&gt;="&amp;G$2)</f>
        <v>25000</v>
      </c>
      <c r="H30" s="21">
        <f>SUMIFS(Data!$I:$I,Data!$B:$B,$B30,Data!$G:$G,"&lt;="&amp;H$2,Data!$H:$H,"&gt;="&amp;H$2)</f>
        <v>25000</v>
      </c>
      <c r="I30" s="21">
        <f>SUMIFS(Data!$I:$I,Data!$B:$B,$B30,Data!$G:$G,"&lt;="&amp;I$2,Data!$H:$H,"&gt;="&amp;I$2)</f>
        <v>25000</v>
      </c>
      <c r="J30" s="21">
        <f>SUMIFS(Data!$I:$I,Data!$B:$B,$B30,Data!$G:$G,"&lt;="&amp;J$2,Data!$H:$H,"&gt;="&amp;J$2)</f>
        <v>0</v>
      </c>
      <c r="K30" s="21">
        <f>SUMIFS(Data!$I:$I,Data!$B:$B,$B30,Data!$G:$G,"&lt;="&amp;K$2,Data!$H:$H,"&gt;="&amp;K$2)</f>
        <v>0</v>
      </c>
      <c r="L30" s="21">
        <f>SUMIFS(Data!$I:$I,Data!$B:$B,$B30,Data!$G:$G,"&lt;="&amp;L$2,Data!$H:$H,"&gt;="&amp;L$2)</f>
        <v>0</v>
      </c>
      <c r="M30" s="21">
        <f>SUMIFS(Data!$I:$I,Data!$B:$B,$B30,Data!$G:$G,"&lt;="&amp;M$2,Data!$H:$H,"&gt;="&amp;M$2)</f>
        <v>0</v>
      </c>
      <c r="N30" s="21">
        <f>SUMIFS(Data!$I:$I,Data!$B:$B,$B30,Data!$G:$G,"&lt;="&amp;N$2,Data!$H:$H,"&gt;="&amp;N$2)</f>
        <v>0</v>
      </c>
      <c r="O30" s="21">
        <f>SUMIFS(Data!$I:$I,Data!$B:$B,$B30,Data!$G:$G,"&lt;="&amp;O$2,Data!$H:$H,"&gt;="&amp;O$2)</f>
        <v>0</v>
      </c>
      <c r="P30" s="21">
        <f>SUMIFS(Data!$I:$I,Data!$B:$B,$B30,Data!$G:$G,"&lt;="&amp;P$2,Data!$H:$H,"&gt;="&amp;P$2)</f>
        <v>0</v>
      </c>
      <c r="Q30" s="21">
        <f>SUMIFS(Data!$I:$I,Data!$B:$B,$B30,Data!$G:$G,"&lt;="&amp;Q$2,Data!$H:$H,"&gt;="&amp;Q$2)</f>
        <v>0</v>
      </c>
      <c r="R30" s="21">
        <f>SUMIFS(Data!$I:$I,Data!$B:$B,$B30,Data!$G:$G,"&lt;="&amp;R$2,Data!$H:$H,"&gt;="&amp;R$2)</f>
        <v>0</v>
      </c>
      <c r="S30" s="21">
        <f>SUMIFS(Data!$I:$I,Data!$B:$B,$B30,Data!$G:$G,"&lt;="&amp;S$2,Data!$H:$H,"&gt;="&amp;S$2)</f>
        <v>0</v>
      </c>
      <c r="T30" s="21">
        <f>SUMIFS(Data!$I:$I,Data!$B:$B,$B30,Data!$G:$G,"&lt;="&amp;T$2,Data!$H:$H,"&gt;="&amp;T$2)</f>
        <v>0</v>
      </c>
      <c r="U30" s="21">
        <f>SUMIFS(Data!$I:$I,Data!$B:$B,$B30,Data!$G:$G,"&lt;="&amp;U$2,Data!$H:$H,"&gt;="&amp;U$2)</f>
        <v>0</v>
      </c>
      <c r="V30" s="21">
        <f>SUMIFS(Data!$I:$I,Data!$B:$B,$B30,Data!$G:$G,"&lt;="&amp;V$2,Data!$H:$H,"&gt;="&amp;V$2)</f>
        <v>0</v>
      </c>
      <c r="W30" s="21">
        <f>SUMIFS(Data!$I:$I,Data!$B:$B,$B30,Data!$G:$G,"&lt;="&amp;W$2,Data!$H:$H,"&gt;="&amp;W$2)</f>
        <v>0</v>
      </c>
      <c r="X30" s="21">
        <f>SUMIFS(Data!$I:$I,Data!$B:$B,$B30,Data!$G:$G,"&lt;="&amp;X$2,Data!$H:$H,"&gt;="&amp;X$2)</f>
        <v>0</v>
      </c>
      <c r="Y30" s="21">
        <f>SUMIFS(Data!$I:$I,Data!$B:$B,$B30,Data!$G:$G,"&lt;="&amp;Y$2,Data!$H:$H,"&gt;="&amp;Y$2)</f>
        <v>0</v>
      </c>
      <c r="Z30" s="21">
        <f>SUMIFS(Data!$I:$I,Data!$B:$B,$B30,Data!$G:$G,"&lt;="&amp;Z$2,Data!$H:$H,"&gt;="&amp;Z$2)</f>
        <v>0</v>
      </c>
      <c r="AA30" s="21">
        <f>SUMIFS(Data!$I:$I,Data!$B:$B,$B30,Data!$G:$G,"&lt;="&amp;AA$2,Data!$H:$H,"&gt;="&amp;AA$2)</f>
        <v>0</v>
      </c>
      <c r="AB30" s="21">
        <f>SUMIFS(Data!$I:$I,Data!$B:$B,$B30,Data!$G:$G,"&lt;="&amp;AB$2,Data!$H:$H,"&gt;="&amp;AB$2)</f>
        <v>0</v>
      </c>
      <c r="AC30" s="21">
        <f>SUMIFS(Data!$I:$I,Data!$B:$B,$B30,Data!$G:$G,"&lt;="&amp;AC$2,Data!$H:$H,"&gt;="&amp;AC$2)</f>
        <v>0</v>
      </c>
      <c r="AD30" s="21">
        <f>SUMIFS(Data!$I:$I,Data!$B:$B,$B30,Data!$G:$G,"&lt;="&amp;AD$2,Data!$H:$H,"&gt;="&amp;AD$2)</f>
        <v>0</v>
      </c>
      <c r="AE30" s="21">
        <f>SUMIFS(Data!$I:$I,Data!$B:$B,$B30,Data!$G:$G,"&lt;="&amp;AE$2,Data!$H:$H,"&gt;="&amp;AE$2)</f>
        <v>0</v>
      </c>
      <c r="AF30" s="21">
        <f>SUMIFS(Data!$I:$I,Data!$B:$B,$B30,Data!$G:$G,"&lt;="&amp;AF$2,Data!$H:$H,"&gt;="&amp;AF$2)</f>
        <v>0</v>
      </c>
      <c r="AG30" s="21">
        <f>SUMIFS(Data!$I:$I,Data!$B:$B,$B30,Data!$G:$G,"&lt;="&amp;AG$2,Data!$H:$H,"&gt;="&amp;AG$2)</f>
        <v>0</v>
      </c>
      <c r="AH30" s="21">
        <f>SUMIFS(Data!$I:$I,Data!$B:$B,$B30,Data!$G:$G,"&lt;="&amp;AH$2,Data!$H:$H,"&gt;="&amp;AH$2)</f>
        <v>0</v>
      </c>
      <c r="AI30" s="21">
        <f>SUMIFS(Data!$I:$I,Data!$B:$B,$B30,Data!$G:$G,"&lt;="&amp;AI$2,Data!$H:$H,"&gt;="&amp;AI$2)</f>
        <v>0</v>
      </c>
      <c r="AJ30" s="21">
        <f>SUMIFS(Data!$I:$I,Data!$B:$B,$B30,Data!$G:$G,"&lt;="&amp;AJ$2,Data!$H:$H,"&gt;="&amp;AJ$2)</f>
        <v>0</v>
      </c>
      <c r="AK30" s="21">
        <f>SUMIFS(Data!$I:$I,Data!$B:$B,$B30,Data!$G:$G,"&lt;="&amp;AK$2,Data!$H:$H,"&gt;="&amp;AK$2)</f>
        <v>0</v>
      </c>
      <c r="AL30" s="21">
        <f>SUMIFS(Data!$I:$I,Data!$B:$B,$B30,Data!$G:$G,"&lt;="&amp;AL$2,Data!$H:$H,"&gt;="&amp;AL$2)</f>
        <v>0</v>
      </c>
      <c r="AM30" s="21">
        <f>SUMIFS(Data!$I:$I,Data!$B:$B,$B30,Data!$G:$G,"&lt;="&amp;AM$2,Data!$H:$H,"&gt;="&amp;AM$2)</f>
        <v>0</v>
      </c>
      <c r="AN30" s="21">
        <f>SUMIFS(Data!$I:$I,Data!$B:$B,$B30,Data!$G:$G,"&lt;="&amp;AN$2,Data!$H:$H,"&gt;="&amp;AN$2)</f>
        <v>0</v>
      </c>
      <c r="AO30" s="21">
        <f>SUMIFS(Data!$I:$I,Data!$B:$B,$B30,Data!$G:$G,"&lt;="&amp;AO$2,Data!$H:$H,"&gt;="&amp;AO$2)</f>
        <v>0</v>
      </c>
      <c r="AP30" s="21">
        <f>SUMIFS(Data!$I:$I,Data!$B:$B,$B30,Data!$G:$G,"&lt;="&amp;AP$2,Data!$H:$H,"&gt;="&amp;AP$2)</f>
        <v>0</v>
      </c>
      <c r="AQ30" s="21">
        <f>SUMIFS(Data!$I:$I,Data!$B:$B,$B30,Data!$G:$G,"&lt;="&amp;AQ$2,Data!$H:$H,"&gt;="&amp;AQ$2)</f>
        <v>0</v>
      </c>
      <c r="AR30" s="21">
        <f>SUMIFS(Data!$I:$I,Data!$B:$B,$B30,Data!$G:$G,"&lt;="&amp;AR$2,Data!$H:$H,"&gt;="&amp;AR$2)</f>
        <v>0</v>
      </c>
      <c r="AS30" s="21">
        <f>SUMIFS(Data!$I:$I,Data!$B:$B,$B30,Data!$G:$G,"&lt;="&amp;AS$2,Data!$H:$H,"&gt;="&amp;AS$2)</f>
        <v>0</v>
      </c>
      <c r="AT30" s="21">
        <f>SUMIFS(Data!$I:$I,Data!$B:$B,$B30,Data!$G:$G,"&lt;="&amp;AT$2,Data!$H:$H,"&gt;="&amp;AT$2)</f>
        <v>0</v>
      </c>
      <c r="AU30" s="21">
        <f>SUMIFS(Data!$I:$I,Data!$B:$B,$B30,Data!$G:$G,"&lt;="&amp;AU$2,Data!$H:$H,"&gt;="&amp;AU$2)</f>
        <v>0</v>
      </c>
      <c r="AV30" s="21">
        <f>SUMIFS(Data!$I:$I,Data!$B:$B,$B30,Data!$G:$G,"&lt;="&amp;AV$2,Data!$H:$H,"&gt;="&amp;AV$2)</f>
        <v>0</v>
      </c>
      <c r="AW30" s="21">
        <f>SUMIFS(Data!$I:$I,Data!$B:$B,$B30,Data!$G:$G,"&lt;="&amp;AW$2,Data!$H:$H,"&gt;="&amp;AW$2)</f>
        <v>0</v>
      </c>
      <c r="AX30" s="21">
        <f>SUMIFS(Data!$I:$I,Data!$B:$B,$B30,Data!$G:$G,"&lt;="&amp;AX$2,Data!$H:$H,"&gt;="&amp;AX$2)</f>
        <v>0</v>
      </c>
      <c r="AY30" s="21">
        <f>SUMIFS(Data!$I:$I,Data!$B:$B,$B30,Data!$G:$G,"&lt;="&amp;AY$2,Data!$H:$H,"&gt;="&amp;AY$2)</f>
        <v>0</v>
      </c>
      <c r="AZ30" s="21">
        <f>SUMIFS(Data!$I:$I,Data!$B:$B,$B30,Data!$G:$G,"&lt;="&amp;AZ$2,Data!$H:$H,"&gt;="&amp;AZ$2)</f>
        <v>0</v>
      </c>
      <c r="BA30" s="21">
        <f>SUMIFS(Data!$I:$I,Data!$B:$B,$B30,Data!$G:$G,"&lt;="&amp;BA$2,Data!$H:$H,"&gt;="&amp;BA$2)</f>
        <v>0</v>
      </c>
      <c r="BB30" s="21">
        <f>SUMIFS(Data!$I:$I,Data!$B:$B,$B30,Data!$G:$G,"&lt;="&amp;BB$2,Data!$H:$H,"&gt;="&amp;BB$2)</f>
        <v>0</v>
      </c>
      <c r="BC30" s="21">
        <f>SUMIFS(Data!$I:$I,Data!$B:$B,$B30,Data!$G:$G,"&lt;="&amp;BC$2,Data!$H:$H,"&gt;="&amp;BC$2)</f>
        <v>0</v>
      </c>
      <c r="BD30" s="21">
        <f>SUMIFS(Data!$I:$I,Data!$B:$B,$B30,Data!$G:$G,"&lt;="&amp;BD$2,Data!$H:$H,"&gt;="&amp;BD$2)</f>
        <v>0</v>
      </c>
      <c r="BE30" s="21">
        <f>SUMIFS(Data!$I:$I,Data!$B:$B,$B30,Data!$G:$G,"&lt;="&amp;BE$2,Data!$H:$H,"&gt;="&amp;BE$2)</f>
        <v>0</v>
      </c>
      <c r="BF30" s="21">
        <f>SUMIFS(Data!$I:$I,Data!$B:$B,$B30,Data!$G:$G,"&lt;="&amp;BF$2,Data!$H:$H,"&gt;="&amp;BF$2)</f>
        <v>0</v>
      </c>
      <c r="BG30" s="21">
        <f>SUMIFS(Data!$I:$I,Data!$B:$B,$B30,Data!$G:$G,"&lt;="&amp;BG$2,Data!$H:$H,"&gt;="&amp;BG$2)</f>
        <v>0</v>
      </c>
      <c r="BH30" s="21">
        <f>SUMIFS(Data!$I:$I,Data!$B:$B,$B30,Data!$G:$G,"&lt;="&amp;BH$2,Data!$H:$H,"&gt;="&amp;BH$2)</f>
        <v>0</v>
      </c>
      <c r="BI30" s="21">
        <f>SUMIFS(Data!$I:$I,Data!$B:$B,$B30,Data!$G:$G,"&lt;="&amp;BI$2,Data!$H:$H,"&gt;="&amp;BI$2)</f>
        <v>0</v>
      </c>
      <c r="BJ30" s="21">
        <f>SUMIFS(Data!$I:$I,Data!$B:$B,$B30,Data!$G:$G,"&lt;="&amp;BJ$2,Data!$H:$H,"&gt;="&amp;BJ$2)</f>
        <v>0</v>
      </c>
      <c r="BK30" s="21">
        <f>SUMIFS(Data!$I:$I,Data!$B:$B,$B30,Data!$G:$G,"&lt;="&amp;BK$2,Data!$H:$H,"&gt;="&amp;BK$2)</f>
        <v>0</v>
      </c>
      <c r="BL30" s="21">
        <f>SUMIFS(Data!$I:$I,Data!$B:$B,$B30,Data!$G:$G,"&lt;="&amp;BL$2,Data!$H:$H,"&gt;="&amp;BL$2)</f>
        <v>0</v>
      </c>
      <c r="BM30" s="21">
        <f>SUMIFS(Data!$I:$I,Data!$B:$B,$B30,Data!$G:$G,"&lt;="&amp;BM$2,Data!$H:$H,"&gt;="&amp;BM$2)</f>
        <v>0</v>
      </c>
      <c r="BN30" s="21">
        <f>SUMIFS(Data!$I:$I,Data!$B:$B,$B30,Data!$G:$G,"&lt;="&amp;BN$2,Data!$H:$H,"&gt;="&amp;BN$2)</f>
        <v>0</v>
      </c>
      <c r="BO30" s="21">
        <f>SUMIFS(Data!$I:$I,Data!$B:$B,$B30,Data!$G:$G,"&lt;="&amp;BO$2,Data!$H:$H,"&gt;="&amp;BO$2)</f>
        <v>0</v>
      </c>
      <c r="BP30" s="21">
        <f>SUMIFS(Data!$I:$I,Data!$B:$B,$B30,Data!$G:$G,"&lt;="&amp;BP$2,Data!$H:$H,"&gt;="&amp;BP$2)</f>
        <v>0</v>
      </c>
      <c r="BQ30" s="21">
        <f>SUMIFS(Data!$I:$I,Data!$B:$B,$B30,Data!$G:$G,"&lt;="&amp;BQ$2,Data!$H:$H,"&gt;="&amp;BQ$2)</f>
        <v>0</v>
      </c>
      <c r="BR30" s="21">
        <f>SUMIFS(Data!$I:$I,Data!$B:$B,$B30,Data!$G:$G,"&lt;="&amp;BR$2,Data!$H:$H,"&gt;="&amp;BR$2)</f>
        <v>0</v>
      </c>
      <c r="BS30" s="21">
        <f>SUMIFS(Data!$I:$I,Data!$B:$B,$B30,Data!$G:$G,"&lt;="&amp;BS$2,Data!$H:$H,"&gt;="&amp;BS$2)</f>
        <v>0</v>
      </c>
      <c r="BT30" s="21">
        <f>SUMIFS(Data!$I:$I,Data!$B:$B,$B30,Data!$G:$G,"&lt;="&amp;BT$2,Data!$H:$H,"&gt;="&amp;BT$2)</f>
        <v>0</v>
      </c>
      <c r="BU30" s="21">
        <f>SUMIFS(Data!$I:$I,Data!$B:$B,$B30,Data!$G:$G,"&lt;="&amp;BU$2,Data!$H:$H,"&gt;="&amp;BU$2)</f>
        <v>0</v>
      </c>
      <c r="BV30" s="21">
        <f>SUMIFS(Data!$I:$I,Data!$B:$B,$B30,Data!$G:$G,"&lt;="&amp;BV$2,Data!$H:$H,"&gt;="&amp;BV$2)</f>
        <v>0</v>
      </c>
      <c r="BW30" s="21">
        <f>SUMIFS(Data!$I:$I,Data!$B:$B,$B30,Data!$G:$G,"&lt;="&amp;BW$2,Data!$H:$H,"&gt;="&amp;BW$2)</f>
        <v>0</v>
      </c>
      <c r="BX30" s="21">
        <f>SUMIFS(Data!$I:$I,Data!$B:$B,$B30,Data!$G:$G,"&lt;="&amp;BX$2,Data!$H:$H,"&gt;="&amp;BX$2)</f>
        <v>0</v>
      </c>
      <c r="BY30" s="21">
        <f>SUMIFS(Data!$I:$I,Data!$B:$B,$B30,Data!$G:$G,"&lt;="&amp;BY$2,Data!$H:$H,"&gt;="&amp;BY$2)</f>
        <v>0</v>
      </c>
      <c r="BZ30" s="21">
        <f>SUMIFS(Data!$I:$I,Data!$B:$B,$B30,Data!$G:$G,"&lt;="&amp;BZ$2,Data!$H:$H,"&gt;="&amp;BZ$2)</f>
        <v>0</v>
      </c>
      <c r="CA30" s="22">
        <f t="shared" si="66"/>
        <v>75000</v>
      </c>
    </row>
    <row r="31" spans="2:79" x14ac:dyDescent="0.25">
      <c r="B31" s="11" t="s">
        <v>97</v>
      </c>
      <c r="C31" s="11" t="str">
        <f>VLOOKUP(B31,Data!B:C,2,FALSE)</f>
        <v>JREFII</v>
      </c>
      <c r="D31" s="21">
        <f>SUMIFS(Data!$I:$I,Data!$B:$B,$B31,Data!$G:$G,"&lt;="&amp;D$2,Data!$H:$H,"&gt;="&amp;D$2)</f>
        <v>0</v>
      </c>
      <c r="E31" s="21">
        <f>SUMIFS(Data!$I:$I,Data!$B:$B,$B31,Data!$G:$G,"&lt;="&amp;E$2,Data!$H:$H,"&gt;="&amp;E$2)</f>
        <v>0</v>
      </c>
      <c r="F31" s="21">
        <f>SUMIFS(Data!$I:$I,Data!$B:$B,$B31,Data!$G:$G,"&lt;="&amp;F$2,Data!$H:$H,"&gt;="&amp;F$2)</f>
        <v>0</v>
      </c>
      <c r="G31" s="21">
        <f>SUMIFS(Data!$I:$I,Data!$B:$B,$B31,Data!$G:$G,"&lt;="&amp;G$2,Data!$H:$H,"&gt;="&amp;G$2)</f>
        <v>10166.666666666666</v>
      </c>
      <c r="H31" s="21">
        <f>SUMIFS(Data!$I:$I,Data!$B:$B,$B31,Data!$G:$G,"&lt;="&amp;H$2,Data!$H:$H,"&gt;="&amp;H$2)</f>
        <v>10166.666666666666</v>
      </c>
      <c r="I31" s="21">
        <f>SUMIFS(Data!$I:$I,Data!$B:$B,$B31,Data!$G:$G,"&lt;="&amp;I$2,Data!$H:$H,"&gt;="&amp;I$2)</f>
        <v>10166.666666666666</v>
      </c>
      <c r="J31" s="21">
        <f>SUMIFS(Data!$I:$I,Data!$B:$B,$B31,Data!$G:$G,"&lt;="&amp;J$2,Data!$H:$H,"&gt;="&amp;J$2)</f>
        <v>20000</v>
      </c>
      <c r="K31" s="21">
        <f>SUMIFS(Data!$I:$I,Data!$B:$B,$B31,Data!$G:$G,"&lt;="&amp;K$2,Data!$H:$H,"&gt;="&amp;K$2)</f>
        <v>20000</v>
      </c>
      <c r="L31" s="21">
        <f>SUMIFS(Data!$I:$I,Data!$B:$B,$B31,Data!$G:$G,"&lt;="&amp;L$2,Data!$H:$H,"&gt;="&amp;L$2)</f>
        <v>20000</v>
      </c>
      <c r="M31" s="21">
        <f>SUMIFS(Data!$I:$I,Data!$B:$B,$B31,Data!$G:$G,"&lt;="&amp;M$2,Data!$H:$H,"&gt;="&amp;M$2)</f>
        <v>0</v>
      </c>
      <c r="N31" s="21">
        <f>SUMIFS(Data!$I:$I,Data!$B:$B,$B31,Data!$G:$G,"&lt;="&amp;N$2,Data!$H:$H,"&gt;="&amp;N$2)</f>
        <v>0</v>
      </c>
      <c r="O31" s="21">
        <f>SUMIFS(Data!$I:$I,Data!$B:$B,$B31,Data!$G:$G,"&lt;="&amp;O$2,Data!$H:$H,"&gt;="&amp;O$2)</f>
        <v>0</v>
      </c>
      <c r="P31" s="21">
        <f>SUMIFS(Data!$I:$I,Data!$B:$B,$B31,Data!$G:$G,"&lt;="&amp;P$2,Data!$H:$H,"&gt;="&amp;P$2)</f>
        <v>0</v>
      </c>
      <c r="Q31" s="21">
        <f>SUMIFS(Data!$I:$I,Data!$B:$B,$B31,Data!$G:$G,"&lt;="&amp;Q$2,Data!$H:$H,"&gt;="&amp;Q$2)</f>
        <v>0</v>
      </c>
      <c r="R31" s="21">
        <f>SUMIFS(Data!$I:$I,Data!$B:$B,$B31,Data!$G:$G,"&lt;="&amp;R$2,Data!$H:$H,"&gt;="&amp;R$2)</f>
        <v>0</v>
      </c>
      <c r="S31" s="21">
        <f>SUMIFS(Data!$I:$I,Data!$B:$B,$B31,Data!$G:$G,"&lt;="&amp;S$2,Data!$H:$H,"&gt;="&amp;S$2)</f>
        <v>0</v>
      </c>
      <c r="T31" s="21">
        <f>SUMIFS(Data!$I:$I,Data!$B:$B,$B31,Data!$G:$G,"&lt;="&amp;T$2,Data!$H:$H,"&gt;="&amp;T$2)</f>
        <v>0</v>
      </c>
      <c r="U31" s="21">
        <f>SUMIFS(Data!$I:$I,Data!$B:$B,$B31,Data!$G:$G,"&lt;="&amp;U$2,Data!$H:$H,"&gt;="&amp;U$2)</f>
        <v>0</v>
      </c>
      <c r="V31" s="21">
        <f>SUMIFS(Data!$I:$I,Data!$B:$B,$B31,Data!$G:$G,"&lt;="&amp;V$2,Data!$H:$H,"&gt;="&amp;V$2)</f>
        <v>0</v>
      </c>
      <c r="W31" s="21">
        <f>SUMIFS(Data!$I:$I,Data!$B:$B,$B31,Data!$G:$G,"&lt;="&amp;W$2,Data!$H:$H,"&gt;="&amp;W$2)</f>
        <v>0</v>
      </c>
      <c r="X31" s="21">
        <f>SUMIFS(Data!$I:$I,Data!$B:$B,$B31,Data!$G:$G,"&lt;="&amp;X$2,Data!$H:$H,"&gt;="&amp;X$2)</f>
        <v>0</v>
      </c>
      <c r="Y31" s="21">
        <f>SUMIFS(Data!$I:$I,Data!$B:$B,$B31,Data!$G:$G,"&lt;="&amp;Y$2,Data!$H:$H,"&gt;="&amp;Y$2)</f>
        <v>0</v>
      </c>
      <c r="Z31" s="21">
        <f>SUMIFS(Data!$I:$I,Data!$B:$B,$B31,Data!$G:$G,"&lt;="&amp;Z$2,Data!$H:$H,"&gt;="&amp;Z$2)</f>
        <v>0</v>
      </c>
      <c r="AA31" s="21">
        <f>SUMIFS(Data!$I:$I,Data!$B:$B,$B31,Data!$G:$G,"&lt;="&amp;AA$2,Data!$H:$H,"&gt;="&amp;AA$2)</f>
        <v>0</v>
      </c>
      <c r="AB31" s="21">
        <f>SUMIFS(Data!$I:$I,Data!$B:$B,$B31,Data!$G:$G,"&lt;="&amp;AB$2,Data!$H:$H,"&gt;="&amp;AB$2)</f>
        <v>0</v>
      </c>
      <c r="AC31" s="21">
        <f>SUMIFS(Data!$I:$I,Data!$B:$B,$B31,Data!$G:$G,"&lt;="&amp;AC$2,Data!$H:$H,"&gt;="&amp;AC$2)</f>
        <v>0</v>
      </c>
      <c r="AD31" s="21">
        <f>SUMIFS(Data!$I:$I,Data!$B:$B,$B31,Data!$G:$G,"&lt;="&amp;AD$2,Data!$H:$H,"&gt;="&amp;AD$2)</f>
        <v>0</v>
      </c>
      <c r="AE31" s="21">
        <f>SUMIFS(Data!$I:$I,Data!$B:$B,$B31,Data!$G:$G,"&lt;="&amp;AE$2,Data!$H:$H,"&gt;="&amp;AE$2)</f>
        <v>0</v>
      </c>
      <c r="AF31" s="21">
        <f>SUMIFS(Data!$I:$I,Data!$B:$B,$B31,Data!$G:$G,"&lt;="&amp;AF$2,Data!$H:$H,"&gt;="&amp;AF$2)</f>
        <v>0</v>
      </c>
      <c r="AG31" s="21">
        <f>SUMIFS(Data!$I:$I,Data!$B:$B,$B31,Data!$G:$G,"&lt;="&amp;AG$2,Data!$H:$H,"&gt;="&amp;AG$2)</f>
        <v>0</v>
      </c>
      <c r="AH31" s="21">
        <f>SUMIFS(Data!$I:$I,Data!$B:$B,$B31,Data!$G:$G,"&lt;="&amp;AH$2,Data!$H:$H,"&gt;="&amp;AH$2)</f>
        <v>0</v>
      </c>
      <c r="AI31" s="21">
        <f>SUMIFS(Data!$I:$I,Data!$B:$B,$B31,Data!$G:$G,"&lt;="&amp;AI$2,Data!$H:$H,"&gt;="&amp;AI$2)</f>
        <v>0</v>
      </c>
      <c r="AJ31" s="21">
        <f>SUMIFS(Data!$I:$I,Data!$B:$B,$B31,Data!$G:$G,"&lt;="&amp;AJ$2,Data!$H:$H,"&gt;="&amp;AJ$2)</f>
        <v>0</v>
      </c>
      <c r="AK31" s="21">
        <f>SUMIFS(Data!$I:$I,Data!$B:$B,$B31,Data!$G:$G,"&lt;="&amp;AK$2,Data!$H:$H,"&gt;="&amp;AK$2)</f>
        <v>0</v>
      </c>
      <c r="AL31" s="21">
        <f>SUMIFS(Data!$I:$I,Data!$B:$B,$B31,Data!$G:$G,"&lt;="&amp;AL$2,Data!$H:$H,"&gt;="&amp;AL$2)</f>
        <v>0</v>
      </c>
      <c r="AM31" s="21">
        <f>SUMIFS(Data!$I:$I,Data!$B:$B,$B31,Data!$G:$G,"&lt;="&amp;AM$2,Data!$H:$H,"&gt;="&amp;AM$2)</f>
        <v>0</v>
      </c>
      <c r="AN31" s="21">
        <f>SUMIFS(Data!$I:$I,Data!$B:$B,$B31,Data!$G:$G,"&lt;="&amp;AN$2,Data!$H:$H,"&gt;="&amp;AN$2)</f>
        <v>0</v>
      </c>
      <c r="AO31" s="21">
        <f>SUMIFS(Data!$I:$I,Data!$B:$B,$B31,Data!$G:$G,"&lt;="&amp;AO$2,Data!$H:$H,"&gt;="&amp;AO$2)</f>
        <v>0</v>
      </c>
      <c r="AP31" s="21">
        <f>SUMIFS(Data!$I:$I,Data!$B:$B,$B31,Data!$G:$G,"&lt;="&amp;AP$2,Data!$H:$H,"&gt;="&amp;AP$2)</f>
        <v>0</v>
      </c>
      <c r="AQ31" s="21">
        <f>SUMIFS(Data!$I:$I,Data!$B:$B,$B31,Data!$G:$G,"&lt;="&amp;AQ$2,Data!$H:$H,"&gt;="&amp;AQ$2)</f>
        <v>0</v>
      </c>
      <c r="AR31" s="21">
        <f>SUMIFS(Data!$I:$I,Data!$B:$B,$B31,Data!$G:$G,"&lt;="&amp;AR$2,Data!$H:$H,"&gt;="&amp;AR$2)</f>
        <v>0</v>
      </c>
      <c r="AS31" s="21">
        <f>SUMIFS(Data!$I:$I,Data!$B:$B,$B31,Data!$G:$G,"&lt;="&amp;AS$2,Data!$H:$H,"&gt;="&amp;AS$2)</f>
        <v>0</v>
      </c>
      <c r="AT31" s="21">
        <f>SUMIFS(Data!$I:$I,Data!$B:$B,$B31,Data!$G:$G,"&lt;="&amp;AT$2,Data!$H:$H,"&gt;="&amp;AT$2)</f>
        <v>0</v>
      </c>
      <c r="AU31" s="21">
        <f>SUMIFS(Data!$I:$I,Data!$B:$B,$B31,Data!$G:$G,"&lt;="&amp;AU$2,Data!$H:$H,"&gt;="&amp;AU$2)</f>
        <v>0</v>
      </c>
      <c r="AV31" s="21">
        <f>SUMIFS(Data!$I:$I,Data!$B:$B,$B31,Data!$G:$G,"&lt;="&amp;AV$2,Data!$H:$H,"&gt;="&amp;AV$2)</f>
        <v>0</v>
      </c>
      <c r="AW31" s="21">
        <f>SUMIFS(Data!$I:$I,Data!$B:$B,$B31,Data!$G:$G,"&lt;="&amp;AW$2,Data!$H:$H,"&gt;="&amp;AW$2)</f>
        <v>0</v>
      </c>
      <c r="AX31" s="21">
        <f>SUMIFS(Data!$I:$I,Data!$B:$B,$B31,Data!$G:$G,"&lt;="&amp;AX$2,Data!$H:$H,"&gt;="&amp;AX$2)</f>
        <v>0</v>
      </c>
      <c r="AY31" s="21">
        <f>SUMIFS(Data!$I:$I,Data!$B:$B,$B31,Data!$G:$G,"&lt;="&amp;AY$2,Data!$H:$H,"&gt;="&amp;AY$2)</f>
        <v>0</v>
      </c>
      <c r="AZ31" s="21">
        <f>SUMIFS(Data!$I:$I,Data!$B:$B,$B31,Data!$G:$G,"&lt;="&amp;AZ$2,Data!$H:$H,"&gt;="&amp;AZ$2)</f>
        <v>0</v>
      </c>
      <c r="BA31" s="21">
        <f>SUMIFS(Data!$I:$I,Data!$B:$B,$B31,Data!$G:$G,"&lt;="&amp;BA$2,Data!$H:$H,"&gt;="&amp;BA$2)</f>
        <v>0</v>
      </c>
      <c r="BB31" s="21">
        <f>SUMIFS(Data!$I:$I,Data!$B:$B,$B31,Data!$G:$G,"&lt;="&amp;BB$2,Data!$H:$H,"&gt;="&amp;BB$2)</f>
        <v>0</v>
      </c>
      <c r="BC31" s="21">
        <f>SUMIFS(Data!$I:$I,Data!$B:$B,$B31,Data!$G:$G,"&lt;="&amp;BC$2,Data!$H:$H,"&gt;="&amp;BC$2)</f>
        <v>0</v>
      </c>
      <c r="BD31" s="21">
        <f>SUMIFS(Data!$I:$I,Data!$B:$B,$B31,Data!$G:$G,"&lt;="&amp;BD$2,Data!$H:$H,"&gt;="&amp;BD$2)</f>
        <v>0</v>
      </c>
      <c r="BE31" s="21">
        <f>SUMIFS(Data!$I:$I,Data!$B:$B,$B31,Data!$G:$G,"&lt;="&amp;BE$2,Data!$H:$H,"&gt;="&amp;BE$2)</f>
        <v>0</v>
      </c>
      <c r="BF31" s="21">
        <f>SUMIFS(Data!$I:$I,Data!$B:$B,$B31,Data!$G:$G,"&lt;="&amp;BF$2,Data!$H:$H,"&gt;="&amp;BF$2)</f>
        <v>0</v>
      </c>
      <c r="BG31" s="21">
        <f>SUMIFS(Data!$I:$I,Data!$B:$B,$B31,Data!$G:$G,"&lt;="&amp;BG$2,Data!$H:$H,"&gt;="&amp;BG$2)</f>
        <v>0</v>
      </c>
      <c r="BH31" s="21">
        <f>SUMIFS(Data!$I:$I,Data!$B:$B,$B31,Data!$G:$G,"&lt;="&amp;BH$2,Data!$H:$H,"&gt;="&amp;BH$2)</f>
        <v>0</v>
      </c>
      <c r="BI31" s="21">
        <f>SUMIFS(Data!$I:$I,Data!$B:$B,$B31,Data!$G:$G,"&lt;="&amp;BI$2,Data!$H:$H,"&gt;="&amp;BI$2)</f>
        <v>0</v>
      </c>
      <c r="BJ31" s="21">
        <f>SUMIFS(Data!$I:$I,Data!$B:$B,$B31,Data!$G:$G,"&lt;="&amp;BJ$2,Data!$H:$H,"&gt;="&amp;BJ$2)</f>
        <v>0</v>
      </c>
      <c r="BK31" s="21">
        <f>SUMIFS(Data!$I:$I,Data!$B:$B,$B31,Data!$G:$G,"&lt;="&amp;BK$2,Data!$H:$H,"&gt;="&amp;BK$2)</f>
        <v>0</v>
      </c>
      <c r="BL31" s="21">
        <f>SUMIFS(Data!$I:$I,Data!$B:$B,$B31,Data!$G:$G,"&lt;="&amp;BL$2,Data!$H:$H,"&gt;="&amp;BL$2)</f>
        <v>0</v>
      </c>
      <c r="BM31" s="21">
        <f>SUMIFS(Data!$I:$I,Data!$B:$B,$B31,Data!$G:$G,"&lt;="&amp;BM$2,Data!$H:$H,"&gt;="&amp;BM$2)</f>
        <v>0</v>
      </c>
      <c r="BN31" s="21">
        <f>SUMIFS(Data!$I:$I,Data!$B:$B,$B31,Data!$G:$G,"&lt;="&amp;BN$2,Data!$H:$H,"&gt;="&amp;BN$2)</f>
        <v>0</v>
      </c>
      <c r="BO31" s="21">
        <f>SUMIFS(Data!$I:$I,Data!$B:$B,$B31,Data!$G:$G,"&lt;="&amp;BO$2,Data!$H:$H,"&gt;="&amp;BO$2)</f>
        <v>0</v>
      </c>
      <c r="BP31" s="21">
        <f>SUMIFS(Data!$I:$I,Data!$B:$B,$B31,Data!$G:$G,"&lt;="&amp;BP$2,Data!$H:$H,"&gt;="&amp;BP$2)</f>
        <v>0</v>
      </c>
      <c r="BQ31" s="21">
        <f>SUMIFS(Data!$I:$I,Data!$B:$B,$B31,Data!$G:$G,"&lt;="&amp;BQ$2,Data!$H:$H,"&gt;="&amp;BQ$2)</f>
        <v>0</v>
      </c>
      <c r="BR31" s="21">
        <f>SUMIFS(Data!$I:$I,Data!$B:$B,$B31,Data!$G:$G,"&lt;="&amp;BR$2,Data!$H:$H,"&gt;="&amp;BR$2)</f>
        <v>0</v>
      </c>
      <c r="BS31" s="21">
        <f>SUMIFS(Data!$I:$I,Data!$B:$B,$B31,Data!$G:$G,"&lt;="&amp;BS$2,Data!$H:$H,"&gt;="&amp;BS$2)</f>
        <v>0</v>
      </c>
      <c r="BT31" s="21">
        <f>SUMIFS(Data!$I:$I,Data!$B:$B,$B31,Data!$G:$G,"&lt;="&amp;BT$2,Data!$H:$H,"&gt;="&amp;BT$2)</f>
        <v>0</v>
      </c>
      <c r="BU31" s="21">
        <f>SUMIFS(Data!$I:$I,Data!$B:$B,$B31,Data!$G:$G,"&lt;="&amp;BU$2,Data!$H:$H,"&gt;="&amp;BU$2)</f>
        <v>0</v>
      </c>
      <c r="BV31" s="21">
        <f>SUMIFS(Data!$I:$I,Data!$B:$B,$B31,Data!$G:$G,"&lt;="&amp;BV$2,Data!$H:$H,"&gt;="&amp;BV$2)</f>
        <v>0</v>
      </c>
      <c r="BW31" s="21">
        <f>SUMIFS(Data!$I:$I,Data!$B:$B,$B31,Data!$G:$G,"&lt;="&amp;BW$2,Data!$H:$H,"&gt;="&amp;BW$2)</f>
        <v>0</v>
      </c>
      <c r="BX31" s="21">
        <f>SUMIFS(Data!$I:$I,Data!$B:$B,$B31,Data!$G:$G,"&lt;="&amp;BX$2,Data!$H:$H,"&gt;="&amp;BX$2)</f>
        <v>0</v>
      </c>
      <c r="BY31" s="21">
        <f>SUMIFS(Data!$I:$I,Data!$B:$B,$B31,Data!$G:$G,"&lt;="&amp;BY$2,Data!$H:$H,"&gt;="&amp;BY$2)</f>
        <v>0</v>
      </c>
      <c r="BZ31" s="21">
        <f>SUMIFS(Data!$I:$I,Data!$B:$B,$B31,Data!$G:$G,"&lt;="&amp;BZ$2,Data!$H:$H,"&gt;="&amp;BZ$2)</f>
        <v>0</v>
      </c>
      <c r="CA31" s="22">
        <f t="shared" si="66"/>
        <v>90500</v>
      </c>
    </row>
    <row r="32" spans="2:79" x14ac:dyDescent="0.25">
      <c r="B32" s="11" t="s">
        <v>102</v>
      </c>
      <c r="C32" s="11" t="str">
        <f>VLOOKUP(B32,Data!B:C,2,FALSE)</f>
        <v>JREFII</v>
      </c>
      <c r="D32" s="21">
        <f>SUMIFS(Data!$I:$I,Data!$B:$B,$B32,Data!$G:$G,"&lt;="&amp;D$2,Data!$H:$H,"&gt;="&amp;D$2)</f>
        <v>0</v>
      </c>
      <c r="E32" s="21">
        <f>SUMIFS(Data!$I:$I,Data!$B:$B,$B32,Data!$G:$G,"&lt;="&amp;E$2,Data!$H:$H,"&gt;="&amp;E$2)</f>
        <v>0</v>
      </c>
      <c r="F32" s="21">
        <f>SUMIFS(Data!$I:$I,Data!$B:$B,$B32,Data!$G:$G,"&lt;="&amp;F$2,Data!$H:$H,"&gt;="&amp;F$2)</f>
        <v>0</v>
      </c>
      <c r="G32" s="21">
        <f>SUMIFS(Data!$I:$I,Data!$B:$B,$B32,Data!$G:$G,"&lt;="&amp;G$2,Data!$H:$H,"&gt;="&amp;G$2)</f>
        <v>6666.666666666667</v>
      </c>
      <c r="H32" s="21">
        <f>SUMIFS(Data!$I:$I,Data!$B:$B,$B32,Data!$G:$G,"&lt;="&amp;H$2,Data!$H:$H,"&gt;="&amp;H$2)</f>
        <v>6666.666666666667</v>
      </c>
      <c r="I32" s="21">
        <f>SUMIFS(Data!$I:$I,Data!$B:$B,$B32,Data!$G:$G,"&lt;="&amp;I$2,Data!$H:$H,"&gt;="&amp;I$2)</f>
        <v>6666.666666666667</v>
      </c>
      <c r="J32" s="21">
        <f>SUMIFS(Data!$I:$I,Data!$B:$B,$B32,Data!$G:$G,"&lt;="&amp;J$2,Data!$H:$H,"&gt;="&amp;J$2)</f>
        <v>3333.3333333333335</v>
      </c>
      <c r="K32" s="21">
        <f>SUMIFS(Data!$I:$I,Data!$B:$B,$B32,Data!$G:$G,"&lt;="&amp;K$2,Data!$H:$H,"&gt;="&amp;K$2)</f>
        <v>3333.3333333333335</v>
      </c>
      <c r="L32" s="21">
        <f>SUMIFS(Data!$I:$I,Data!$B:$B,$B32,Data!$G:$G,"&lt;="&amp;L$2,Data!$H:$H,"&gt;="&amp;L$2)</f>
        <v>3333.3333333333335</v>
      </c>
      <c r="M32" s="21">
        <f>SUMIFS(Data!$I:$I,Data!$B:$B,$B32,Data!$G:$G,"&lt;="&amp;M$2,Data!$H:$H,"&gt;="&amp;M$2)</f>
        <v>0</v>
      </c>
      <c r="N32" s="21">
        <f>SUMIFS(Data!$I:$I,Data!$B:$B,$B32,Data!$G:$G,"&lt;="&amp;N$2,Data!$H:$H,"&gt;="&amp;N$2)</f>
        <v>0</v>
      </c>
      <c r="O32" s="21">
        <f>SUMIFS(Data!$I:$I,Data!$B:$B,$B32,Data!$G:$G,"&lt;="&amp;O$2,Data!$H:$H,"&gt;="&amp;O$2)</f>
        <v>0</v>
      </c>
      <c r="P32" s="21">
        <f>SUMIFS(Data!$I:$I,Data!$B:$B,$B32,Data!$G:$G,"&lt;="&amp;P$2,Data!$H:$H,"&gt;="&amp;P$2)</f>
        <v>13333.333333333334</v>
      </c>
      <c r="Q32" s="21">
        <f>SUMIFS(Data!$I:$I,Data!$B:$B,$B32,Data!$G:$G,"&lt;="&amp;Q$2,Data!$H:$H,"&gt;="&amp;Q$2)</f>
        <v>13333.333333333334</v>
      </c>
      <c r="R32" s="21">
        <f>SUMIFS(Data!$I:$I,Data!$B:$B,$B32,Data!$G:$G,"&lt;="&amp;R$2,Data!$H:$H,"&gt;="&amp;R$2)</f>
        <v>13333.333333333334</v>
      </c>
      <c r="S32" s="21">
        <f>SUMIFS(Data!$I:$I,Data!$B:$B,$B32,Data!$G:$G,"&lt;="&amp;S$2,Data!$H:$H,"&gt;="&amp;S$2)</f>
        <v>0</v>
      </c>
      <c r="T32" s="21">
        <f>SUMIFS(Data!$I:$I,Data!$B:$B,$B32,Data!$G:$G,"&lt;="&amp;T$2,Data!$H:$H,"&gt;="&amp;T$2)</f>
        <v>0</v>
      </c>
      <c r="U32" s="21">
        <f>SUMIFS(Data!$I:$I,Data!$B:$B,$B32,Data!$G:$G,"&lt;="&amp;U$2,Data!$H:$H,"&gt;="&amp;U$2)</f>
        <v>0</v>
      </c>
      <c r="V32" s="21">
        <f>SUMIFS(Data!$I:$I,Data!$B:$B,$B32,Data!$G:$G,"&lt;="&amp;V$2,Data!$H:$H,"&gt;="&amp;V$2)</f>
        <v>0</v>
      </c>
      <c r="W32" s="21">
        <f>SUMIFS(Data!$I:$I,Data!$B:$B,$B32,Data!$G:$G,"&lt;="&amp;W$2,Data!$H:$H,"&gt;="&amp;W$2)</f>
        <v>0</v>
      </c>
      <c r="X32" s="21">
        <f>SUMIFS(Data!$I:$I,Data!$B:$B,$B32,Data!$G:$G,"&lt;="&amp;X$2,Data!$H:$H,"&gt;="&amp;X$2)</f>
        <v>0</v>
      </c>
      <c r="Y32" s="21">
        <f>SUMIFS(Data!$I:$I,Data!$B:$B,$B32,Data!$G:$G,"&lt;="&amp;Y$2,Data!$H:$H,"&gt;="&amp;Y$2)</f>
        <v>0</v>
      </c>
      <c r="Z32" s="21">
        <f>SUMIFS(Data!$I:$I,Data!$B:$B,$B32,Data!$G:$G,"&lt;="&amp;Z$2,Data!$H:$H,"&gt;="&amp;Z$2)</f>
        <v>0</v>
      </c>
      <c r="AA32" s="21">
        <f>SUMIFS(Data!$I:$I,Data!$B:$B,$B32,Data!$G:$G,"&lt;="&amp;AA$2,Data!$H:$H,"&gt;="&amp;AA$2)</f>
        <v>0</v>
      </c>
      <c r="AB32" s="21">
        <f>SUMIFS(Data!$I:$I,Data!$B:$B,$B32,Data!$G:$G,"&lt;="&amp;AB$2,Data!$H:$H,"&gt;="&amp;AB$2)</f>
        <v>0</v>
      </c>
      <c r="AC32" s="21">
        <f>SUMIFS(Data!$I:$I,Data!$B:$B,$B32,Data!$G:$G,"&lt;="&amp;AC$2,Data!$H:$H,"&gt;="&amp;AC$2)</f>
        <v>0</v>
      </c>
      <c r="AD32" s="21">
        <f>SUMIFS(Data!$I:$I,Data!$B:$B,$B32,Data!$G:$G,"&lt;="&amp;AD$2,Data!$H:$H,"&gt;="&amp;AD$2)</f>
        <v>0</v>
      </c>
      <c r="AE32" s="21">
        <f>SUMIFS(Data!$I:$I,Data!$B:$B,$B32,Data!$G:$G,"&lt;="&amp;AE$2,Data!$H:$H,"&gt;="&amp;AE$2)</f>
        <v>0</v>
      </c>
      <c r="AF32" s="21">
        <f>SUMIFS(Data!$I:$I,Data!$B:$B,$B32,Data!$G:$G,"&lt;="&amp;AF$2,Data!$H:$H,"&gt;="&amp;AF$2)</f>
        <v>0</v>
      </c>
      <c r="AG32" s="21">
        <f>SUMIFS(Data!$I:$I,Data!$B:$B,$B32,Data!$G:$G,"&lt;="&amp;AG$2,Data!$H:$H,"&gt;="&amp;AG$2)</f>
        <v>0</v>
      </c>
      <c r="AH32" s="21">
        <f>SUMIFS(Data!$I:$I,Data!$B:$B,$B32,Data!$G:$G,"&lt;="&amp;AH$2,Data!$H:$H,"&gt;="&amp;AH$2)</f>
        <v>0</v>
      </c>
      <c r="AI32" s="21">
        <f>SUMIFS(Data!$I:$I,Data!$B:$B,$B32,Data!$G:$G,"&lt;="&amp;AI$2,Data!$H:$H,"&gt;="&amp;AI$2)</f>
        <v>0</v>
      </c>
      <c r="AJ32" s="21">
        <f>SUMIFS(Data!$I:$I,Data!$B:$B,$B32,Data!$G:$G,"&lt;="&amp;AJ$2,Data!$H:$H,"&gt;="&amp;AJ$2)</f>
        <v>0</v>
      </c>
      <c r="AK32" s="21">
        <f>SUMIFS(Data!$I:$I,Data!$B:$B,$B32,Data!$G:$G,"&lt;="&amp;AK$2,Data!$H:$H,"&gt;="&amp;AK$2)</f>
        <v>0</v>
      </c>
      <c r="AL32" s="21">
        <f>SUMIFS(Data!$I:$I,Data!$B:$B,$B32,Data!$G:$G,"&lt;="&amp;AL$2,Data!$H:$H,"&gt;="&amp;AL$2)</f>
        <v>0</v>
      </c>
      <c r="AM32" s="21">
        <f>SUMIFS(Data!$I:$I,Data!$B:$B,$B32,Data!$G:$G,"&lt;="&amp;AM$2,Data!$H:$H,"&gt;="&amp;AM$2)</f>
        <v>0</v>
      </c>
      <c r="AN32" s="21">
        <f>SUMIFS(Data!$I:$I,Data!$B:$B,$B32,Data!$G:$G,"&lt;="&amp;AN$2,Data!$H:$H,"&gt;="&amp;AN$2)</f>
        <v>0</v>
      </c>
      <c r="AO32" s="21">
        <f>SUMIFS(Data!$I:$I,Data!$B:$B,$B32,Data!$G:$G,"&lt;="&amp;AO$2,Data!$H:$H,"&gt;="&amp;AO$2)</f>
        <v>0</v>
      </c>
      <c r="AP32" s="21">
        <f>SUMIFS(Data!$I:$I,Data!$B:$B,$B32,Data!$G:$G,"&lt;="&amp;AP$2,Data!$H:$H,"&gt;="&amp;AP$2)</f>
        <v>0</v>
      </c>
      <c r="AQ32" s="21">
        <f>SUMIFS(Data!$I:$I,Data!$B:$B,$B32,Data!$G:$G,"&lt;="&amp;AQ$2,Data!$H:$H,"&gt;="&amp;AQ$2)</f>
        <v>0</v>
      </c>
      <c r="AR32" s="21">
        <f>SUMIFS(Data!$I:$I,Data!$B:$B,$B32,Data!$G:$G,"&lt;="&amp;AR$2,Data!$H:$H,"&gt;="&amp;AR$2)</f>
        <v>0</v>
      </c>
      <c r="AS32" s="21">
        <f>SUMIFS(Data!$I:$I,Data!$B:$B,$B32,Data!$G:$G,"&lt;="&amp;AS$2,Data!$H:$H,"&gt;="&amp;AS$2)</f>
        <v>0</v>
      </c>
      <c r="AT32" s="21">
        <f>SUMIFS(Data!$I:$I,Data!$B:$B,$B32,Data!$G:$G,"&lt;="&amp;AT$2,Data!$H:$H,"&gt;="&amp;AT$2)</f>
        <v>0</v>
      </c>
      <c r="AU32" s="21">
        <f>SUMIFS(Data!$I:$I,Data!$B:$B,$B32,Data!$G:$G,"&lt;="&amp;AU$2,Data!$H:$H,"&gt;="&amp;AU$2)</f>
        <v>0</v>
      </c>
      <c r="AV32" s="21">
        <f>SUMIFS(Data!$I:$I,Data!$B:$B,$B32,Data!$G:$G,"&lt;="&amp;AV$2,Data!$H:$H,"&gt;="&amp;AV$2)</f>
        <v>0</v>
      </c>
      <c r="AW32" s="21">
        <f>SUMIFS(Data!$I:$I,Data!$B:$B,$B32,Data!$G:$G,"&lt;="&amp;AW$2,Data!$H:$H,"&gt;="&amp;AW$2)</f>
        <v>0</v>
      </c>
      <c r="AX32" s="21">
        <f>SUMIFS(Data!$I:$I,Data!$B:$B,$B32,Data!$G:$G,"&lt;="&amp;AX$2,Data!$H:$H,"&gt;="&amp;AX$2)</f>
        <v>0</v>
      </c>
      <c r="AY32" s="21">
        <f>SUMIFS(Data!$I:$I,Data!$B:$B,$B32,Data!$G:$G,"&lt;="&amp;AY$2,Data!$H:$H,"&gt;="&amp;AY$2)</f>
        <v>0</v>
      </c>
      <c r="AZ32" s="21">
        <f>SUMIFS(Data!$I:$I,Data!$B:$B,$B32,Data!$G:$G,"&lt;="&amp;AZ$2,Data!$H:$H,"&gt;="&amp;AZ$2)</f>
        <v>0</v>
      </c>
      <c r="BA32" s="21">
        <f>SUMIFS(Data!$I:$I,Data!$B:$B,$B32,Data!$G:$G,"&lt;="&amp;BA$2,Data!$H:$H,"&gt;="&amp;BA$2)</f>
        <v>0</v>
      </c>
      <c r="BB32" s="21">
        <f>SUMIFS(Data!$I:$I,Data!$B:$B,$B32,Data!$G:$G,"&lt;="&amp;BB$2,Data!$H:$H,"&gt;="&amp;BB$2)</f>
        <v>0</v>
      </c>
      <c r="BC32" s="21">
        <f>SUMIFS(Data!$I:$I,Data!$B:$B,$B32,Data!$G:$G,"&lt;="&amp;BC$2,Data!$H:$H,"&gt;="&amp;BC$2)</f>
        <v>0</v>
      </c>
      <c r="BD32" s="21">
        <f>SUMIFS(Data!$I:$I,Data!$B:$B,$B32,Data!$G:$G,"&lt;="&amp;BD$2,Data!$H:$H,"&gt;="&amp;BD$2)</f>
        <v>0</v>
      </c>
      <c r="BE32" s="21">
        <f>SUMIFS(Data!$I:$I,Data!$B:$B,$B32,Data!$G:$G,"&lt;="&amp;BE$2,Data!$H:$H,"&gt;="&amp;BE$2)</f>
        <v>0</v>
      </c>
      <c r="BF32" s="21">
        <f>SUMIFS(Data!$I:$I,Data!$B:$B,$B32,Data!$G:$G,"&lt;="&amp;BF$2,Data!$H:$H,"&gt;="&amp;BF$2)</f>
        <v>0</v>
      </c>
      <c r="BG32" s="21">
        <f>SUMIFS(Data!$I:$I,Data!$B:$B,$B32,Data!$G:$G,"&lt;="&amp;BG$2,Data!$H:$H,"&gt;="&amp;BG$2)</f>
        <v>0</v>
      </c>
      <c r="BH32" s="21">
        <f>SUMIFS(Data!$I:$I,Data!$B:$B,$B32,Data!$G:$G,"&lt;="&amp;BH$2,Data!$H:$H,"&gt;="&amp;BH$2)</f>
        <v>0</v>
      </c>
      <c r="BI32" s="21">
        <f>SUMIFS(Data!$I:$I,Data!$B:$B,$B32,Data!$G:$G,"&lt;="&amp;BI$2,Data!$H:$H,"&gt;="&amp;BI$2)</f>
        <v>0</v>
      </c>
      <c r="BJ32" s="21">
        <f>SUMIFS(Data!$I:$I,Data!$B:$B,$B32,Data!$G:$G,"&lt;="&amp;BJ$2,Data!$H:$H,"&gt;="&amp;BJ$2)</f>
        <v>0</v>
      </c>
      <c r="BK32" s="21">
        <f>SUMIFS(Data!$I:$I,Data!$B:$B,$B32,Data!$G:$G,"&lt;="&amp;BK$2,Data!$H:$H,"&gt;="&amp;BK$2)</f>
        <v>0</v>
      </c>
      <c r="BL32" s="21">
        <f>SUMIFS(Data!$I:$I,Data!$B:$B,$B32,Data!$G:$G,"&lt;="&amp;BL$2,Data!$H:$H,"&gt;="&amp;BL$2)</f>
        <v>0</v>
      </c>
      <c r="BM32" s="21">
        <f>SUMIFS(Data!$I:$I,Data!$B:$B,$B32,Data!$G:$G,"&lt;="&amp;BM$2,Data!$H:$H,"&gt;="&amp;BM$2)</f>
        <v>0</v>
      </c>
      <c r="BN32" s="21">
        <f>SUMIFS(Data!$I:$I,Data!$B:$B,$B32,Data!$G:$G,"&lt;="&amp;BN$2,Data!$H:$H,"&gt;="&amp;BN$2)</f>
        <v>0</v>
      </c>
      <c r="BO32" s="21">
        <f>SUMIFS(Data!$I:$I,Data!$B:$B,$B32,Data!$G:$G,"&lt;="&amp;BO$2,Data!$H:$H,"&gt;="&amp;BO$2)</f>
        <v>0</v>
      </c>
      <c r="BP32" s="21">
        <f>SUMIFS(Data!$I:$I,Data!$B:$B,$B32,Data!$G:$G,"&lt;="&amp;BP$2,Data!$H:$H,"&gt;="&amp;BP$2)</f>
        <v>0</v>
      </c>
      <c r="BQ32" s="21">
        <f>SUMIFS(Data!$I:$I,Data!$B:$B,$B32,Data!$G:$G,"&lt;="&amp;BQ$2,Data!$H:$H,"&gt;="&amp;BQ$2)</f>
        <v>0</v>
      </c>
      <c r="BR32" s="21">
        <f>SUMIFS(Data!$I:$I,Data!$B:$B,$B32,Data!$G:$G,"&lt;="&amp;BR$2,Data!$H:$H,"&gt;="&amp;BR$2)</f>
        <v>0</v>
      </c>
      <c r="BS32" s="21">
        <f>SUMIFS(Data!$I:$I,Data!$B:$B,$B32,Data!$G:$G,"&lt;="&amp;BS$2,Data!$H:$H,"&gt;="&amp;BS$2)</f>
        <v>0</v>
      </c>
      <c r="BT32" s="21">
        <f>SUMIFS(Data!$I:$I,Data!$B:$B,$B32,Data!$G:$G,"&lt;="&amp;BT$2,Data!$H:$H,"&gt;="&amp;BT$2)</f>
        <v>0</v>
      </c>
      <c r="BU32" s="21">
        <f>SUMIFS(Data!$I:$I,Data!$B:$B,$B32,Data!$G:$G,"&lt;="&amp;BU$2,Data!$H:$H,"&gt;="&amp;BU$2)</f>
        <v>0</v>
      </c>
      <c r="BV32" s="21">
        <f>SUMIFS(Data!$I:$I,Data!$B:$B,$B32,Data!$G:$G,"&lt;="&amp;BV$2,Data!$H:$H,"&gt;="&amp;BV$2)</f>
        <v>0</v>
      </c>
      <c r="BW32" s="21">
        <f>SUMIFS(Data!$I:$I,Data!$B:$B,$B32,Data!$G:$G,"&lt;="&amp;BW$2,Data!$H:$H,"&gt;="&amp;BW$2)</f>
        <v>0</v>
      </c>
      <c r="BX32" s="21">
        <f>SUMIFS(Data!$I:$I,Data!$B:$B,$B32,Data!$G:$G,"&lt;="&amp;BX$2,Data!$H:$H,"&gt;="&amp;BX$2)</f>
        <v>0</v>
      </c>
      <c r="BY32" s="21">
        <f>SUMIFS(Data!$I:$I,Data!$B:$B,$B32,Data!$G:$G,"&lt;="&amp;BY$2,Data!$H:$H,"&gt;="&amp;BY$2)</f>
        <v>0</v>
      </c>
      <c r="BZ32" s="21">
        <f>SUMIFS(Data!$I:$I,Data!$B:$B,$B32,Data!$G:$G,"&lt;="&amp;BZ$2,Data!$H:$H,"&gt;="&amp;BZ$2)</f>
        <v>0</v>
      </c>
      <c r="CA32" s="22">
        <f t="shared" si="66"/>
        <v>70000</v>
      </c>
    </row>
    <row r="33" spans="2:79" x14ac:dyDescent="0.25">
      <c r="B33" s="11" t="s">
        <v>103</v>
      </c>
      <c r="C33" s="11" t="str">
        <f>VLOOKUP(B33,Data!B:C,2,FALSE)</f>
        <v>JREFII</v>
      </c>
      <c r="D33" s="21">
        <f>SUMIFS(Data!$I:$I,Data!$B:$B,$B33,Data!$G:$G,"&lt;="&amp;D$2,Data!$H:$H,"&gt;="&amp;D$2)</f>
        <v>0</v>
      </c>
      <c r="E33" s="21">
        <f>SUMIFS(Data!$I:$I,Data!$B:$B,$B33,Data!$G:$G,"&lt;="&amp;E$2,Data!$H:$H,"&gt;="&amp;E$2)</f>
        <v>0</v>
      </c>
      <c r="F33" s="21">
        <f>SUMIFS(Data!$I:$I,Data!$B:$B,$B33,Data!$G:$G,"&lt;="&amp;F$2,Data!$H:$H,"&gt;="&amp;F$2)</f>
        <v>0</v>
      </c>
      <c r="G33" s="21">
        <f>SUMIFS(Data!$I:$I,Data!$B:$B,$B33,Data!$G:$G,"&lt;="&amp;G$2,Data!$H:$H,"&gt;="&amp;G$2)</f>
        <v>16666.666666666668</v>
      </c>
      <c r="H33" s="21">
        <f>SUMIFS(Data!$I:$I,Data!$B:$B,$B33,Data!$G:$G,"&lt;="&amp;H$2,Data!$H:$H,"&gt;="&amp;H$2)</f>
        <v>16666.666666666668</v>
      </c>
      <c r="I33" s="21">
        <f>SUMIFS(Data!$I:$I,Data!$B:$B,$B33,Data!$G:$G,"&lt;="&amp;I$2,Data!$H:$H,"&gt;="&amp;I$2)</f>
        <v>16666.666666666668</v>
      </c>
      <c r="J33" s="21">
        <f>SUMIFS(Data!$I:$I,Data!$B:$B,$B33,Data!$G:$G,"&lt;="&amp;J$2,Data!$H:$H,"&gt;="&amp;J$2)</f>
        <v>2500</v>
      </c>
      <c r="K33" s="21">
        <f>SUMIFS(Data!$I:$I,Data!$B:$B,$B33,Data!$G:$G,"&lt;="&amp;K$2,Data!$H:$H,"&gt;="&amp;K$2)</f>
        <v>2500</v>
      </c>
      <c r="L33" s="21">
        <f>SUMIFS(Data!$I:$I,Data!$B:$B,$B33,Data!$G:$G,"&lt;="&amp;L$2,Data!$H:$H,"&gt;="&amp;L$2)</f>
        <v>2500</v>
      </c>
      <c r="M33" s="21">
        <f>SUMIFS(Data!$I:$I,Data!$B:$B,$B33,Data!$G:$G,"&lt;="&amp;M$2,Data!$H:$H,"&gt;="&amp;M$2)</f>
        <v>0</v>
      </c>
      <c r="N33" s="21">
        <f>SUMIFS(Data!$I:$I,Data!$B:$B,$B33,Data!$G:$G,"&lt;="&amp;N$2,Data!$H:$H,"&gt;="&amp;N$2)</f>
        <v>0</v>
      </c>
      <c r="O33" s="21">
        <f>SUMIFS(Data!$I:$I,Data!$B:$B,$B33,Data!$G:$G,"&lt;="&amp;O$2,Data!$H:$H,"&gt;="&amp;O$2)</f>
        <v>0</v>
      </c>
      <c r="P33" s="21">
        <f>SUMIFS(Data!$I:$I,Data!$B:$B,$B33,Data!$G:$G,"&lt;="&amp;P$2,Data!$H:$H,"&gt;="&amp;P$2)</f>
        <v>0</v>
      </c>
      <c r="Q33" s="21">
        <f>SUMIFS(Data!$I:$I,Data!$B:$B,$B33,Data!$G:$G,"&lt;="&amp;Q$2,Data!$H:$H,"&gt;="&amp;Q$2)</f>
        <v>0</v>
      </c>
      <c r="R33" s="21">
        <f>SUMIFS(Data!$I:$I,Data!$B:$B,$B33,Data!$G:$G,"&lt;="&amp;R$2,Data!$H:$H,"&gt;="&amp;R$2)</f>
        <v>0</v>
      </c>
      <c r="S33" s="21">
        <f>SUMIFS(Data!$I:$I,Data!$B:$B,$B33,Data!$G:$G,"&lt;="&amp;S$2,Data!$H:$H,"&gt;="&amp;S$2)</f>
        <v>0</v>
      </c>
      <c r="T33" s="21">
        <f>SUMIFS(Data!$I:$I,Data!$B:$B,$B33,Data!$G:$G,"&lt;="&amp;T$2,Data!$H:$H,"&gt;="&amp;T$2)</f>
        <v>0</v>
      </c>
      <c r="U33" s="21">
        <f>SUMIFS(Data!$I:$I,Data!$B:$B,$B33,Data!$G:$G,"&lt;="&amp;U$2,Data!$H:$H,"&gt;="&amp;U$2)</f>
        <v>0</v>
      </c>
      <c r="V33" s="21">
        <f>SUMIFS(Data!$I:$I,Data!$B:$B,$B33,Data!$G:$G,"&lt;="&amp;V$2,Data!$H:$H,"&gt;="&amp;V$2)</f>
        <v>0</v>
      </c>
      <c r="W33" s="21">
        <f>SUMIFS(Data!$I:$I,Data!$B:$B,$B33,Data!$G:$G,"&lt;="&amp;W$2,Data!$H:$H,"&gt;="&amp;W$2)</f>
        <v>0</v>
      </c>
      <c r="X33" s="21">
        <f>SUMIFS(Data!$I:$I,Data!$B:$B,$B33,Data!$G:$G,"&lt;="&amp;X$2,Data!$H:$H,"&gt;="&amp;X$2)</f>
        <v>0</v>
      </c>
      <c r="Y33" s="21">
        <f>SUMIFS(Data!$I:$I,Data!$B:$B,$B33,Data!$G:$G,"&lt;="&amp;Y$2,Data!$H:$H,"&gt;="&amp;Y$2)</f>
        <v>0</v>
      </c>
      <c r="Z33" s="21">
        <f>SUMIFS(Data!$I:$I,Data!$B:$B,$B33,Data!$G:$G,"&lt;="&amp;Z$2,Data!$H:$H,"&gt;="&amp;Z$2)</f>
        <v>0</v>
      </c>
      <c r="AA33" s="21">
        <f>SUMIFS(Data!$I:$I,Data!$B:$B,$B33,Data!$G:$G,"&lt;="&amp;AA$2,Data!$H:$H,"&gt;="&amp;AA$2)</f>
        <v>0</v>
      </c>
      <c r="AB33" s="21">
        <f>SUMIFS(Data!$I:$I,Data!$B:$B,$B33,Data!$G:$G,"&lt;="&amp;AB$2,Data!$H:$H,"&gt;="&amp;AB$2)</f>
        <v>0</v>
      </c>
      <c r="AC33" s="21">
        <f>SUMIFS(Data!$I:$I,Data!$B:$B,$B33,Data!$G:$G,"&lt;="&amp;AC$2,Data!$H:$H,"&gt;="&amp;AC$2)</f>
        <v>0</v>
      </c>
      <c r="AD33" s="21">
        <f>SUMIFS(Data!$I:$I,Data!$B:$B,$B33,Data!$G:$G,"&lt;="&amp;AD$2,Data!$H:$H,"&gt;="&amp;AD$2)</f>
        <v>0</v>
      </c>
      <c r="AE33" s="21">
        <f>SUMIFS(Data!$I:$I,Data!$B:$B,$B33,Data!$G:$G,"&lt;="&amp;AE$2,Data!$H:$H,"&gt;="&amp;AE$2)</f>
        <v>0</v>
      </c>
      <c r="AF33" s="21">
        <f>SUMIFS(Data!$I:$I,Data!$B:$B,$B33,Data!$G:$G,"&lt;="&amp;AF$2,Data!$H:$H,"&gt;="&amp;AF$2)</f>
        <v>0</v>
      </c>
      <c r="AG33" s="21">
        <f>SUMIFS(Data!$I:$I,Data!$B:$B,$B33,Data!$G:$G,"&lt;="&amp;AG$2,Data!$H:$H,"&gt;="&amp;AG$2)</f>
        <v>0</v>
      </c>
      <c r="AH33" s="21">
        <f>SUMIFS(Data!$I:$I,Data!$B:$B,$B33,Data!$G:$G,"&lt;="&amp;AH$2,Data!$H:$H,"&gt;="&amp;AH$2)</f>
        <v>0</v>
      </c>
      <c r="AI33" s="21">
        <f>SUMIFS(Data!$I:$I,Data!$B:$B,$B33,Data!$G:$G,"&lt;="&amp;AI$2,Data!$H:$H,"&gt;="&amp;AI$2)</f>
        <v>0</v>
      </c>
      <c r="AJ33" s="21">
        <f>SUMIFS(Data!$I:$I,Data!$B:$B,$B33,Data!$G:$G,"&lt;="&amp;AJ$2,Data!$H:$H,"&gt;="&amp;AJ$2)</f>
        <v>0</v>
      </c>
      <c r="AK33" s="21">
        <f>SUMIFS(Data!$I:$I,Data!$B:$B,$B33,Data!$G:$G,"&lt;="&amp;AK$2,Data!$H:$H,"&gt;="&amp;AK$2)</f>
        <v>0</v>
      </c>
      <c r="AL33" s="21">
        <f>SUMIFS(Data!$I:$I,Data!$B:$B,$B33,Data!$G:$G,"&lt;="&amp;AL$2,Data!$H:$H,"&gt;="&amp;AL$2)</f>
        <v>0</v>
      </c>
      <c r="AM33" s="21">
        <f>SUMIFS(Data!$I:$I,Data!$B:$B,$B33,Data!$G:$G,"&lt;="&amp;AM$2,Data!$H:$H,"&gt;="&amp;AM$2)</f>
        <v>0</v>
      </c>
      <c r="AN33" s="21">
        <f>SUMIFS(Data!$I:$I,Data!$B:$B,$B33,Data!$G:$G,"&lt;="&amp;AN$2,Data!$H:$H,"&gt;="&amp;AN$2)</f>
        <v>0</v>
      </c>
      <c r="AO33" s="21">
        <f>SUMIFS(Data!$I:$I,Data!$B:$B,$B33,Data!$G:$G,"&lt;="&amp;AO$2,Data!$H:$H,"&gt;="&amp;AO$2)</f>
        <v>0</v>
      </c>
      <c r="AP33" s="21">
        <f>SUMIFS(Data!$I:$I,Data!$B:$B,$B33,Data!$G:$G,"&lt;="&amp;AP$2,Data!$H:$H,"&gt;="&amp;AP$2)</f>
        <v>0</v>
      </c>
      <c r="AQ33" s="21">
        <f>SUMIFS(Data!$I:$I,Data!$B:$B,$B33,Data!$G:$G,"&lt;="&amp;AQ$2,Data!$H:$H,"&gt;="&amp;AQ$2)</f>
        <v>0</v>
      </c>
      <c r="AR33" s="21">
        <f>SUMIFS(Data!$I:$I,Data!$B:$B,$B33,Data!$G:$G,"&lt;="&amp;AR$2,Data!$H:$H,"&gt;="&amp;AR$2)</f>
        <v>0</v>
      </c>
      <c r="AS33" s="21">
        <f>SUMIFS(Data!$I:$I,Data!$B:$B,$B33,Data!$G:$G,"&lt;="&amp;AS$2,Data!$H:$H,"&gt;="&amp;AS$2)</f>
        <v>0</v>
      </c>
      <c r="AT33" s="21">
        <f>SUMIFS(Data!$I:$I,Data!$B:$B,$B33,Data!$G:$G,"&lt;="&amp;AT$2,Data!$H:$H,"&gt;="&amp;AT$2)</f>
        <v>0</v>
      </c>
      <c r="AU33" s="21">
        <f>SUMIFS(Data!$I:$I,Data!$B:$B,$B33,Data!$G:$G,"&lt;="&amp;AU$2,Data!$H:$H,"&gt;="&amp;AU$2)</f>
        <v>0</v>
      </c>
      <c r="AV33" s="21">
        <f>SUMIFS(Data!$I:$I,Data!$B:$B,$B33,Data!$G:$G,"&lt;="&amp;AV$2,Data!$H:$H,"&gt;="&amp;AV$2)</f>
        <v>0</v>
      </c>
      <c r="AW33" s="21">
        <f>SUMIFS(Data!$I:$I,Data!$B:$B,$B33,Data!$G:$G,"&lt;="&amp;AW$2,Data!$H:$H,"&gt;="&amp;AW$2)</f>
        <v>0</v>
      </c>
      <c r="AX33" s="21">
        <f>SUMIFS(Data!$I:$I,Data!$B:$B,$B33,Data!$G:$G,"&lt;="&amp;AX$2,Data!$H:$H,"&gt;="&amp;AX$2)</f>
        <v>0</v>
      </c>
      <c r="AY33" s="21">
        <f>SUMIFS(Data!$I:$I,Data!$B:$B,$B33,Data!$G:$G,"&lt;="&amp;AY$2,Data!$H:$H,"&gt;="&amp;AY$2)</f>
        <v>0</v>
      </c>
      <c r="AZ33" s="21">
        <f>SUMIFS(Data!$I:$I,Data!$B:$B,$B33,Data!$G:$G,"&lt;="&amp;AZ$2,Data!$H:$H,"&gt;="&amp;AZ$2)</f>
        <v>0</v>
      </c>
      <c r="BA33" s="21">
        <f>SUMIFS(Data!$I:$I,Data!$B:$B,$B33,Data!$G:$G,"&lt;="&amp;BA$2,Data!$H:$H,"&gt;="&amp;BA$2)</f>
        <v>0</v>
      </c>
      <c r="BB33" s="21">
        <f>SUMIFS(Data!$I:$I,Data!$B:$B,$B33,Data!$G:$G,"&lt;="&amp;BB$2,Data!$H:$H,"&gt;="&amp;BB$2)</f>
        <v>0</v>
      </c>
      <c r="BC33" s="21">
        <f>SUMIFS(Data!$I:$I,Data!$B:$B,$B33,Data!$G:$G,"&lt;="&amp;BC$2,Data!$H:$H,"&gt;="&amp;BC$2)</f>
        <v>0</v>
      </c>
      <c r="BD33" s="21">
        <f>SUMIFS(Data!$I:$I,Data!$B:$B,$B33,Data!$G:$G,"&lt;="&amp;BD$2,Data!$H:$H,"&gt;="&amp;BD$2)</f>
        <v>0</v>
      </c>
      <c r="BE33" s="21">
        <f>SUMIFS(Data!$I:$I,Data!$B:$B,$B33,Data!$G:$G,"&lt;="&amp;BE$2,Data!$H:$H,"&gt;="&amp;BE$2)</f>
        <v>0</v>
      </c>
      <c r="BF33" s="21">
        <f>SUMIFS(Data!$I:$I,Data!$B:$B,$B33,Data!$G:$G,"&lt;="&amp;BF$2,Data!$H:$H,"&gt;="&amp;BF$2)</f>
        <v>0</v>
      </c>
      <c r="BG33" s="21">
        <f>SUMIFS(Data!$I:$I,Data!$B:$B,$B33,Data!$G:$G,"&lt;="&amp;BG$2,Data!$H:$H,"&gt;="&amp;BG$2)</f>
        <v>0</v>
      </c>
      <c r="BH33" s="21">
        <f>SUMIFS(Data!$I:$I,Data!$B:$B,$B33,Data!$G:$G,"&lt;="&amp;BH$2,Data!$H:$H,"&gt;="&amp;BH$2)</f>
        <v>0</v>
      </c>
      <c r="BI33" s="21">
        <f>SUMIFS(Data!$I:$I,Data!$B:$B,$B33,Data!$G:$G,"&lt;="&amp;BI$2,Data!$H:$H,"&gt;="&amp;BI$2)</f>
        <v>0</v>
      </c>
      <c r="BJ33" s="21">
        <f>SUMIFS(Data!$I:$I,Data!$B:$B,$B33,Data!$G:$G,"&lt;="&amp;BJ$2,Data!$H:$H,"&gt;="&amp;BJ$2)</f>
        <v>0</v>
      </c>
      <c r="BK33" s="21">
        <f>SUMIFS(Data!$I:$I,Data!$B:$B,$B33,Data!$G:$G,"&lt;="&amp;BK$2,Data!$H:$H,"&gt;="&amp;BK$2)</f>
        <v>0</v>
      </c>
      <c r="BL33" s="21">
        <f>SUMIFS(Data!$I:$I,Data!$B:$B,$B33,Data!$G:$G,"&lt;="&amp;BL$2,Data!$H:$H,"&gt;="&amp;BL$2)</f>
        <v>0</v>
      </c>
      <c r="BM33" s="21">
        <f>SUMIFS(Data!$I:$I,Data!$B:$B,$B33,Data!$G:$G,"&lt;="&amp;BM$2,Data!$H:$H,"&gt;="&amp;BM$2)</f>
        <v>0</v>
      </c>
      <c r="BN33" s="21">
        <f>SUMIFS(Data!$I:$I,Data!$B:$B,$B33,Data!$G:$G,"&lt;="&amp;BN$2,Data!$H:$H,"&gt;="&amp;BN$2)</f>
        <v>0</v>
      </c>
      <c r="BO33" s="21">
        <f>SUMIFS(Data!$I:$I,Data!$B:$B,$B33,Data!$G:$G,"&lt;="&amp;BO$2,Data!$H:$H,"&gt;="&amp;BO$2)</f>
        <v>0</v>
      </c>
      <c r="BP33" s="21">
        <f>SUMIFS(Data!$I:$I,Data!$B:$B,$B33,Data!$G:$G,"&lt;="&amp;BP$2,Data!$H:$H,"&gt;="&amp;BP$2)</f>
        <v>0</v>
      </c>
      <c r="BQ33" s="21">
        <f>SUMIFS(Data!$I:$I,Data!$B:$B,$B33,Data!$G:$G,"&lt;="&amp;BQ$2,Data!$H:$H,"&gt;="&amp;BQ$2)</f>
        <v>0</v>
      </c>
      <c r="BR33" s="21">
        <f>SUMIFS(Data!$I:$I,Data!$B:$B,$B33,Data!$G:$G,"&lt;="&amp;BR$2,Data!$H:$H,"&gt;="&amp;BR$2)</f>
        <v>0</v>
      </c>
      <c r="BS33" s="21">
        <f>SUMIFS(Data!$I:$I,Data!$B:$B,$B33,Data!$G:$G,"&lt;="&amp;BS$2,Data!$H:$H,"&gt;="&amp;BS$2)</f>
        <v>0</v>
      </c>
      <c r="BT33" s="21">
        <f>SUMIFS(Data!$I:$I,Data!$B:$B,$B33,Data!$G:$G,"&lt;="&amp;BT$2,Data!$H:$H,"&gt;="&amp;BT$2)</f>
        <v>0</v>
      </c>
      <c r="BU33" s="21">
        <f>SUMIFS(Data!$I:$I,Data!$B:$B,$B33,Data!$G:$G,"&lt;="&amp;BU$2,Data!$H:$H,"&gt;="&amp;BU$2)</f>
        <v>0</v>
      </c>
      <c r="BV33" s="21">
        <f>SUMIFS(Data!$I:$I,Data!$B:$B,$B33,Data!$G:$G,"&lt;="&amp;BV$2,Data!$H:$H,"&gt;="&amp;BV$2)</f>
        <v>0</v>
      </c>
      <c r="BW33" s="21">
        <f>SUMIFS(Data!$I:$I,Data!$B:$B,$B33,Data!$G:$G,"&lt;="&amp;BW$2,Data!$H:$H,"&gt;="&amp;BW$2)</f>
        <v>0</v>
      </c>
      <c r="BX33" s="21">
        <f>SUMIFS(Data!$I:$I,Data!$B:$B,$B33,Data!$G:$G,"&lt;="&amp;BX$2,Data!$H:$H,"&gt;="&amp;BX$2)</f>
        <v>0</v>
      </c>
      <c r="BY33" s="21">
        <f>SUMIFS(Data!$I:$I,Data!$B:$B,$B33,Data!$G:$G,"&lt;="&amp;BY$2,Data!$H:$H,"&gt;="&amp;BY$2)</f>
        <v>0</v>
      </c>
      <c r="BZ33" s="21">
        <f>SUMIFS(Data!$I:$I,Data!$B:$B,$B33,Data!$G:$G,"&lt;="&amp;BZ$2,Data!$H:$H,"&gt;="&amp;BZ$2)</f>
        <v>0</v>
      </c>
      <c r="CA33" s="22">
        <f t="shared" si="66"/>
        <v>57500</v>
      </c>
    </row>
    <row r="34" spans="2:79" x14ac:dyDescent="0.25">
      <c r="B34" s="11" t="s">
        <v>7</v>
      </c>
      <c r="C34" s="11" t="str">
        <f>VLOOKUP(B34,Data!B:C,2,FALSE)</f>
        <v>JREFII</v>
      </c>
      <c r="D34" s="21">
        <f>SUMIFS(Data!$I:$I,Data!$B:$B,$B34,Data!$G:$G,"&lt;="&amp;D$2,Data!$H:$H,"&gt;="&amp;D$2)</f>
        <v>3333.3333333333335</v>
      </c>
      <c r="E34" s="21">
        <f>SUMIFS(Data!$I:$I,Data!$B:$B,$B34,Data!$G:$G,"&lt;="&amp;E$2,Data!$H:$H,"&gt;="&amp;E$2)</f>
        <v>3333.3333333333335</v>
      </c>
      <c r="F34" s="21">
        <f>SUMIFS(Data!$I:$I,Data!$B:$B,$B34,Data!$G:$G,"&lt;="&amp;F$2,Data!$H:$H,"&gt;="&amp;F$2)</f>
        <v>3333.3333333333335</v>
      </c>
      <c r="G34" s="21">
        <f>SUMIFS(Data!$I:$I,Data!$B:$B,$B34,Data!$G:$G,"&lt;="&amp;G$2,Data!$H:$H,"&gt;="&amp;G$2)</f>
        <v>9333.3333333333339</v>
      </c>
      <c r="H34" s="21">
        <f>SUMIFS(Data!$I:$I,Data!$B:$B,$B34,Data!$G:$G,"&lt;="&amp;H$2,Data!$H:$H,"&gt;="&amp;H$2)</f>
        <v>9333.3333333333339</v>
      </c>
      <c r="I34" s="21">
        <f>SUMIFS(Data!$I:$I,Data!$B:$B,$B34,Data!$G:$G,"&lt;="&amp;I$2,Data!$H:$H,"&gt;="&amp;I$2)</f>
        <v>9333.3333333333339</v>
      </c>
      <c r="J34" s="21">
        <f>SUMIFS(Data!$I:$I,Data!$B:$B,$B34,Data!$G:$G,"&lt;="&amp;J$2,Data!$H:$H,"&gt;="&amp;J$2)</f>
        <v>94809.523809523816</v>
      </c>
      <c r="K34" s="21">
        <f>SUMIFS(Data!$I:$I,Data!$B:$B,$B34,Data!$G:$G,"&lt;="&amp;K$2,Data!$H:$H,"&gt;="&amp;K$2)</f>
        <v>94809.523809523816</v>
      </c>
      <c r="L34" s="21">
        <f>SUMIFS(Data!$I:$I,Data!$B:$B,$B34,Data!$G:$G,"&lt;="&amp;L$2,Data!$H:$H,"&gt;="&amp;L$2)</f>
        <v>94809.523809523816</v>
      </c>
      <c r="M34" s="21">
        <f>SUMIFS(Data!$I:$I,Data!$B:$B,$B34,Data!$G:$G,"&lt;="&amp;M$2,Data!$H:$H,"&gt;="&amp;M$2)</f>
        <v>68142.857142857145</v>
      </c>
      <c r="N34" s="21">
        <f>SUMIFS(Data!$I:$I,Data!$B:$B,$B34,Data!$G:$G,"&lt;="&amp;N$2,Data!$H:$H,"&gt;="&amp;N$2)</f>
        <v>68142.857142857145</v>
      </c>
      <c r="O34" s="21">
        <f>SUMIFS(Data!$I:$I,Data!$B:$B,$B34,Data!$G:$G,"&lt;="&amp;O$2,Data!$H:$H,"&gt;="&amp;O$2)</f>
        <v>68142.857142857145</v>
      </c>
      <c r="P34" s="21">
        <f>SUMIFS(Data!$I:$I,Data!$B:$B,$B34,Data!$G:$G,"&lt;="&amp;P$2,Data!$H:$H,"&gt;="&amp;P$2)</f>
        <v>68142.857142857145</v>
      </c>
      <c r="Q34" s="21">
        <f>SUMIFS(Data!$I:$I,Data!$B:$B,$B34,Data!$G:$G,"&lt;="&amp;Q$2,Data!$H:$H,"&gt;="&amp;Q$2)</f>
        <v>0</v>
      </c>
      <c r="R34" s="21">
        <f>SUMIFS(Data!$I:$I,Data!$B:$B,$B34,Data!$G:$G,"&lt;="&amp;R$2,Data!$H:$H,"&gt;="&amp;R$2)</f>
        <v>0</v>
      </c>
      <c r="S34" s="21">
        <f>SUMIFS(Data!$I:$I,Data!$B:$B,$B34,Data!$G:$G,"&lt;="&amp;S$2,Data!$H:$H,"&gt;="&amp;S$2)</f>
        <v>0</v>
      </c>
      <c r="T34" s="21">
        <f>SUMIFS(Data!$I:$I,Data!$B:$B,$B34,Data!$G:$G,"&lt;="&amp;T$2,Data!$H:$H,"&gt;="&amp;T$2)</f>
        <v>0</v>
      </c>
      <c r="U34" s="21">
        <f>SUMIFS(Data!$I:$I,Data!$B:$B,$B34,Data!$G:$G,"&lt;="&amp;U$2,Data!$H:$H,"&gt;="&amp;U$2)</f>
        <v>0</v>
      </c>
      <c r="V34" s="21">
        <f>SUMIFS(Data!$I:$I,Data!$B:$B,$B34,Data!$G:$G,"&lt;="&amp;V$2,Data!$H:$H,"&gt;="&amp;V$2)</f>
        <v>0</v>
      </c>
      <c r="W34" s="21">
        <f>SUMIFS(Data!$I:$I,Data!$B:$B,$B34,Data!$G:$G,"&lt;="&amp;W$2,Data!$H:$H,"&gt;="&amp;W$2)</f>
        <v>0</v>
      </c>
      <c r="X34" s="21">
        <f>SUMIFS(Data!$I:$I,Data!$B:$B,$B34,Data!$G:$G,"&lt;="&amp;X$2,Data!$H:$H,"&gt;="&amp;X$2)</f>
        <v>0</v>
      </c>
      <c r="Y34" s="21">
        <f>SUMIFS(Data!$I:$I,Data!$B:$B,$B34,Data!$G:$G,"&lt;="&amp;Y$2,Data!$H:$H,"&gt;="&amp;Y$2)</f>
        <v>0</v>
      </c>
      <c r="Z34" s="21">
        <f>SUMIFS(Data!$I:$I,Data!$B:$B,$B34,Data!$G:$G,"&lt;="&amp;Z$2,Data!$H:$H,"&gt;="&amp;Z$2)</f>
        <v>0</v>
      </c>
      <c r="AA34" s="21">
        <f>SUMIFS(Data!$I:$I,Data!$B:$B,$B34,Data!$G:$G,"&lt;="&amp;AA$2,Data!$H:$H,"&gt;="&amp;AA$2)</f>
        <v>0</v>
      </c>
      <c r="AB34" s="21">
        <f>SUMIFS(Data!$I:$I,Data!$B:$B,$B34,Data!$G:$G,"&lt;="&amp;AB$2,Data!$H:$H,"&gt;="&amp;AB$2)</f>
        <v>0</v>
      </c>
      <c r="AC34" s="21">
        <f>SUMIFS(Data!$I:$I,Data!$B:$B,$B34,Data!$G:$G,"&lt;="&amp;AC$2,Data!$H:$H,"&gt;="&amp;AC$2)</f>
        <v>0</v>
      </c>
      <c r="AD34" s="21">
        <f>SUMIFS(Data!$I:$I,Data!$B:$B,$B34,Data!$G:$G,"&lt;="&amp;AD$2,Data!$H:$H,"&gt;="&amp;AD$2)</f>
        <v>0</v>
      </c>
      <c r="AE34" s="21">
        <f>SUMIFS(Data!$I:$I,Data!$B:$B,$B34,Data!$G:$G,"&lt;="&amp;AE$2,Data!$H:$H,"&gt;="&amp;AE$2)</f>
        <v>0</v>
      </c>
      <c r="AF34" s="21">
        <f>SUMIFS(Data!$I:$I,Data!$B:$B,$B34,Data!$G:$G,"&lt;="&amp;AF$2,Data!$H:$H,"&gt;="&amp;AF$2)</f>
        <v>0</v>
      </c>
      <c r="AG34" s="21">
        <f>SUMIFS(Data!$I:$I,Data!$B:$B,$B34,Data!$G:$G,"&lt;="&amp;AG$2,Data!$H:$H,"&gt;="&amp;AG$2)</f>
        <v>0</v>
      </c>
      <c r="AH34" s="21">
        <f>SUMIFS(Data!$I:$I,Data!$B:$B,$B34,Data!$G:$G,"&lt;="&amp;AH$2,Data!$H:$H,"&gt;="&amp;AH$2)</f>
        <v>0</v>
      </c>
      <c r="AI34" s="21">
        <f>SUMIFS(Data!$I:$I,Data!$B:$B,$B34,Data!$G:$G,"&lt;="&amp;AI$2,Data!$H:$H,"&gt;="&amp;AI$2)</f>
        <v>0</v>
      </c>
      <c r="AJ34" s="21">
        <f>SUMIFS(Data!$I:$I,Data!$B:$B,$B34,Data!$G:$G,"&lt;="&amp;AJ$2,Data!$H:$H,"&gt;="&amp;AJ$2)</f>
        <v>0</v>
      </c>
      <c r="AK34" s="21">
        <f>SUMIFS(Data!$I:$I,Data!$B:$B,$B34,Data!$G:$G,"&lt;="&amp;AK$2,Data!$H:$H,"&gt;="&amp;AK$2)</f>
        <v>0</v>
      </c>
      <c r="AL34" s="21">
        <f>SUMIFS(Data!$I:$I,Data!$B:$B,$B34,Data!$G:$G,"&lt;="&amp;AL$2,Data!$H:$H,"&gt;="&amp;AL$2)</f>
        <v>0</v>
      </c>
      <c r="AM34" s="21">
        <f>SUMIFS(Data!$I:$I,Data!$B:$B,$B34,Data!$G:$G,"&lt;="&amp;AM$2,Data!$H:$H,"&gt;="&amp;AM$2)</f>
        <v>0</v>
      </c>
      <c r="AN34" s="21">
        <f>SUMIFS(Data!$I:$I,Data!$B:$B,$B34,Data!$G:$G,"&lt;="&amp;AN$2,Data!$H:$H,"&gt;="&amp;AN$2)</f>
        <v>0</v>
      </c>
      <c r="AO34" s="21">
        <f>SUMIFS(Data!$I:$I,Data!$B:$B,$B34,Data!$G:$G,"&lt;="&amp;AO$2,Data!$H:$H,"&gt;="&amp;AO$2)</f>
        <v>0</v>
      </c>
      <c r="AP34" s="21">
        <f>SUMIFS(Data!$I:$I,Data!$B:$B,$B34,Data!$G:$G,"&lt;="&amp;AP$2,Data!$H:$H,"&gt;="&amp;AP$2)</f>
        <v>0</v>
      </c>
      <c r="AQ34" s="21">
        <f>SUMIFS(Data!$I:$I,Data!$B:$B,$B34,Data!$G:$G,"&lt;="&amp;AQ$2,Data!$H:$H,"&gt;="&amp;AQ$2)</f>
        <v>0</v>
      </c>
      <c r="AR34" s="21">
        <f>SUMIFS(Data!$I:$I,Data!$B:$B,$B34,Data!$G:$G,"&lt;="&amp;AR$2,Data!$H:$H,"&gt;="&amp;AR$2)</f>
        <v>0</v>
      </c>
      <c r="AS34" s="21">
        <f>SUMIFS(Data!$I:$I,Data!$B:$B,$B34,Data!$G:$G,"&lt;="&amp;AS$2,Data!$H:$H,"&gt;="&amp;AS$2)</f>
        <v>0</v>
      </c>
      <c r="AT34" s="21">
        <f>SUMIFS(Data!$I:$I,Data!$B:$B,$B34,Data!$G:$G,"&lt;="&amp;AT$2,Data!$H:$H,"&gt;="&amp;AT$2)</f>
        <v>0</v>
      </c>
      <c r="AU34" s="21">
        <f>SUMIFS(Data!$I:$I,Data!$B:$B,$B34,Data!$G:$G,"&lt;="&amp;AU$2,Data!$H:$H,"&gt;="&amp;AU$2)</f>
        <v>0</v>
      </c>
      <c r="AV34" s="21">
        <f>SUMIFS(Data!$I:$I,Data!$B:$B,$B34,Data!$G:$G,"&lt;="&amp;AV$2,Data!$H:$H,"&gt;="&amp;AV$2)</f>
        <v>0</v>
      </c>
      <c r="AW34" s="21">
        <f>SUMIFS(Data!$I:$I,Data!$B:$B,$B34,Data!$G:$G,"&lt;="&amp;AW$2,Data!$H:$H,"&gt;="&amp;AW$2)</f>
        <v>0</v>
      </c>
      <c r="AX34" s="21">
        <f>SUMIFS(Data!$I:$I,Data!$B:$B,$B34,Data!$G:$G,"&lt;="&amp;AX$2,Data!$H:$H,"&gt;="&amp;AX$2)</f>
        <v>0</v>
      </c>
      <c r="AY34" s="21">
        <f>SUMIFS(Data!$I:$I,Data!$B:$B,$B34,Data!$G:$G,"&lt;="&amp;AY$2,Data!$H:$H,"&gt;="&amp;AY$2)</f>
        <v>0</v>
      </c>
      <c r="AZ34" s="21">
        <f>SUMIFS(Data!$I:$I,Data!$B:$B,$B34,Data!$G:$G,"&lt;="&amp;AZ$2,Data!$H:$H,"&gt;="&amp;AZ$2)</f>
        <v>0</v>
      </c>
      <c r="BA34" s="21">
        <f>SUMIFS(Data!$I:$I,Data!$B:$B,$B34,Data!$G:$G,"&lt;="&amp;BA$2,Data!$H:$H,"&gt;="&amp;BA$2)</f>
        <v>0</v>
      </c>
      <c r="BB34" s="21">
        <f>SUMIFS(Data!$I:$I,Data!$B:$B,$B34,Data!$G:$G,"&lt;="&amp;BB$2,Data!$H:$H,"&gt;="&amp;BB$2)</f>
        <v>0</v>
      </c>
      <c r="BC34" s="21">
        <f>SUMIFS(Data!$I:$I,Data!$B:$B,$B34,Data!$G:$G,"&lt;="&amp;BC$2,Data!$H:$H,"&gt;="&amp;BC$2)</f>
        <v>0</v>
      </c>
      <c r="BD34" s="21">
        <f>SUMIFS(Data!$I:$I,Data!$B:$B,$B34,Data!$G:$G,"&lt;="&amp;BD$2,Data!$H:$H,"&gt;="&amp;BD$2)</f>
        <v>0</v>
      </c>
      <c r="BE34" s="21">
        <f>SUMIFS(Data!$I:$I,Data!$B:$B,$B34,Data!$G:$G,"&lt;="&amp;BE$2,Data!$H:$H,"&gt;="&amp;BE$2)</f>
        <v>0</v>
      </c>
      <c r="BF34" s="21">
        <f>SUMIFS(Data!$I:$I,Data!$B:$B,$B34,Data!$G:$G,"&lt;="&amp;BF$2,Data!$H:$H,"&gt;="&amp;BF$2)</f>
        <v>0</v>
      </c>
      <c r="BG34" s="21">
        <f>SUMIFS(Data!$I:$I,Data!$B:$B,$B34,Data!$G:$G,"&lt;="&amp;BG$2,Data!$H:$H,"&gt;="&amp;BG$2)</f>
        <v>0</v>
      </c>
      <c r="BH34" s="21">
        <f>SUMIFS(Data!$I:$I,Data!$B:$B,$B34,Data!$G:$G,"&lt;="&amp;BH$2,Data!$H:$H,"&gt;="&amp;BH$2)</f>
        <v>0</v>
      </c>
      <c r="BI34" s="21">
        <f>SUMIFS(Data!$I:$I,Data!$B:$B,$B34,Data!$G:$G,"&lt;="&amp;BI$2,Data!$H:$H,"&gt;="&amp;BI$2)</f>
        <v>0</v>
      </c>
      <c r="BJ34" s="21">
        <f>SUMIFS(Data!$I:$I,Data!$B:$B,$B34,Data!$G:$G,"&lt;="&amp;BJ$2,Data!$H:$H,"&gt;="&amp;BJ$2)</f>
        <v>0</v>
      </c>
      <c r="BK34" s="21">
        <f>SUMIFS(Data!$I:$I,Data!$B:$B,$B34,Data!$G:$G,"&lt;="&amp;BK$2,Data!$H:$H,"&gt;="&amp;BK$2)</f>
        <v>0</v>
      </c>
      <c r="BL34" s="21">
        <f>SUMIFS(Data!$I:$I,Data!$B:$B,$B34,Data!$G:$G,"&lt;="&amp;BL$2,Data!$H:$H,"&gt;="&amp;BL$2)</f>
        <v>0</v>
      </c>
      <c r="BM34" s="21">
        <f>SUMIFS(Data!$I:$I,Data!$B:$B,$B34,Data!$G:$G,"&lt;="&amp;BM$2,Data!$H:$H,"&gt;="&amp;BM$2)</f>
        <v>0</v>
      </c>
      <c r="BN34" s="21">
        <f>SUMIFS(Data!$I:$I,Data!$B:$B,$B34,Data!$G:$G,"&lt;="&amp;BN$2,Data!$H:$H,"&gt;="&amp;BN$2)</f>
        <v>0</v>
      </c>
      <c r="BO34" s="21">
        <f>SUMIFS(Data!$I:$I,Data!$B:$B,$B34,Data!$G:$G,"&lt;="&amp;BO$2,Data!$H:$H,"&gt;="&amp;BO$2)</f>
        <v>0</v>
      </c>
      <c r="BP34" s="21">
        <f>SUMIFS(Data!$I:$I,Data!$B:$B,$B34,Data!$G:$G,"&lt;="&amp;BP$2,Data!$H:$H,"&gt;="&amp;BP$2)</f>
        <v>0</v>
      </c>
      <c r="BQ34" s="21">
        <f>SUMIFS(Data!$I:$I,Data!$B:$B,$B34,Data!$G:$G,"&lt;="&amp;BQ$2,Data!$H:$H,"&gt;="&amp;BQ$2)</f>
        <v>0</v>
      </c>
      <c r="BR34" s="21">
        <f>SUMIFS(Data!$I:$I,Data!$B:$B,$B34,Data!$G:$G,"&lt;="&amp;BR$2,Data!$H:$H,"&gt;="&amp;BR$2)</f>
        <v>0</v>
      </c>
      <c r="BS34" s="21">
        <f>SUMIFS(Data!$I:$I,Data!$B:$B,$B34,Data!$G:$G,"&lt;="&amp;BS$2,Data!$H:$H,"&gt;="&amp;BS$2)</f>
        <v>0</v>
      </c>
      <c r="BT34" s="21">
        <f>SUMIFS(Data!$I:$I,Data!$B:$B,$B34,Data!$G:$G,"&lt;="&amp;BT$2,Data!$H:$H,"&gt;="&amp;BT$2)</f>
        <v>0</v>
      </c>
      <c r="BU34" s="21">
        <f>SUMIFS(Data!$I:$I,Data!$B:$B,$B34,Data!$G:$G,"&lt;="&amp;BU$2,Data!$H:$H,"&gt;="&amp;BU$2)</f>
        <v>0</v>
      </c>
      <c r="BV34" s="21">
        <f>SUMIFS(Data!$I:$I,Data!$B:$B,$B34,Data!$G:$G,"&lt;="&amp;BV$2,Data!$H:$H,"&gt;="&amp;BV$2)</f>
        <v>0</v>
      </c>
      <c r="BW34" s="21">
        <f>SUMIFS(Data!$I:$I,Data!$B:$B,$B34,Data!$G:$G,"&lt;="&amp;BW$2,Data!$H:$H,"&gt;="&amp;BW$2)</f>
        <v>0</v>
      </c>
      <c r="BX34" s="21">
        <f>SUMIFS(Data!$I:$I,Data!$B:$B,$B34,Data!$G:$G,"&lt;="&amp;BX$2,Data!$H:$H,"&gt;="&amp;BX$2)</f>
        <v>0</v>
      </c>
      <c r="BY34" s="21">
        <f>SUMIFS(Data!$I:$I,Data!$B:$B,$B34,Data!$G:$G,"&lt;="&amp;BY$2,Data!$H:$H,"&gt;="&amp;BY$2)</f>
        <v>0</v>
      </c>
      <c r="BZ34" s="21">
        <f>SUMIFS(Data!$I:$I,Data!$B:$B,$B34,Data!$G:$G,"&lt;="&amp;BZ$2,Data!$H:$H,"&gt;="&amp;BZ$2)</f>
        <v>0</v>
      </c>
      <c r="CA34" s="22">
        <f t="shared" si="66"/>
        <v>595000.00000000012</v>
      </c>
    </row>
    <row r="35" spans="2:79" x14ac:dyDescent="0.25">
      <c r="B35" s="11" t="s">
        <v>106</v>
      </c>
      <c r="C35" s="11" t="str">
        <f>VLOOKUP(B35,Data!B:C,2,FALSE)</f>
        <v>JREFII</v>
      </c>
      <c r="D35" s="21">
        <f>SUMIFS(Data!$I:$I,Data!$B:$B,$B35,Data!$G:$G,"&lt;="&amp;D$2,Data!$H:$H,"&gt;="&amp;D$2)</f>
        <v>0</v>
      </c>
      <c r="E35" s="21">
        <f>SUMIFS(Data!$I:$I,Data!$B:$B,$B35,Data!$G:$G,"&lt;="&amp;E$2,Data!$H:$H,"&gt;="&amp;E$2)</f>
        <v>0</v>
      </c>
      <c r="F35" s="21">
        <f>SUMIFS(Data!$I:$I,Data!$B:$B,$B35,Data!$G:$G,"&lt;="&amp;F$2,Data!$H:$H,"&gt;="&amp;F$2)</f>
        <v>0</v>
      </c>
      <c r="G35" s="21">
        <f>SUMIFS(Data!$I:$I,Data!$B:$B,$B35,Data!$G:$G,"&lt;="&amp;G$2,Data!$H:$H,"&gt;="&amp;G$2)</f>
        <v>6000</v>
      </c>
      <c r="H35" s="21">
        <f>SUMIFS(Data!$I:$I,Data!$B:$B,$B35,Data!$G:$G,"&lt;="&amp;H$2,Data!$H:$H,"&gt;="&amp;H$2)</f>
        <v>6000</v>
      </c>
      <c r="I35" s="21">
        <f>SUMIFS(Data!$I:$I,Data!$B:$B,$B35,Data!$G:$G,"&lt;="&amp;I$2,Data!$H:$H,"&gt;="&amp;I$2)</f>
        <v>6000</v>
      </c>
      <c r="J35" s="21">
        <f>SUMIFS(Data!$I:$I,Data!$B:$B,$B35,Data!$G:$G,"&lt;="&amp;J$2,Data!$H:$H,"&gt;="&amp;J$2)</f>
        <v>0</v>
      </c>
      <c r="K35" s="21">
        <f>SUMIFS(Data!$I:$I,Data!$B:$B,$B35,Data!$G:$G,"&lt;="&amp;K$2,Data!$H:$H,"&gt;="&amp;K$2)</f>
        <v>0</v>
      </c>
      <c r="L35" s="21">
        <f>SUMIFS(Data!$I:$I,Data!$B:$B,$B35,Data!$G:$G,"&lt;="&amp;L$2,Data!$H:$H,"&gt;="&amp;L$2)</f>
        <v>0</v>
      </c>
      <c r="M35" s="21">
        <f>SUMIFS(Data!$I:$I,Data!$B:$B,$B35,Data!$G:$G,"&lt;="&amp;M$2,Data!$H:$H,"&gt;="&amp;M$2)</f>
        <v>2666.6666666666665</v>
      </c>
      <c r="N35" s="21">
        <f>SUMIFS(Data!$I:$I,Data!$B:$B,$B35,Data!$G:$G,"&lt;="&amp;N$2,Data!$H:$H,"&gt;="&amp;N$2)</f>
        <v>2666.6666666666665</v>
      </c>
      <c r="O35" s="21">
        <f>SUMIFS(Data!$I:$I,Data!$B:$B,$B35,Data!$G:$G,"&lt;="&amp;O$2,Data!$H:$H,"&gt;="&amp;O$2)</f>
        <v>2666.6666666666665</v>
      </c>
      <c r="P35" s="21">
        <f>SUMIFS(Data!$I:$I,Data!$B:$B,$B35,Data!$G:$G,"&lt;="&amp;P$2,Data!$H:$H,"&gt;="&amp;P$2)</f>
        <v>0</v>
      </c>
      <c r="Q35" s="21">
        <f>SUMIFS(Data!$I:$I,Data!$B:$B,$B35,Data!$G:$G,"&lt;="&amp;Q$2,Data!$H:$H,"&gt;="&amp;Q$2)</f>
        <v>0</v>
      </c>
      <c r="R35" s="21">
        <f>SUMIFS(Data!$I:$I,Data!$B:$B,$B35,Data!$G:$G,"&lt;="&amp;R$2,Data!$H:$H,"&gt;="&amp;R$2)</f>
        <v>0</v>
      </c>
      <c r="S35" s="21">
        <f>SUMIFS(Data!$I:$I,Data!$B:$B,$B35,Data!$G:$G,"&lt;="&amp;S$2,Data!$H:$H,"&gt;="&amp;S$2)</f>
        <v>0</v>
      </c>
      <c r="T35" s="21">
        <f>SUMIFS(Data!$I:$I,Data!$B:$B,$B35,Data!$G:$G,"&lt;="&amp;T$2,Data!$H:$H,"&gt;="&amp;T$2)</f>
        <v>0</v>
      </c>
      <c r="U35" s="21">
        <f>SUMIFS(Data!$I:$I,Data!$B:$B,$B35,Data!$G:$G,"&lt;="&amp;U$2,Data!$H:$H,"&gt;="&amp;U$2)</f>
        <v>0</v>
      </c>
      <c r="V35" s="21">
        <f>SUMIFS(Data!$I:$I,Data!$B:$B,$B35,Data!$G:$G,"&lt;="&amp;V$2,Data!$H:$H,"&gt;="&amp;V$2)</f>
        <v>0</v>
      </c>
      <c r="W35" s="21">
        <f>SUMIFS(Data!$I:$I,Data!$B:$B,$B35,Data!$G:$G,"&lt;="&amp;W$2,Data!$H:$H,"&gt;="&amp;W$2)</f>
        <v>0</v>
      </c>
      <c r="X35" s="21">
        <f>SUMIFS(Data!$I:$I,Data!$B:$B,$B35,Data!$G:$G,"&lt;="&amp;X$2,Data!$H:$H,"&gt;="&amp;X$2)</f>
        <v>0</v>
      </c>
      <c r="Y35" s="21">
        <f>SUMIFS(Data!$I:$I,Data!$B:$B,$B35,Data!$G:$G,"&lt;="&amp;Y$2,Data!$H:$H,"&gt;="&amp;Y$2)</f>
        <v>0</v>
      </c>
      <c r="Z35" s="21">
        <f>SUMIFS(Data!$I:$I,Data!$B:$B,$B35,Data!$G:$G,"&lt;="&amp;Z$2,Data!$H:$H,"&gt;="&amp;Z$2)</f>
        <v>0</v>
      </c>
      <c r="AA35" s="21">
        <f>SUMIFS(Data!$I:$I,Data!$B:$B,$B35,Data!$G:$G,"&lt;="&amp;AA$2,Data!$H:$H,"&gt;="&amp;AA$2)</f>
        <v>0</v>
      </c>
      <c r="AB35" s="21">
        <f>SUMIFS(Data!$I:$I,Data!$B:$B,$B35,Data!$G:$G,"&lt;="&amp;AB$2,Data!$H:$H,"&gt;="&amp;AB$2)</f>
        <v>0</v>
      </c>
      <c r="AC35" s="21">
        <f>SUMIFS(Data!$I:$I,Data!$B:$B,$B35,Data!$G:$G,"&lt;="&amp;AC$2,Data!$H:$H,"&gt;="&amp;AC$2)</f>
        <v>0</v>
      </c>
      <c r="AD35" s="21">
        <f>SUMIFS(Data!$I:$I,Data!$B:$B,$B35,Data!$G:$G,"&lt;="&amp;AD$2,Data!$H:$H,"&gt;="&amp;AD$2)</f>
        <v>0</v>
      </c>
      <c r="AE35" s="21">
        <f>SUMIFS(Data!$I:$I,Data!$B:$B,$B35,Data!$G:$G,"&lt;="&amp;AE$2,Data!$H:$H,"&gt;="&amp;AE$2)</f>
        <v>0</v>
      </c>
      <c r="AF35" s="21">
        <f>SUMIFS(Data!$I:$I,Data!$B:$B,$B35,Data!$G:$G,"&lt;="&amp;AF$2,Data!$H:$H,"&gt;="&amp;AF$2)</f>
        <v>0</v>
      </c>
      <c r="AG35" s="21">
        <f>SUMIFS(Data!$I:$I,Data!$B:$B,$B35,Data!$G:$G,"&lt;="&amp;AG$2,Data!$H:$H,"&gt;="&amp;AG$2)</f>
        <v>0</v>
      </c>
      <c r="AH35" s="21">
        <f>SUMIFS(Data!$I:$I,Data!$B:$B,$B35,Data!$G:$G,"&lt;="&amp;AH$2,Data!$H:$H,"&gt;="&amp;AH$2)</f>
        <v>0</v>
      </c>
      <c r="AI35" s="21">
        <f>SUMIFS(Data!$I:$I,Data!$B:$B,$B35,Data!$G:$G,"&lt;="&amp;AI$2,Data!$H:$H,"&gt;="&amp;AI$2)</f>
        <v>0</v>
      </c>
      <c r="AJ35" s="21">
        <f>SUMIFS(Data!$I:$I,Data!$B:$B,$B35,Data!$G:$G,"&lt;="&amp;AJ$2,Data!$H:$H,"&gt;="&amp;AJ$2)</f>
        <v>0</v>
      </c>
      <c r="AK35" s="21">
        <f>SUMIFS(Data!$I:$I,Data!$B:$B,$B35,Data!$G:$G,"&lt;="&amp;AK$2,Data!$H:$H,"&gt;="&amp;AK$2)</f>
        <v>0</v>
      </c>
      <c r="AL35" s="21">
        <f>SUMIFS(Data!$I:$I,Data!$B:$B,$B35,Data!$G:$G,"&lt;="&amp;AL$2,Data!$H:$H,"&gt;="&amp;AL$2)</f>
        <v>0</v>
      </c>
      <c r="AM35" s="21">
        <f>SUMIFS(Data!$I:$I,Data!$B:$B,$B35,Data!$G:$G,"&lt;="&amp;AM$2,Data!$H:$H,"&gt;="&amp;AM$2)</f>
        <v>0</v>
      </c>
      <c r="AN35" s="21">
        <f>SUMIFS(Data!$I:$I,Data!$B:$B,$B35,Data!$G:$G,"&lt;="&amp;AN$2,Data!$H:$H,"&gt;="&amp;AN$2)</f>
        <v>0</v>
      </c>
      <c r="AO35" s="21">
        <f>SUMIFS(Data!$I:$I,Data!$B:$B,$B35,Data!$G:$G,"&lt;="&amp;AO$2,Data!$H:$H,"&gt;="&amp;AO$2)</f>
        <v>0</v>
      </c>
      <c r="AP35" s="21">
        <f>SUMIFS(Data!$I:$I,Data!$B:$B,$B35,Data!$G:$G,"&lt;="&amp;AP$2,Data!$H:$H,"&gt;="&amp;AP$2)</f>
        <v>0</v>
      </c>
      <c r="AQ35" s="21">
        <f>SUMIFS(Data!$I:$I,Data!$B:$B,$B35,Data!$G:$G,"&lt;="&amp;AQ$2,Data!$H:$H,"&gt;="&amp;AQ$2)</f>
        <v>0</v>
      </c>
      <c r="AR35" s="21">
        <f>SUMIFS(Data!$I:$I,Data!$B:$B,$B35,Data!$G:$G,"&lt;="&amp;AR$2,Data!$H:$H,"&gt;="&amp;AR$2)</f>
        <v>0</v>
      </c>
      <c r="AS35" s="21">
        <f>SUMIFS(Data!$I:$I,Data!$B:$B,$B35,Data!$G:$G,"&lt;="&amp;AS$2,Data!$H:$H,"&gt;="&amp;AS$2)</f>
        <v>0</v>
      </c>
      <c r="AT35" s="21">
        <f>SUMIFS(Data!$I:$I,Data!$B:$B,$B35,Data!$G:$G,"&lt;="&amp;AT$2,Data!$H:$H,"&gt;="&amp;AT$2)</f>
        <v>0</v>
      </c>
      <c r="AU35" s="21">
        <f>SUMIFS(Data!$I:$I,Data!$B:$B,$B35,Data!$G:$G,"&lt;="&amp;AU$2,Data!$H:$H,"&gt;="&amp;AU$2)</f>
        <v>0</v>
      </c>
      <c r="AV35" s="21">
        <f>SUMIFS(Data!$I:$I,Data!$B:$B,$B35,Data!$G:$G,"&lt;="&amp;AV$2,Data!$H:$H,"&gt;="&amp;AV$2)</f>
        <v>0</v>
      </c>
      <c r="AW35" s="21">
        <f>SUMIFS(Data!$I:$I,Data!$B:$B,$B35,Data!$G:$G,"&lt;="&amp;AW$2,Data!$H:$H,"&gt;="&amp;AW$2)</f>
        <v>0</v>
      </c>
      <c r="AX35" s="21">
        <f>SUMIFS(Data!$I:$I,Data!$B:$B,$B35,Data!$G:$G,"&lt;="&amp;AX$2,Data!$H:$H,"&gt;="&amp;AX$2)</f>
        <v>0</v>
      </c>
      <c r="AY35" s="21">
        <f>SUMIFS(Data!$I:$I,Data!$B:$B,$B35,Data!$G:$G,"&lt;="&amp;AY$2,Data!$H:$H,"&gt;="&amp;AY$2)</f>
        <v>0</v>
      </c>
      <c r="AZ35" s="21">
        <f>SUMIFS(Data!$I:$I,Data!$B:$B,$B35,Data!$G:$G,"&lt;="&amp;AZ$2,Data!$H:$H,"&gt;="&amp;AZ$2)</f>
        <v>0</v>
      </c>
      <c r="BA35" s="21">
        <f>SUMIFS(Data!$I:$I,Data!$B:$B,$B35,Data!$G:$G,"&lt;="&amp;BA$2,Data!$H:$H,"&gt;="&amp;BA$2)</f>
        <v>0</v>
      </c>
      <c r="BB35" s="21">
        <f>SUMIFS(Data!$I:$I,Data!$B:$B,$B35,Data!$G:$G,"&lt;="&amp;BB$2,Data!$H:$H,"&gt;="&amp;BB$2)</f>
        <v>0</v>
      </c>
      <c r="BC35" s="21">
        <f>SUMIFS(Data!$I:$I,Data!$B:$B,$B35,Data!$G:$G,"&lt;="&amp;BC$2,Data!$H:$H,"&gt;="&amp;BC$2)</f>
        <v>0</v>
      </c>
      <c r="BD35" s="21">
        <f>SUMIFS(Data!$I:$I,Data!$B:$B,$B35,Data!$G:$G,"&lt;="&amp;BD$2,Data!$H:$H,"&gt;="&amp;BD$2)</f>
        <v>0</v>
      </c>
      <c r="BE35" s="21">
        <f>SUMIFS(Data!$I:$I,Data!$B:$B,$B35,Data!$G:$G,"&lt;="&amp;BE$2,Data!$H:$H,"&gt;="&amp;BE$2)</f>
        <v>0</v>
      </c>
      <c r="BF35" s="21">
        <f>SUMIFS(Data!$I:$I,Data!$B:$B,$B35,Data!$G:$G,"&lt;="&amp;BF$2,Data!$H:$H,"&gt;="&amp;BF$2)</f>
        <v>0</v>
      </c>
      <c r="BG35" s="21">
        <f>SUMIFS(Data!$I:$I,Data!$B:$B,$B35,Data!$G:$G,"&lt;="&amp;BG$2,Data!$H:$H,"&gt;="&amp;BG$2)</f>
        <v>0</v>
      </c>
      <c r="BH35" s="21">
        <f>SUMIFS(Data!$I:$I,Data!$B:$B,$B35,Data!$G:$G,"&lt;="&amp;BH$2,Data!$H:$H,"&gt;="&amp;BH$2)</f>
        <v>0</v>
      </c>
      <c r="BI35" s="21">
        <f>SUMIFS(Data!$I:$I,Data!$B:$B,$B35,Data!$G:$G,"&lt;="&amp;BI$2,Data!$H:$H,"&gt;="&amp;BI$2)</f>
        <v>0</v>
      </c>
      <c r="BJ35" s="21">
        <f>SUMIFS(Data!$I:$I,Data!$B:$B,$B35,Data!$G:$G,"&lt;="&amp;BJ$2,Data!$H:$H,"&gt;="&amp;BJ$2)</f>
        <v>0</v>
      </c>
      <c r="BK35" s="21">
        <f>SUMIFS(Data!$I:$I,Data!$B:$B,$B35,Data!$G:$G,"&lt;="&amp;BK$2,Data!$H:$H,"&gt;="&amp;BK$2)</f>
        <v>0</v>
      </c>
      <c r="BL35" s="21">
        <f>SUMIFS(Data!$I:$I,Data!$B:$B,$B35,Data!$G:$G,"&lt;="&amp;BL$2,Data!$H:$H,"&gt;="&amp;BL$2)</f>
        <v>0</v>
      </c>
      <c r="BM35" s="21">
        <f>SUMIFS(Data!$I:$I,Data!$B:$B,$B35,Data!$G:$G,"&lt;="&amp;BM$2,Data!$H:$H,"&gt;="&amp;BM$2)</f>
        <v>0</v>
      </c>
      <c r="BN35" s="21">
        <f>SUMIFS(Data!$I:$I,Data!$B:$B,$B35,Data!$G:$G,"&lt;="&amp;BN$2,Data!$H:$H,"&gt;="&amp;BN$2)</f>
        <v>0</v>
      </c>
      <c r="BO35" s="21">
        <f>SUMIFS(Data!$I:$I,Data!$B:$B,$B35,Data!$G:$G,"&lt;="&amp;BO$2,Data!$H:$H,"&gt;="&amp;BO$2)</f>
        <v>0</v>
      </c>
      <c r="BP35" s="21">
        <f>SUMIFS(Data!$I:$I,Data!$B:$B,$B35,Data!$G:$G,"&lt;="&amp;BP$2,Data!$H:$H,"&gt;="&amp;BP$2)</f>
        <v>0</v>
      </c>
      <c r="BQ35" s="21">
        <f>SUMIFS(Data!$I:$I,Data!$B:$B,$B35,Data!$G:$G,"&lt;="&amp;BQ$2,Data!$H:$H,"&gt;="&amp;BQ$2)</f>
        <v>0</v>
      </c>
      <c r="BR35" s="21">
        <f>SUMIFS(Data!$I:$I,Data!$B:$B,$B35,Data!$G:$G,"&lt;="&amp;BR$2,Data!$H:$H,"&gt;="&amp;BR$2)</f>
        <v>0</v>
      </c>
      <c r="BS35" s="21">
        <f>SUMIFS(Data!$I:$I,Data!$B:$B,$B35,Data!$G:$G,"&lt;="&amp;BS$2,Data!$H:$H,"&gt;="&amp;BS$2)</f>
        <v>0</v>
      </c>
      <c r="BT35" s="21">
        <f>SUMIFS(Data!$I:$I,Data!$B:$B,$B35,Data!$G:$G,"&lt;="&amp;BT$2,Data!$H:$H,"&gt;="&amp;BT$2)</f>
        <v>0</v>
      </c>
      <c r="BU35" s="21">
        <f>SUMIFS(Data!$I:$I,Data!$B:$B,$B35,Data!$G:$G,"&lt;="&amp;BU$2,Data!$H:$H,"&gt;="&amp;BU$2)</f>
        <v>0</v>
      </c>
      <c r="BV35" s="21">
        <f>SUMIFS(Data!$I:$I,Data!$B:$B,$B35,Data!$G:$G,"&lt;="&amp;BV$2,Data!$H:$H,"&gt;="&amp;BV$2)</f>
        <v>0</v>
      </c>
      <c r="BW35" s="21">
        <f>SUMIFS(Data!$I:$I,Data!$B:$B,$B35,Data!$G:$G,"&lt;="&amp;BW$2,Data!$H:$H,"&gt;="&amp;BW$2)</f>
        <v>0</v>
      </c>
      <c r="BX35" s="21">
        <f>SUMIFS(Data!$I:$I,Data!$B:$B,$B35,Data!$G:$G,"&lt;="&amp;BX$2,Data!$H:$H,"&gt;="&amp;BX$2)</f>
        <v>0</v>
      </c>
      <c r="BY35" s="21">
        <f>SUMIFS(Data!$I:$I,Data!$B:$B,$B35,Data!$G:$G,"&lt;="&amp;BY$2,Data!$H:$H,"&gt;="&amp;BY$2)</f>
        <v>0</v>
      </c>
      <c r="BZ35" s="21">
        <f>SUMIFS(Data!$I:$I,Data!$B:$B,$B35,Data!$G:$G,"&lt;="&amp;BZ$2,Data!$H:$H,"&gt;="&amp;BZ$2)</f>
        <v>0</v>
      </c>
      <c r="CA35" s="22">
        <f t="shared" si="66"/>
        <v>26000.000000000004</v>
      </c>
    </row>
    <row r="36" spans="2:79" x14ac:dyDescent="0.25">
      <c r="B36" s="11" t="s">
        <v>88</v>
      </c>
      <c r="C36" s="11" t="str">
        <f>VLOOKUP(B36,Data!B:C,2,FALSE)</f>
        <v>JREFII</v>
      </c>
      <c r="D36" s="21">
        <f>SUMIFS(Data!$I:$I,Data!$B:$B,$B36,Data!$G:$G,"&lt;="&amp;D$2,Data!$H:$H,"&gt;="&amp;D$2)</f>
        <v>0</v>
      </c>
      <c r="E36" s="21">
        <f>SUMIFS(Data!$I:$I,Data!$B:$B,$B36,Data!$G:$G,"&lt;="&amp;E$2,Data!$H:$H,"&gt;="&amp;E$2)</f>
        <v>0</v>
      </c>
      <c r="F36" s="21">
        <f>SUMIFS(Data!$I:$I,Data!$B:$B,$B36,Data!$G:$G,"&lt;="&amp;F$2,Data!$H:$H,"&gt;="&amp;F$2)</f>
        <v>0</v>
      </c>
      <c r="G36" s="21">
        <f>SUMIFS(Data!$I:$I,Data!$B:$B,$B36,Data!$G:$G,"&lt;="&amp;G$2,Data!$H:$H,"&gt;="&amp;G$2)</f>
        <v>11000</v>
      </c>
      <c r="H36" s="21">
        <f>SUMIFS(Data!$I:$I,Data!$B:$B,$B36,Data!$G:$G,"&lt;="&amp;H$2,Data!$H:$H,"&gt;="&amp;H$2)</f>
        <v>11000</v>
      </c>
      <c r="I36" s="21">
        <f>SUMIFS(Data!$I:$I,Data!$B:$B,$B36,Data!$G:$G,"&lt;="&amp;I$2,Data!$H:$H,"&gt;="&amp;I$2)</f>
        <v>11000</v>
      </c>
      <c r="J36" s="21">
        <f>SUMIFS(Data!$I:$I,Data!$B:$B,$B36,Data!$G:$G,"&lt;="&amp;J$2,Data!$H:$H,"&gt;="&amp;J$2)</f>
        <v>0</v>
      </c>
      <c r="K36" s="21">
        <f>SUMIFS(Data!$I:$I,Data!$B:$B,$B36,Data!$G:$G,"&lt;="&amp;K$2,Data!$H:$H,"&gt;="&amp;K$2)</f>
        <v>0</v>
      </c>
      <c r="L36" s="21">
        <f>SUMIFS(Data!$I:$I,Data!$B:$B,$B36,Data!$G:$G,"&lt;="&amp;L$2,Data!$H:$H,"&gt;="&amp;L$2)</f>
        <v>0</v>
      </c>
      <c r="M36" s="21">
        <f>SUMIFS(Data!$I:$I,Data!$B:$B,$B36,Data!$G:$G,"&lt;="&amp;M$2,Data!$H:$H,"&gt;="&amp;M$2)</f>
        <v>16666.666666666668</v>
      </c>
      <c r="N36" s="21">
        <f>SUMIFS(Data!$I:$I,Data!$B:$B,$B36,Data!$G:$G,"&lt;="&amp;N$2,Data!$H:$H,"&gt;="&amp;N$2)</f>
        <v>16666.666666666668</v>
      </c>
      <c r="O36" s="21">
        <f>SUMIFS(Data!$I:$I,Data!$B:$B,$B36,Data!$G:$G,"&lt;="&amp;O$2,Data!$H:$H,"&gt;="&amp;O$2)</f>
        <v>16666.666666666668</v>
      </c>
      <c r="P36" s="21">
        <f>SUMIFS(Data!$I:$I,Data!$B:$B,$B36,Data!$G:$G,"&lt;="&amp;P$2,Data!$H:$H,"&gt;="&amp;P$2)</f>
        <v>0</v>
      </c>
      <c r="Q36" s="21">
        <f>SUMIFS(Data!$I:$I,Data!$B:$B,$B36,Data!$G:$G,"&lt;="&amp;Q$2,Data!$H:$H,"&gt;="&amp;Q$2)</f>
        <v>0</v>
      </c>
      <c r="R36" s="21">
        <f>SUMIFS(Data!$I:$I,Data!$B:$B,$B36,Data!$G:$G,"&lt;="&amp;R$2,Data!$H:$H,"&gt;="&amp;R$2)</f>
        <v>0</v>
      </c>
      <c r="S36" s="21">
        <f>SUMIFS(Data!$I:$I,Data!$B:$B,$B36,Data!$G:$G,"&lt;="&amp;S$2,Data!$H:$H,"&gt;="&amp;S$2)</f>
        <v>0</v>
      </c>
      <c r="T36" s="21">
        <f>SUMIFS(Data!$I:$I,Data!$B:$B,$B36,Data!$G:$G,"&lt;="&amp;T$2,Data!$H:$H,"&gt;="&amp;T$2)</f>
        <v>0</v>
      </c>
      <c r="U36" s="21">
        <f>SUMIFS(Data!$I:$I,Data!$B:$B,$B36,Data!$G:$G,"&lt;="&amp;U$2,Data!$H:$H,"&gt;="&amp;U$2)</f>
        <v>0</v>
      </c>
      <c r="V36" s="21">
        <f>SUMIFS(Data!$I:$I,Data!$B:$B,$B36,Data!$G:$G,"&lt;="&amp;V$2,Data!$H:$H,"&gt;="&amp;V$2)</f>
        <v>0</v>
      </c>
      <c r="W36" s="21">
        <f>SUMIFS(Data!$I:$I,Data!$B:$B,$B36,Data!$G:$G,"&lt;="&amp;W$2,Data!$H:$H,"&gt;="&amp;W$2)</f>
        <v>0</v>
      </c>
      <c r="X36" s="21">
        <f>SUMIFS(Data!$I:$I,Data!$B:$B,$B36,Data!$G:$G,"&lt;="&amp;X$2,Data!$H:$H,"&gt;="&amp;X$2)</f>
        <v>0</v>
      </c>
      <c r="Y36" s="21">
        <f>SUMIFS(Data!$I:$I,Data!$B:$B,$B36,Data!$G:$G,"&lt;="&amp;Y$2,Data!$H:$H,"&gt;="&amp;Y$2)</f>
        <v>0</v>
      </c>
      <c r="Z36" s="21">
        <f>SUMIFS(Data!$I:$I,Data!$B:$B,$B36,Data!$G:$G,"&lt;="&amp;Z$2,Data!$H:$H,"&gt;="&amp;Z$2)</f>
        <v>0</v>
      </c>
      <c r="AA36" s="21">
        <f>SUMIFS(Data!$I:$I,Data!$B:$B,$B36,Data!$G:$G,"&lt;="&amp;AA$2,Data!$H:$H,"&gt;="&amp;AA$2)</f>
        <v>0</v>
      </c>
      <c r="AB36" s="21">
        <f>SUMIFS(Data!$I:$I,Data!$B:$B,$B36,Data!$G:$G,"&lt;="&amp;AB$2,Data!$H:$H,"&gt;="&amp;AB$2)</f>
        <v>0</v>
      </c>
      <c r="AC36" s="21">
        <f>SUMIFS(Data!$I:$I,Data!$B:$B,$B36,Data!$G:$G,"&lt;="&amp;AC$2,Data!$H:$H,"&gt;="&amp;AC$2)</f>
        <v>0</v>
      </c>
      <c r="AD36" s="21">
        <f>SUMIFS(Data!$I:$I,Data!$B:$B,$B36,Data!$G:$G,"&lt;="&amp;AD$2,Data!$H:$H,"&gt;="&amp;AD$2)</f>
        <v>0</v>
      </c>
      <c r="AE36" s="21">
        <f>SUMIFS(Data!$I:$I,Data!$B:$B,$B36,Data!$G:$G,"&lt;="&amp;AE$2,Data!$H:$H,"&gt;="&amp;AE$2)</f>
        <v>0</v>
      </c>
      <c r="AF36" s="21">
        <f>SUMIFS(Data!$I:$I,Data!$B:$B,$B36,Data!$G:$G,"&lt;="&amp;AF$2,Data!$H:$H,"&gt;="&amp;AF$2)</f>
        <v>0</v>
      </c>
      <c r="AG36" s="21">
        <f>SUMIFS(Data!$I:$I,Data!$B:$B,$B36,Data!$G:$G,"&lt;="&amp;AG$2,Data!$H:$H,"&gt;="&amp;AG$2)</f>
        <v>0</v>
      </c>
      <c r="AH36" s="21">
        <f>SUMIFS(Data!$I:$I,Data!$B:$B,$B36,Data!$G:$G,"&lt;="&amp;AH$2,Data!$H:$H,"&gt;="&amp;AH$2)</f>
        <v>0</v>
      </c>
      <c r="AI36" s="21">
        <f>SUMIFS(Data!$I:$I,Data!$B:$B,$B36,Data!$G:$G,"&lt;="&amp;AI$2,Data!$H:$H,"&gt;="&amp;AI$2)</f>
        <v>0</v>
      </c>
      <c r="AJ36" s="21">
        <f>SUMIFS(Data!$I:$I,Data!$B:$B,$B36,Data!$G:$G,"&lt;="&amp;AJ$2,Data!$H:$H,"&gt;="&amp;AJ$2)</f>
        <v>0</v>
      </c>
      <c r="AK36" s="21">
        <f>SUMIFS(Data!$I:$I,Data!$B:$B,$B36,Data!$G:$G,"&lt;="&amp;AK$2,Data!$H:$H,"&gt;="&amp;AK$2)</f>
        <v>0</v>
      </c>
      <c r="AL36" s="21">
        <f>SUMIFS(Data!$I:$I,Data!$B:$B,$B36,Data!$G:$G,"&lt;="&amp;AL$2,Data!$H:$H,"&gt;="&amp;AL$2)</f>
        <v>0</v>
      </c>
      <c r="AM36" s="21">
        <f>SUMIFS(Data!$I:$I,Data!$B:$B,$B36,Data!$G:$G,"&lt;="&amp;AM$2,Data!$H:$H,"&gt;="&amp;AM$2)</f>
        <v>0</v>
      </c>
      <c r="AN36" s="21">
        <f>SUMIFS(Data!$I:$I,Data!$B:$B,$B36,Data!$G:$G,"&lt;="&amp;AN$2,Data!$H:$H,"&gt;="&amp;AN$2)</f>
        <v>0</v>
      </c>
      <c r="AO36" s="21">
        <f>SUMIFS(Data!$I:$I,Data!$B:$B,$B36,Data!$G:$G,"&lt;="&amp;AO$2,Data!$H:$H,"&gt;="&amp;AO$2)</f>
        <v>0</v>
      </c>
      <c r="AP36" s="21">
        <f>SUMIFS(Data!$I:$I,Data!$B:$B,$B36,Data!$G:$G,"&lt;="&amp;AP$2,Data!$H:$H,"&gt;="&amp;AP$2)</f>
        <v>0</v>
      </c>
      <c r="AQ36" s="21">
        <f>SUMIFS(Data!$I:$I,Data!$B:$B,$B36,Data!$G:$G,"&lt;="&amp;AQ$2,Data!$H:$H,"&gt;="&amp;AQ$2)</f>
        <v>0</v>
      </c>
      <c r="AR36" s="21">
        <f>SUMIFS(Data!$I:$I,Data!$B:$B,$B36,Data!$G:$G,"&lt;="&amp;AR$2,Data!$H:$H,"&gt;="&amp;AR$2)</f>
        <v>0</v>
      </c>
      <c r="AS36" s="21">
        <f>SUMIFS(Data!$I:$I,Data!$B:$B,$B36,Data!$G:$G,"&lt;="&amp;AS$2,Data!$H:$H,"&gt;="&amp;AS$2)</f>
        <v>0</v>
      </c>
      <c r="AT36" s="21">
        <f>SUMIFS(Data!$I:$I,Data!$B:$B,$B36,Data!$G:$G,"&lt;="&amp;AT$2,Data!$H:$H,"&gt;="&amp;AT$2)</f>
        <v>0</v>
      </c>
      <c r="AU36" s="21">
        <f>SUMIFS(Data!$I:$I,Data!$B:$B,$B36,Data!$G:$G,"&lt;="&amp;AU$2,Data!$H:$H,"&gt;="&amp;AU$2)</f>
        <v>0</v>
      </c>
      <c r="AV36" s="21">
        <f>SUMIFS(Data!$I:$I,Data!$B:$B,$B36,Data!$G:$G,"&lt;="&amp;AV$2,Data!$H:$H,"&gt;="&amp;AV$2)</f>
        <v>0</v>
      </c>
      <c r="AW36" s="21">
        <f>SUMIFS(Data!$I:$I,Data!$B:$B,$B36,Data!$G:$G,"&lt;="&amp;AW$2,Data!$H:$H,"&gt;="&amp;AW$2)</f>
        <v>0</v>
      </c>
      <c r="AX36" s="21">
        <f>SUMIFS(Data!$I:$I,Data!$B:$B,$B36,Data!$G:$G,"&lt;="&amp;AX$2,Data!$H:$H,"&gt;="&amp;AX$2)</f>
        <v>0</v>
      </c>
      <c r="AY36" s="21">
        <f>SUMIFS(Data!$I:$I,Data!$B:$B,$B36,Data!$G:$G,"&lt;="&amp;AY$2,Data!$H:$H,"&gt;="&amp;AY$2)</f>
        <v>0</v>
      </c>
      <c r="AZ36" s="21">
        <f>SUMIFS(Data!$I:$I,Data!$B:$B,$B36,Data!$G:$G,"&lt;="&amp;AZ$2,Data!$H:$H,"&gt;="&amp;AZ$2)</f>
        <v>0</v>
      </c>
      <c r="BA36" s="21">
        <f>SUMIFS(Data!$I:$I,Data!$B:$B,$B36,Data!$G:$G,"&lt;="&amp;BA$2,Data!$H:$H,"&gt;="&amp;BA$2)</f>
        <v>0</v>
      </c>
      <c r="BB36" s="21">
        <f>SUMIFS(Data!$I:$I,Data!$B:$B,$B36,Data!$G:$G,"&lt;="&amp;BB$2,Data!$H:$H,"&gt;="&amp;BB$2)</f>
        <v>0</v>
      </c>
      <c r="BC36" s="21">
        <f>SUMIFS(Data!$I:$I,Data!$B:$B,$B36,Data!$G:$G,"&lt;="&amp;BC$2,Data!$H:$H,"&gt;="&amp;BC$2)</f>
        <v>0</v>
      </c>
      <c r="BD36" s="21">
        <f>SUMIFS(Data!$I:$I,Data!$B:$B,$B36,Data!$G:$G,"&lt;="&amp;BD$2,Data!$H:$H,"&gt;="&amp;BD$2)</f>
        <v>0</v>
      </c>
      <c r="BE36" s="21">
        <f>SUMIFS(Data!$I:$I,Data!$B:$B,$B36,Data!$G:$G,"&lt;="&amp;BE$2,Data!$H:$H,"&gt;="&amp;BE$2)</f>
        <v>0</v>
      </c>
      <c r="BF36" s="21">
        <f>SUMIFS(Data!$I:$I,Data!$B:$B,$B36,Data!$G:$G,"&lt;="&amp;BF$2,Data!$H:$H,"&gt;="&amp;BF$2)</f>
        <v>0</v>
      </c>
      <c r="BG36" s="21">
        <f>SUMIFS(Data!$I:$I,Data!$B:$B,$B36,Data!$G:$G,"&lt;="&amp;BG$2,Data!$H:$H,"&gt;="&amp;BG$2)</f>
        <v>0</v>
      </c>
      <c r="BH36" s="21">
        <f>SUMIFS(Data!$I:$I,Data!$B:$B,$B36,Data!$G:$G,"&lt;="&amp;BH$2,Data!$H:$H,"&gt;="&amp;BH$2)</f>
        <v>0</v>
      </c>
      <c r="BI36" s="21">
        <f>SUMIFS(Data!$I:$I,Data!$B:$B,$B36,Data!$G:$G,"&lt;="&amp;BI$2,Data!$H:$H,"&gt;="&amp;BI$2)</f>
        <v>0</v>
      </c>
      <c r="BJ36" s="21">
        <f>SUMIFS(Data!$I:$I,Data!$B:$B,$B36,Data!$G:$G,"&lt;="&amp;BJ$2,Data!$H:$H,"&gt;="&amp;BJ$2)</f>
        <v>0</v>
      </c>
      <c r="BK36" s="21">
        <f>SUMIFS(Data!$I:$I,Data!$B:$B,$B36,Data!$G:$G,"&lt;="&amp;BK$2,Data!$H:$H,"&gt;="&amp;BK$2)</f>
        <v>0</v>
      </c>
      <c r="BL36" s="21">
        <f>SUMIFS(Data!$I:$I,Data!$B:$B,$B36,Data!$G:$G,"&lt;="&amp;BL$2,Data!$H:$H,"&gt;="&amp;BL$2)</f>
        <v>0</v>
      </c>
      <c r="BM36" s="21">
        <f>SUMIFS(Data!$I:$I,Data!$B:$B,$B36,Data!$G:$G,"&lt;="&amp;BM$2,Data!$H:$H,"&gt;="&amp;BM$2)</f>
        <v>0</v>
      </c>
      <c r="BN36" s="21">
        <f>SUMIFS(Data!$I:$I,Data!$B:$B,$B36,Data!$G:$G,"&lt;="&amp;BN$2,Data!$H:$H,"&gt;="&amp;BN$2)</f>
        <v>0</v>
      </c>
      <c r="BO36" s="21">
        <f>SUMIFS(Data!$I:$I,Data!$B:$B,$B36,Data!$G:$G,"&lt;="&amp;BO$2,Data!$H:$H,"&gt;="&amp;BO$2)</f>
        <v>0</v>
      </c>
      <c r="BP36" s="21">
        <f>SUMIFS(Data!$I:$I,Data!$B:$B,$B36,Data!$G:$G,"&lt;="&amp;BP$2,Data!$H:$H,"&gt;="&amp;BP$2)</f>
        <v>0</v>
      </c>
      <c r="BQ36" s="21">
        <f>SUMIFS(Data!$I:$I,Data!$B:$B,$B36,Data!$G:$G,"&lt;="&amp;BQ$2,Data!$H:$H,"&gt;="&amp;BQ$2)</f>
        <v>0</v>
      </c>
      <c r="BR36" s="21">
        <f>SUMIFS(Data!$I:$I,Data!$B:$B,$B36,Data!$G:$G,"&lt;="&amp;BR$2,Data!$H:$H,"&gt;="&amp;BR$2)</f>
        <v>0</v>
      </c>
      <c r="BS36" s="21">
        <f>SUMIFS(Data!$I:$I,Data!$B:$B,$B36,Data!$G:$G,"&lt;="&amp;BS$2,Data!$H:$H,"&gt;="&amp;BS$2)</f>
        <v>0</v>
      </c>
      <c r="BT36" s="21">
        <f>SUMIFS(Data!$I:$I,Data!$B:$B,$B36,Data!$G:$G,"&lt;="&amp;BT$2,Data!$H:$H,"&gt;="&amp;BT$2)</f>
        <v>0</v>
      </c>
      <c r="BU36" s="21">
        <f>SUMIFS(Data!$I:$I,Data!$B:$B,$B36,Data!$G:$G,"&lt;="&amp;BU$2,Data!$H:$H,"&gt;="&amp;BU$2)</f>
        <v>0</v>
      </c>
      <c r="BV36" s="21">
        <f>SUMIFS(Data!$I:$I,Data!$B:$B,$B36,Data!$G:$G,"&lt;="&amp;BV$2,Data!$H:$H,"&gt;="&amp;BV$2)</f>
        <v>0</v>
      </c>
      <c r="BW36" s="21">
        <f>SUMIFS(Data!$I:$I,Data!$B:$B,$B36,Data!$G:$G,"&lt;="&amp;BW$2,Data!$H:$H,"&gt;="&amp;BW$2)</f>
        <v>0</v>
      </c>
      <c r="BX36" s="21">
        <f>SUMIFS(Data!$I:$I,Data!$B:$B,$B36,Data!$G:$G,"&lt;="&amp;BX$2,Data!$H:$H,"&gt;="&amp;BX$2)</f>
        <v>0</v>
      </c>
      <c r="BY36" s="21">
        <f>SUMIFS(Data!$I:$I,Data!$B:$B,$B36,Data!$G:$G,"&lt;="&amp;BY$2,Data!$H:$H,"&gt;="&amp;BY$2)</f>
        <v>0</v>
      </c>
      <c r="BZ36" s="21">
        <f>SUMIFS(Data!$I:$I,Data!$B:$B,$B36,Data!$G:$G,"&lt;="&amp;BZ$2,Data!$H:$H,"&gt;="&amp;BZ$2)</f>
        <v>0</v>
      </c>
      <c r="CA36" s="22">
        <f t="shared" si="66"/>
        <v>83000.000000000015</v>
      </c>
    </row>
    <row r="37" spans="2:79" x14ac:dyDescent="0.25">
      <c r="B37" s="11" t="s">
        <v>151</v>
      </c>
      <c r="C37" s="11" t="str">
        <f>VLOOKUP(B37,Data!B:C,2,FALSE)</f>
        <v>JREFII</v>
      </c>
      <c r="D37" s="21">
        <f>SUMIFS(Data!$I:$I,Data!$B:$B,$B37,Data!$G:$G,"&lt;="&amp;D$2,Data!$H:$H,"&gt;="&amp;D$2)</f>
        <v>0</v>
      </c>
      <c r="E37" s="21">
        <f>SUMIFS(Data!$I:$I,Data!$B:$B,$B37,Data!$G:$G,"&lt;="&amp;E$2,Data!$H:$H,"&gt;="&amp;E$2)</f>
        <v>0</v>
      </c>
      <c r="F37" s="21">
        <f>SUMIFS(Data!$I:$I,Data!$B:$B,$B37,Data!$G:$G,"&lt;="&amp;F$2,Data!$H:$H,"&gt;="&amp;F$2)</f>
        <v>0</v>
      </c>
      <c r="G37" s="21">
        <f>SUMIFS(Data!$I:$I,Data!$B:$B,$B37,Data!$G:$G,"&lt;="&amp;G$2,Data!$H:$H,"&gt;="&amp;G$2)</f>
        <v>0</v>
      </c>
      <c r="H37" s="21">
        <f>SUMIFS(Data!$I:$I,Data!$B:$B,$B37,Data!$G:$G,"&lt;="&amp;H$2,Data!$H:$H,"&gt;="&amp;H$2)</f>
        <v>0</v>
      </c>
      <c r="I37" s="21">
        <f>SUMIFS(Data!$I:$I,Data!$B:$B,$B37,Data!$G:$G,"&lt;="&amp;I$2,Data!$H:$H,"&gt;="&amp;I$2)</f>
        <v>0</v>
      </c>
      <c r="J37" s="21">
        <f>SUMIFS(Data!$I:$I,Data!$B:$B,$B37,Data!$G:$G,"&lt;="&amp;J$2,Data!$H:$H,"&gt;="&amp;J$2)</f>
        <v>5000</v>
      </c>
      <c r="K37" s="21">
        <f>SUMIFS(Data!$I:$I,Data!$B:$B,$B37,Data!$G:$G,"&lt;="&amp;K$2,Data!$H:$H,"&gt;="&amp;K$2)</f>
        <v>5000</v>
      </c>
      <c r="L37" s="21">
        <f>SUMIFS(Data!$I:$I,Data!$B:$B,$B37,Data!$G:$G,"&lt;="&amp;L$2,Data!$H:$H,"&gt;="&amp;L$2)</f>
        <v>6666.666666666667</v>
      </c>
      <c r="M37" s="21">
        <f>SUMIFS(Data!$I:$I,Data!$B:$B,$B37,Data!$G:$G,"&lt;="&amp;M$2,Data!$H:$H,"&gt;="&amp;M$2)</f>
        <v>20000</v>
      </c>
      <c r="N37" s="21">
        <f>SUMIFS(Data!$I:$I,Data!$B:$B,$B37,Data!$G:$G,"&lt;="&amp;N$2,Data!$H:$H,"&gt;="&amp;N$2)</f>
        <v>20000</v>
      </c>
      <c r="O37" s="21">
        <f>SUMIFS(Data!$I:$I,Data!$B:$B,$B37,Data!$G:$G,"&lt;="&amp;O$2,Data!$H:$H,"&gt;="&amp;O$2)</f>
        <v>60000</v>
      </c>
      <c r="P37" s="21">
        <f>SUMIFS(Data!$I:$I,Data!$B:$B,$B37,Data!$G:$G,"&lt;="&amp;P$2,Data!$H:$H,"&gt;="&amp;P$2)</f>
        <v>41666.666666666672</v>
      </c>
      <c r="Q37" s="21">
        <f>SUMIFS(Data!$I:$I,Data!$B:$B,$B37,Data!$G:$G,"&lt;="&amp;Q$2,Data!$H:$H,"&gt;="&amp;Q$2)</f>
        <v>41666.666666666672</v>
      </c>
      <c r="R37" s="21">
        <f>SUMIFS(Data!$I:$I,Data!$B:$B,$B37,Data!$G:$G,"&lt;="&amp;R$2,Data!$H:$H,"&gt;="&amp;R$2)</f>
        <v>0</v>
      </c>
      <c r="S37" s="21">
        <f>SUMIFS(Data!$I:$I,Data!$B:$B,$B37,Data!$G:$G,"&lt;="&amp;S$2,Data!$H:$H,"&gt;="&amp;S$2)</f>
        <v>0</v>
      </c>
      <c r="T37" s="21">
        <f>SUMIFS(Data!$I:$I,Data!$B:$B,$B37,Data!$G:$G,"&lt;="&amp;T$2,Data!$H:$H,"&gt;="&amp;T$2)</f>
        <v>0</v>
      </c>
      <c r="U37" s="21">
        <f>SUMIFS(Data!$I:$I,Data!$B:$B,$B37,Data!$G:$G,"&lt;="&amp;U$2,Data!$H:$H,"&gt;="&amp;U$2)</f>
        <v>0</v>
      </c>
      <c r="V37" s="21">
        <f>SUMIFS(Data!$I:$I,Data!$B:$B,$B37,Data!$G:$G,"&lt;="&amp;V$2,Data!$H:$H,"&gt;="&amp;V$2)</f>
        <v>0</v>
      </c>
      <c r="W37" s="21">
        <f>SUMIFS(Data!$I:$I,Data!$B:$B,$B37,Data!$G:$G,"&lt;="&amp;W$2,Data!$H:$H,"&gt;="&amp;W$2)</f>
        <v>0</v>
      </c>
      <c r="X37" s="21">
        <f>SUMIFS(Data!$I:$I,Data!$B:$B,$B37,Data!$G:$G,"&lt;="&amp;X$2,Data!$H:$H,"&gt;="&amp;X$2)</f>
        <v>0</v>
      </c>
      <c r="Y37" s="21">
        <f>SUMIFS(Data!$I:$I,Data!$B:$B,$B37,Data!$G:$G,"&lt;="&amp;Y$2,Data!$H:$H,"&gt;="&amp;Y$2)</f>
        <v>0</v>
      </c>
      <c r="Z37" s="21">
        <f>SUMIFS(Data!$I:$I,Data!$B:$B,$B37,Data!$G:$G,"&lt;="&amp;Z$2,Data!$H:$H,"&gt;="&amp;Z$2)</f>
        <v>0</v>
      </c>
      <c r="AA37" s="21">
        <f>SUMIFS(Data!$I:$I,Data!$B:$B,$B37,Data!$G:$G,"&lt;="&amp;AA$2,Data!$H:$H,"&gt;="&amp;AA$2)</f>
        <v>0</v>
      </c>
      <c r="AB37" s="21">
        <f>SUMIFS(Data!$I:$I,Data!$B:$B,$B37,Data!$G:$G,"&lt;="&amp;AB$2,Data!$H:$H,"&gt;="&amp;AB$2)</f>
        <v>0</v>
      </c>
      <c r="AC37" s="21">
        <f>SUMIFS(Data!$I:$I,Data!$B:$B,$B37,Data!$G:$G,"&lt;="&amp;AC$2,Data!$H:$H,"&gt;="&amp;AC$2)</f>
        <v>0</v>
      </c>
      <c r="AD37" s="21">
        <f>SUMIFS(Data!$I:$I,Data!$B:$B,$B37,Data!$G:$G,"&lt;="&amp;AD$2,Data!$H:$H,"&gt;="&amp;AD$2)</f>
        <v>0</v>
      </c>
      <c r="AE37" s="21">
        <f>SUMIFS(Data!$I:$I,Data!$B:$B,$B37,Data!$G:$G,"&lt;="&amp;AE$2,Data!$H:$H,"&gt;="&amp;AE$2)</f>
        <v>0</v>
      </c>
      <c r="AF37" s="21">
        <f>SUMIFS(Data!$I:$I,Data!$B:$B,$B37,Data!$G:$G,"&lt;="&amp;AF$2,Data!$H:$H,"&gt;="&amp;AF$2)</f>
        <v>0</v>
      </c>
      <c r="AG37" s="21">
        <f>SUMIFS(Data!$I:$I,Data!$B:$B,$B37,Data!$G:$G,"&lt;="&amp;AG$2,Data!$H:$H,"&gt;="&amp;AG$2)</f>
        <v>0</v>
      </c>
      <c r="AH37" s="21">
        <f>SUMIFS(Data!$I:$I,Data!$B:$B,$B37,Data!$G:$G,"&lt;="&amp;AH$2,Data!$H:$H,"&gt;="&amp;AH$2)</f>
        <v>0</v>
      </c>
      <c r="AI37" s="21">
        <f>SUMIFS(Data!$I:$I,Data!$B:$B,$B37,Data!$G:$G,"&lt;="&amp;AI$2,Data!$H:$H,"&gt;="&amp;AI$2)</f>
        <v>0</v>
      </c>
      <c r="AJ37" s="21">
        <f>SUMIFS(Data!$I:$I,Data!$B:$B,$B37,Data!$G:$G,"&lt;="&amp;AJ$2,Data!$H:$H,"&gt;="&amp;AJ$2)</f>
        <v>0</v>
      </c>
      <c r="AK37" s="21">
        <f>SUMIFS(Data!$I:$I,Data!$B:$B,$B37,Data!$G:$G,"&lt;="&amp;AK$2,Data!$H:$H,"&gt;="&amp;AK$2)</f>
        <v>0</v>
      </c>
      <c r="AL37" s="21">
        <f>SUMIFS(Data!$I:$I,Data!$B:$B,$B37,Data!$G:$G,"&lt;="&amp;AL$2,Data!$H:$H,"&gt;="&amp;AL$2)</f>
        <v>0</v>
      </c>
      <c r="AM37" s="21">
        <f>SUMIFS(Data!$I:$I,Data!$B:$B,$B37,Data!$G:$G,"&lt;="&amp;AM$2,Data!$H:$H,"&gt;="&amp;AM$2)</f>
        <v>0</v>
      </c>
      <c r="AN37" s="21">
        <f>SUMIFS(Data!$I:$I,Data!$B:$B,$B37,Data!$G:$G,"&lt;="&amp;AN$2,Data!$H:$H,"&gt;="&amp;AN$2)</f>
        <v>0</v>
      </c>
      <c r="AO37" s="21">
        <f>SUMIFS(Data!$I:$I,Data!$B:$B,$B37,Data!$G:$G,"&lt;="&amp;AO$2,Data!$H:$H,"&gt;="&amp;AO$2)</f>
        <v>0</v>
      </c>
      <c r="AP37" s="21">
        <f>SUMIFS(Data!$I:$I,Data!$B:$B,$B37,Data!$G:$G,"&lt;="&amp;AP$2,Data!$H:$H,"&gt;="&amp;AP$2)</f>
        <v>0</v>
      </c>
      <c r="AQ37" s="21">
        <f>SUMIFS(Data!$I:$I,Data!$B:$B,$B37,Data!$G:$G,"&lt;="&amp;AQ$2,Data!$H:$H,"&gt;="&amp;AQ$2)</f>
        <v>0</v>
      </c>
      <c r="AR37" s="21">
        <f>SUMIFS(Data!$I:$I,Data!$B:$B,$B37,Data!$G:$G,"&lt;="&amp;AR$2,Data!$H:$H,"&gt;="&amp;AR$2)</f>
        <v>0</v>
      </c>
      <c r="AS37" s="21">
        <f>SUMIFS(Data!$I:$I,Data!$B:$B,$B37,Data!$G:$G,"&lt;="&amp;AS$2,Data!$H:$H,"&gt;="&amp;AS$2)</f>
        <v>0</v>
      </c>
      <c r="AT37" s="21">
        <f>SUMIFS(Data!$I:$I,Data!$B:$B,$B37,Data!$G:$G,"&lt;="&amp;AT$2,Data!$H:$H,"&gt;="&amp;AT$2)</f>
        <v>0</v>
      </c>
      <c r="AU37" s="21">
        <f>SUMIFS(Data!$I:$I,Data!$B:$B,$B37,Data!$G:$G,"&lt;="&amp;AU$2,Data!$H:$H,"&gt;="&amp;AU$2)</f>
        <v>0</v>
      </c>
      <c r="AV37" s="21">
        <f>SUMIFS(Data!$I:$I,Data!$B:$B,$B37,Data!$G:$G,"&lt;="&amp;AV$2,Data!$H:$H,"&gt;="&amp;AV$2)</f>
        <v>0</v>
      </c>
      <c r="AW37" s="21">
        <f>SUMIFS(Data!$I:$I,Data!$B:$B,$B37,Data!$G:$G,"&lt;="&amp;AW$2,Data!$H:$H,"&gt;="&amp;AW$2)</f>
        <v>0</v>
      </c>
      <c r="AX37" s="21">
        <f>SUMIFS(Data!$I:$I,Data!$B:$B,$B37,Data!$G:$G,"&lt;="&amp;AX$2,Data!$H:$H,"&gt;="&amp;AX$2)</f>
        <v>0</v>
      </c>
      <c r="AY37" s="21">
        <f>SUMIFS(Data!$I:$I,Data!$B:$B,$B37,Data!$G:$G,"&lt;="&amp;AY$2,Data!$H:$H,"&gt;="&amp;AY$2)</f>
        <v>0</v>
      </c>
      <c r="AZ37" s="21">
        <f>SUMIFS(Data!$I:$I,Data!$B:$B,$B37,Data!$G:$G,"&lt;="&amp;AZ$2,Data!$H:$H,"&gt;="&amp;AZ$2)</f>
        <v>0</v>
      </c>
      <c r="BA37" s="21">
        <f>SUMIFS(Data!$I:$I,Data!$B:$B,$B37,Data!$G:$G,"&lt;="&amp;BA$2,Data!$H:$H,"&gt;="&amp;BA$2)</f>
        <v>0</v>
      </c>
      <c r="BB37" s="21">
        <f>SUMIFS(Data!$I:$I,Data!$B:$B,$B37,Data!$G:$G,"&lt;="&amp;BB$2,Data!$H:$H,"&gt;="&amp;BB$2)</f>
        <v>0</v>
      </c>
      <c r="BC37" s="21">
        <f>SUMIFS(Data!$I:$I,Data!$B:$B,$B37,Data!$G:$G,"&lt;="&amp;BC$2,Data!$H:$H,"&gt;="&amp;BC$2)</f>
        <v>0</v>
      </c>
      <c r="BD37" s="21">
        <f>SUMIFS(Data!$I:$I,Data!$B:$B,$B37,Data!$G:$G,"&lt;="&amp;BD$2,Data!$H:$H,"&gt;="&amp;BD$2)</f>
        <v>0</v>
      </c>
      <c r="BE37" s="21">
        <f>SUMIFS(Data!$I:$I,Data!$B:$B,$B37,Data!$G:$G,"&lt;="&amp;BE$2,Data!$H:$H,"&gt;="&amp;BE$2)</f>
        <v>0</v>
      </c>
      <c r="BF37" s="21">
        <f>SUMIFS(Data!$I:$I,Data!$B:$B,$B37,Data!$G:$G,"&lt;="&amp;BF$2,Data!$H:$H,"&gt;="&amp;BF$2)</f>
        <v>0</v>
      </c>
      <c r="BG37" s="21">
        <f>SUMIFS(Data!$I:$I,Data!$B:$B,$B37,Data!$G:$G,"&lt;="&amp;BG$2,Data!$H:$H,"&gt;="&amp;BG$2)</f>
        <v>0</v>
      </c>
      <c r="BH37" s="21">
        <f>SUMIFS(Data!$I:$I,Data!$B:$B,$B37,Data!$G:$G,"&lt;="&amp;BH$2,Data!$H:$H,"&gt;="&amp;BH$2)</f>
        <v>0</v>
      </c>
      <c r="BI37" s="21">
        <f>SUMIFS(Data!$I:$I,Data!$B:$B,$B37,Data!$G:$G,"&lt;="&amp;BI$2,Data!$H:$H,"&gt;="&amp;BI$2)</f>
        <v>0</v>
      </c>
      <c r="BJ37" s="21">
        <f>SUMIFS(Data!$I:$I,Data!$B:$B,$B37,Data!$G:$G,"&lt;="&amp;BJ$2,Data!$H:$H,"&gt;="&amp;BJ$2)</f>
        <v>0</v>
      </c>
      <c r="BK37" s="21">
        <f>SUMIFS(Data!$I:$I,Data!$B:$B,$B37,Data!$G:$G,"&lt;="&amp;BK$2,Data!$H:$H,"&gt;="&amp;BK$2)</f>
        <v>0</v>
      </c>
      <c r="BL37" s="21">
        <f>SUMIFS(Data!$I:$I,Data!$B:$B,$B37,Data!$G:$G,"&lt;="&amp;BL$2,Data!$H:$H,"&gt;="&amp;BL$2)</f>
        <v>0</v>
      </c>
      <c r="BM37" s="21">
        <f>SUMIFS(Data!$I:$I,Data!$B:$B,$B37,Data!$G:$G,"&lt;="&amp;BM$2,Data!$H:$H,"&gt;="&amp;BM$2)</f>
        <v>0</v>
      </c>
      <c r="BN37" s="21">
        <f>SUMIFS(Data!$I:$I,Data!$B:$B,$B37,Data!$G:$G,"&lt;="&amp;BN$2,Data!$H:$H,"&gt;="&amp;BN$2)</f>
        <v>0</v>
      </c>
      <c r="BO37" s="21">
        <f>SUMIFS(Data!$I:$I,Data!$B:$B,$B37,Data!$G:$G,"&lt;="&amp;BO$2,Data!$H:$H,"&gt;="&amp;BO$2)</f>
        <v>0</v>
      </c>
      <c r="BP37" s="21">
        <f>SUMIFS(Data!$I:$I,Data!$B:$B,$B37,Data!$G:$G,"&lt;="&amp;BP$2,Data!$H:$H,"&gt;="&amp;BP$2)</f>
        <v>0</v>
      </c>
      <c r="BQ37" s="21">
        <f>SUMIFS(Data!$I:$I,Data!$B:$B,$B37,Data!$G:$G,"&lt;="&amp;BQ$2,Data!$H:$H,"&gt;="&amp;BQ$2)</f>
        <v>0</v>
      </c>
      <c r="BR37" s="21">
        <f>SUMIFS(Data!$I:$I,Data!$B:$B,$B37,Data!$G:$G,"&lt;="&amp;BR$2,Data!$H:$H,"&gt;="&amp;BR$2)</f>
        <v>0</v>
      </c>
      <c r="BS37" s="21">
        <f>SUMIFS(Data!$I:$I,Data!$B:$B,$B37,Data!$G:$G,"&lt;="&amp;BS$2,Data!$H:$H,"&gt;="&amp;BS$2)</f>
        <v>0</v>
      </c>
      <c r="BT37" s="21">
        <f>SUMIFS(Data!$I:$I,Data!$B:$B,$B37,Data!$G:$G,"&lt;="&amp;BT$2,Data!$H:$H,"&gt;="&amp;BT$2)</f>
        <v>0</v>
      </c>
      <c r="BU37" s="21">
        <f>SUMIFS(Data!$I:$I,Data!$B:$B,$B37,Data!$G:$G,"&lt;="&amp;BU$2,Data!$H:$H,"&gt;="&amp;BU$2)</f>
        <v>0</v>
      </c>
      <c r="BV37" s="21">
        <f>SUMIFS(Data!$I:$I,Data!$B:$B,$B37,Data!$G:$G,"&lt;="&amp;BV$2,Data!$H:$H,"&gt;="&amp;BV$2)</f>
        <v>0</v>
      </c>
      <c r="BW37" s="21">
        <f>SUMIFS(Data!$I:$I,Data!$B:$B,$B37,Data!$G:$G,"&lt;="&amp;BW$2,Data!$H:$H,"&gt;="&amp;BW$2)</f>
        <v>0</v>
      </c>
      <c r="BX37" s="21">
        <f>SUMIFS(Data!$I:$I,Data!$B:$B,$B37,Data!$G:$G,"&lt;="&amp;BX$2,Data!$H:$H,"&gt;="&amp;BX$2)</f>
        <v>0</v>
      </c>
      <c r="BY37" s="21">
        <f>SUMIFS(Data!$I:$I,Data!$B:$B,$B37,Data!$G:$G,"&lt;="&amp;BY$2,Data!$H:$H,"&gt;="&amp;BY$2)</f>
        <v>0</v>
      </c>
      <c r="BZ37" s="21">
        <f>SUMIFS(Data!$I:$I,Data!$B:$B,$B37,Data!$G:$G,"&lt;="&amp;BZ$2,Data!$H:$H,"&gt;="&amp;BZ$2)</f>
        <v>0</v>
      </c>
      <c r="CA37" s="22">
        <f t="shared" si="66"/>
        <v>200000</v>
      </c>
    </row>
    <row r="38" spans="2:79" x14ac:dyDescent="0.25">
      <c r="B38" s="11" t="s">
        <v>107</v>
      </c>
      <c r="C38" s="11" t="str">
        <f>VLOOKUP(B38,Data!B:C,2,FALSE)</f>
        <v>JREFII</v>
      </c>
      <c r="D38" s="21">
        <f>SUMIFS(Data!$I:$I,Data!$B:$B,$B38,Data!$G:$G,"&lt;="&amp;D$2,Data!$H:$H,"&gt;="&amp;D$2)</f>
        <v>0</v>
      </c>
      <c r="E38" s="21">
        <f>SUMIFS(Data!$I:$I,Data!$B:$B,$B38,Data!$G:$G,"&lt;="&amp;E$2,Data!$H:$H,"&gt;="&amp;E$2)</f>
        <v>0</v>
      </c>
      <c r="F38" s="21">
        <f>SUMIFS(Data!$I:$I,Data!$B:$B,$B38,Data!$G:$G,"&lt;="&amp;F$2,Data!$H:$H,"&gt;="&amp;F$2)</f>
        <v>0</v>
      </c>
      <c r="G38" s="21">
        <f>SUMIFS(Data!$I:$I,Data!$B:$B,$B38,Data!$G:$G,"&lt;="&amp;G$2,Data!$H:$H,"&gt;="&amp;G$2)</f>
        <v>4333.3333333333339</v>
      </c>
      <c r="H38" s="21">
        <f>SUMIFS(Data!$I:$I,Data!$B:$B,$B38,Data!$G:$G,"&lt;="&amp;H$2,Data!$H:$H,"&gt;="&amp;H$2)</f>
        <v>4333.3333333333339</v>
      </c>
      <c r="I38" s="21">
        <f>SUMIFS(Data!$I:$I,Data!$B:$B,$B38,Data!$G:$G,"&lt;="&amp;I$2,Data!$H:$H,"&gt;="&amp;I$2)</f>
        <v>4333.3333333333339</v>
      </c>
      <c r="J38" s="21">
        <f>SUMIFS(Data!$I:$I,Data!$B:$B,$B38,Data!$G:$G,"&lt;="&amp;J$2,Data!$H:$H,"&gt;="&amp;J$2)</f>
        <v>8333.3333333333339</v>
      </c>
      <c r="K38" s="21">
        <f>SUMIFS(Data!$I:$I,Data!$B:$B,$B38,Data!$G:$G,"&lt;="&amp;K$2,Data!$H:$H,"&gt;="&amp;K$2)</f>
        <v>8333.3333333333339</v>
      </c>
      <c r="L38" s="21">
        <f>SUMIFS(Data!$I:$I,Data!$B:$B,$B38,Data!$G:$G,"&lt;="&amp;L$2,Data!$H:$H,"&gt;="&amp;L$2)</f>
        <v>8333.3333333333339</v>
      </c>
      <c r="M38" s="21">
        <f>SUMIFS(Data!$I:$I,Data!$B:$B,$B38,Data!$G:$G,"&lt;="&amp;M$2,Data!$H:$H,"&gt;="&amp;M$2)</f>
        <v>5000</v>
      </c>
      <c r="N38" s="21">
        <f>SUMIFS(Data!$I:$I,Data!$B:$B,$B38,Data!$G:$G,"&lt;="&amp;N$2,Data!$H:$H,"&gt;="&amp;N$2)</f>
        <v>5000</v>
      </c>
      <c r="O38" s="21">
        <f>SUMIFS(Data!$I:$I,Data!$B:$B,$B38,Data!$G:$G,"&lt;="&amp;O$2,Data!$H:$H,"&gt;="&amp;O$2)</f>
        <v>5000</v>
      </c>
      <c r="P38" s="21">
        <f>SUMIFS(Data!$I:$I,Data!$B:$B,$B38,Data!$G:$G,"&lt;="&amp;P$2,Data!$H:$H,"&gt;="&amp;P$2)</f>
        <v>0</v>
      </c>
      <c r="Q38" s="21">
        <f>SUMIFS(Data!$I:$I,Data!$B:$B,$B38,Data!$G:$G,"&lt;="&amp;Q$2,Data!$H:$H,"&gt;="&amp;Q$2)</f>
        <v>0</v>
      </c>
      <c r="R38" s="21">
        <f>SUMIFS(Data!$I:$I,Data!$B:$B,$B38,Data!$G:$G,"&lt;="&amp;R$2,Data!$H:$H,"&gt;="&amp;R$2)</f>
        <v>0</v>
      </c>
      <c r="S38" s="21">
        <f>SUMIFS(Data!$I:$I,Data!$B:$B,$B38,Data!$G:$G,"&lt;="&amp;S$2,Data!$H:$H,"&gt;="&amp;S$2)</f>
        <v>0</v>
      </c>
      <c r="T38" s="21">
        <f>SUMIFS(Data!$I:$I,Data!$B:$B,$B38,Data!$G:$G,"&lt;="&amp;T$2,Data!$H:$H,"&gt;="&amp;T$2)</f>
        <v>0</v>
      </c>
      <c r="U38" s="21">
        <f>SUMIFS(Data!$I:$I,Data!$B:$B,$B38,Data!$G:$G,"&lt;="&amp;U$2,Data!$H:$H,"&gt;="&amp;U$2)</f>
        <v>0</v>
      </c>
      <c r="V38" s="21">
        <f>SUMIFS(Data!$I:$I,Data!$B:$B,$B38,Data!$G:$G,"&lt;="&amp;V$2,Data!$H:$H,"&gt;="&amp;V$2)</f>
        <v>0</v>
      </c>
      <c r="W38" s="21">
        <f>SUMIFS(Data!$I:$I,Data!$B:$B,$B38,Data!$G:$G,"&lt;="&amp;W$2,Data!$H:$H,"&gt;="&amp;W$2)</f>
        <v>0</v>
      </c>
      <c r="X38" s="21">
        <f>SUMIFS(Data!$I:$I,Data!$B:$B,$B38,Data!$G:$G,"&lt;="&amp;X$2,Data!$H:$H,"&gt;="&amp;X$2)</f>
        <v>0</v>
      </c>
      <c r="Y38" s="21">
        <f>SUMIFS(Data!$I:$I,Data!$B:$B,$B38,Data!$G:$G,"&lt;="&amp;Y$2,Data!$H:$H,"&gt;="&amp;Y$2)</f>
        <v>0</v>
      </c>
      <c r="Z38" s="21">
        <f>SUMIFS(Data!$I:$I,Data!$B:$B,$B38,Data!$G:$G,"&lt;="&amp;Z$2,Data!$H:$H,"&gt;="&amp;Z$2)</f>
        <v>0</v>
      </c>
      <c r="AA38" s="21">
        <f>SUMIFS(Data!$I:$I,Data!$B:$B,$B38,Data!$G:$G,"&lt;="&amp;AA$2,Data!$H:$H,"&gt;="&amp;AA$2)</f>
        <v>0</v>
      </c>
      <c r="AB38" s="21">
        <f>SUMIFS(Data!$I:$I,Data!$B:$B,$B38,Data!$G:$G,"&lt;="&amp;AB$2,Data!$H:$H,"&gt;="&amp;AB$2)</f>
        <v>0</v>
      </c>
      <c r="AC38" s="21">
        <f>SUMIFS(Data!$I:$I,Data!$B:$B,$B38,Data!$G:$G,"&lt;="&amp;AC$2,Data!$H:$H,"&gt;="&amp;AC$2)</f>
        <v>0</v>
      </c>
      <c r="AD38" s="21">
        <f>SUMIFS(Data!$I:$I,Data!$B:$B,$B38,Data!$G:$G,"&lt;="&amp;AD$2,Data!$H:$H,"&gt;="&amp;AD$2)</f>
        <v>0</v>
      </c>
      <c r="AE38" s="21">
        <f>SUMIFS(Data!$I:$I,Data!$B:$B,$B38,Data!$G:$G,"&lt;="&amp;AE$2,Data!$H:$H,"&gt;="&amp;AE$2)</f>
        <v>0</v>
      </c>
      <c r="AF38" s="21">
        <f>SUMIFS(Data!$I:$I,Data!$B:$B,$B38,Data!$G:$G,"&lt;="&amp;AF$2,Data!$H:$H,"&gt;="&amp;AF$2)</f>
        <v>0</v>
      </c>
      <c r="AG38" s="21">
        <f>SUMIFS(Data!$I:$I,Data!$B:$B,$B38,Data!$G:$G,"&lt;="&amp;AG$2,Data!$H:$H,"&gt;="&amp;AG$2)</f>
        <v>0</v>
      </c>
      <c r="AH38" s="21">
        <f>SUMIFS(Data!$I:$I,Data!$B:$B,$B38,Data!$G:$G,"&lt;="&amp;AH$2,Data!$H:$H,"&gt;="&amp;AH$2)</f>
        <v>0</v>
      </c>
      <c r="AI38" s="21">
        <f>SUMIFS(Data!$I:$I,Data!$B:$B,$B38,Data!$G:$G,"&lt;="&amp;AI$2,Data!$H:$H,"&gt;="&amp;AI$2)</f>
        <v>0</v>
      </c>
      <c r="AJ38" s="21">
        <f>SUMIFS(Data!$I:$I,Data!$B:$B,$B38,Data!$G:$G,"&lt;="&amp;AJ$2,Data!$H:$H,"&gt;="&amp;AJ$2)</f>
        <v>0</v>
      </c>
      <c r="AK38" s="21">
        <f>SUMIFS(Data!$I:$I,Data!$B:$B,$B38,Data!$G:$G,"&lt;="&amp;AK$2,Data!$H:$H,"&gt;="&amp;AK$2)</f>
        <v>0</v>
      </c>
      <c r="AL38" s="21">
        <f>SUMIFS(Data!$I:$I,Data!$B:$B,$B38,Data!$G:$G,"&lt;="&amp;AL$2,Data!$H:$H,"&gt;="&amp;AL$2)</f>
        <v>0</v>
      </c>
      <c r="AM38" s="21">
        <f>SUMIFS(Data!$I:$I,Data!$B:$B,$B38,Data!$G:$G,"&lt;="&amp;AM$2,Data!$H:$H,"&gt;="&amp;AM$2)</f>
        <v>0</v>
      </c>
      <c r="AN38" s="21">
        <f>SUMIFS(Data!$I:$I,Data!$B:$B,$B38,Data!$G:$G,"&lt;="&amp;AN$2,Data!$H:$H,"&gt;="&amp;AN$2)</f>
        <v>0</v>
      </c>
      <c r="AO38" s="21">
        <f>SUMIFS(Data!$I:$I,Data!$B:$B,$B38,Data!$G:$G,"&lt;="&amp;AO$2,Data!$H:$H,"&gt;="&amp;AO$2)</f>
        <v>0</v>
      </c>
      <c r="AP38" s="21">
        <f>SUMIFS(Data!$I:$I,Data!$B:$B,$B38,Data!$G:$G,"&lt;="&amp;AP$2,Data!$H:$H,"&gt;="&amp;AP$2)</f>
        <v>0</v>
      </c>
      <c r="AQ38" s="21">
        <f>SUMIFS(Data!$I:$I,Data!$B:$B,$B38,Data!$G:$G,"&lt;="&amp;AQ$2,Data!$H:$H,"&gt;="&amp;AQ$2)</f>
        <v>0</v>
      </c>
      <c r="AR38" s="21">
        <f>SUMIFS(Data!$I:$I,Data!$B:$B,$B38,Data!$G:$G,"&lt;="&amp;AR$2,Data!$H:$H,"&gt;="&amp;AR$2)</f>
        <v>0</v>
      </c>
      <c r="AS38" s="21">
        <f>SUMIFS(Data!$I:$I,Data!$B:$B,$B38,Data!$G:$G,"&lt;="&amp;AS$2,Data!$H:$H,"&gt;="&amp;AS$2)</f>
        <v>0</v>
      </c>
      <c r="AT38" s="21">
        <f>SUMIFS(Data!$I:$I,Data!$B:$B,$B38,Data!$G:$G,"&lt;="&amp;AT$2,Data!$H:$H,"&gt;="&amp;AT$2)</f>
        <v>0</v>
      </c>
      <c r="AU38" s="21">
        <f>SUMIFS(Data!$I:$I,Data!$B:$B,$B38,Data!$G:$G,"&lt;="&amp;AU$2,Data!$H:$H,"&gt;="&amp;AU$2)</f>
        <v>0</v>
      </c>
      <c r="AV38" s="21">
        <f>SUMIFS(Data!$I:$I,Data!$B:$B,$B38,Data!$G:$G,"&lt;="&amp;AV$2,Data!$H:$H,"&gt;="&amp;AV$2)</f>
        <v>0</v>
      </c>
      <c r="AW38" s="21">
        <f>SUMIFS(Data!$I:$I,Data!$B:$B,$B38,Data!$G:$G,"&lt;="&amp;AW$2,Data!$H:$H,"&gt;="&amp;AW$2)</f>
        <v>0</v>
      </c>
      <c r="AX38" s="21">
        <f>SUMIFS(Data!$I:$I,Data!$B:$B,$B38,Data!$G:$G,"&lt;="&amp;AX$2,Data!$H:$H,"&gt;="&amp;AX$2)</f>
        <v>0</v>
      </c>
      <c r="AY38" s="21">
        <f>SUMIFS(Data!$I:$I,Data!$B:$B,$B38,Data!$G:$G,"&lt;="&amp;AY$2,Data!$H:$H,"&gt;="&amp;AY$2)</f>
        <v>0</v>
      </c>
      <c r="AZ38" s="21">
        <f>SUMIFS(Data!$I:$I,Data!$B:$B,$B38,Data!$G:$G,"&lt;="&amp;AZ$2,Data!$H:$H,"&gt;="&amp;AZ$2)</f>
        <v>0</v>
      </c>
      <c r="BA38" s="21">
        <f>SUMIFS(Data!$I:$I,Data!$B:$B,$B38,Data!$G:$G,"&lt;="&amp;BA$2,Data!$H:$H,"&gt;="&amp;BA$2)</f>
        <v>0</v>
      </c>
      <c r="BB38" s="21">
        <f>SUMIFS(Data!$I:$I,Data!$B:$B,$B38,Data!$G:$G,"&lt;="&amp;BB$2,Data!$H:$H,"&gt;="&amp;BB$2)</f>
        <v>0</v>
      </c>
      <c r="BC38" s="21">
        <f>SUMIFS(Data!$I:$I,Data!$B:$B,$B38,Data!$G:$G,"&lt;="&amp;BC$2,Data!$H:$H,"&gt;="&amp;BC$2)</f>
        <v>0</v>
      </c>
      <c r="BD38" s="21">
        <f>SUMIFS(Data!$I:$I,Data!$B:$B,$B38,Data!$G:$G,"&lt;="&amp;BD$2,Data!$H:$H,"&gt;="&amp;BD$2)</f>
        <v>0</v>
      </c>
      <c r="BE38" s="21">
        <f>SUMIFS(Data!$I:$I,Data!$B:$B,$B38,Data!$G:$G,"&lt;="&amp;BE$2,Data!$H:$H,"&gt;="&amp;BE$2)</f>
        <v>0</v>
      </c>
      <c r="BF38" s="21">
        <f>SUMIFS(Data!$I:$I,Data!$B:$B,$B38,Data!$G:$G,"&lt;="&amp;BF$2,Data!$H:$H,"&gt;="&amp;BF$2)</f>
        <v>0</v>
      </c>
      <c r="BG38" s="21">
        <f>SUMIFS(Data!$I:$I,Data!$B:$B,$B38,Data!$G:$G,"&lt;="&amp;BG$2,Data!$H:$H,"&gt;="&amp;BG$2)</f>
        <v>0</v>
      </c>
      <c r="BH38" s="21">
        <f>SUMIFS(Data!$I:$I,Data!$B:$B,$B38,Data!$G:$G,"&lt;="&amp;BH$2,Data!$H:$H,"&gt;="&amp;BH$2)</f>
        <v>0</v>
      </c>
      <c r="BI38" s="21">
        <f>SUMIFS(Data!$I:$I,Data!$B:$B,$B38,Data!$G:$G,"&lt;="&amp;BI$2,Data!$H:$H,"&gt;="&amp;BI$2)</f>
        <v>0</v>
      </c>
      <c r="BJ38" s="21">
        <f>SUMIFS(Data!$I:$I,Data!$B:$B,$B38,Data!$G:$G,"&lt;="&amp;BJ$2,Data!$H:$H,"&gt;="&amp;BJ$2)</f>
        <v>0</v>
      </c>
      <c r="BK38" s="21">
        <f>SUMIFS(Data!$I:$I,Data!$B:$B,$B38,Data!$G:$G,"&lt;="&amp;BK$2,Data!$H:$H,"&gt;="&amp;BK$2)</f>
        <v>0</v>
      </c>
      <c r="BL38" s="21">
        <f>SUMIFS(Data!$I:$I,Data!$B:$B,$B38,Data!$G:$G,"&lt;="&amp;BL$2,Data!$H:$H,"&gt;="&amp;BL$2)</f>
        <v>0</v>
      </c>
      <c r="BM38" s="21">
        <f>SUMIFS(Data!$I:$I,Data!$B:$B,$B38,Data!$G:$G,"&lt;="&amp;BM$2,Data!$H:$H,"&gt;="&amp;BM$2)</f>
        <v>0</v>
      </c>
      <c r="BN38" s="21">
        <f>SUMIFS(Data!$I:$I,Data!$B:$B,$B38,Data!$G:$G,"&lt;="&amp;BN$2,Data!$H:$H,"&gt;="&amp;BN$2)</f>
        <v>0</v>
      </c>
      <c r="BO38" s="21">
        <f>SUMIFS(Data!$I:$I,Data!$B:$B,$B38,Data!$G:$G,"&lt;="&amp;BO$2,Data!$H:$H,"&gt;="&amp;BO$2)</f>
        <v>0</v>
      </c>
      <c r="BP38" s="21">
        <f>SUMIFS(Data!$I:$I,Data!$B:$B,$B38,Data!$G:$G,"&lt;="&amp;BP$2,Data!$H:$H,"&gt;="&amp;BP$2)</f>
        <v>0</v>
      </c>
      <c r="BQ38" s="21">
        <f>SUMIFS(Data!$I:$I,Data!$B:$B,$B38,Data!$G:$G,"&lt;="&amp;BQ$2,Data!$H:$H,"&gt;="&amp;BQ$2)</f>
        <v>0</v>
      </c>
      <c r="BR38" s="21">
        <f>SUMIFS(Data!$I:$I,Data!$B:$B,$B38,Data!$G:$G,"&lt;="&amp;BR$2,Data!$H:$H,"&gt;="&amp;BR$2)</f>
        <v>0</v>
      </c>
      <c r="BS38" s="21">
        <f>SUMIFS(Data!$I:$I,Data!$B:$B,$B38,Data!$G:$G,"&lt;="&amp;BS$2,Data!$H:$H,"&gt;="&amp;BS$2)</f>
        <v>0</v>
      </c>
      <c r="BT38" s="21">
        <f>SUMIFS(Data!$I:$I,Data!$B:$B,$B38,Data!$G:$G,"&lt;="&amp;BT$2,Data!$H:$H,"&gt;="&amp;BT$2)</f>
        <v>0</v>
      </c>
      <c r="BU38" s="21">
        <f>SUMIFS(Data!$I:$I,Data!$B:$B,$B38,Data!$G:$G,"&lt;="&amp;BU$2,Data!$H:$H,"&gt;="&amp;BU$2)</f>
        <v>0</v>
      </c>
      <c r="BV38" s="21">
        <f>SUMIFS(Data!$I:$I,Data!$B:$B,$B38,Data!$G:$G,"&lt;="&amp;BV$2,Data!$H:$H,"&gt;="&amp;BV$2)</f>
        <v>0</v>
      </c>
      <c r="BW38" s="21">
        <f>SUMIFS(Data!$I:$I,Data!$B:$B,$B38,Data!$G:$G,"&lt;="&amp;BW$2,Data!$H:$H,"&gt;="&amp;BW$2)</f>
        <v>0</v>
      </c>
      <c r="BX38" s="21">
        <f>SUMIFS(Data!$I:$I,Data!$B:$B,$B38,Data!$G:$G,"&lt;="&amp;BX$2,Data!$H:$H,"&gt;="&amp;BX$2)</f>
        <v>0</v>
      </c>
      <c r="BY38" s="21">
        <f>SUMIFS(Data!$I:$I,Data!$B:$B,$B38,Data!$G:$G,"&lt;="&amp;BY$2,Data!$H:$H,"&gt;="&amp;BY$2)</f>
        <v>0</v>
      </c>
      <c r="BZ38" s="21">
        <f>SUMIFS(Data!$I:$I,Data!$B:$B,$B38,Data!$G:$G,"&lt;="&amp;BZ$2,Data!$H:$H,"&gt;="&amp;BZ$2)</f>
        <v>0</v>
      </c>
      <c r="CA38" s="22">
        <f t="shared" si="66"/>
        <v>53000.000000000007</v>
      </c>
    </row>
    <row r="39" spans="2:79" x14ac:dyDescent="0.25">
      <c r="B39" s="11" t="s">
        <v>110</v>
      </c>
      <c r="C39" s="11" t="str">
        <f>VLOOKUP(B39,Data!B:C,2,FALSE)</f>
        <v>JREFII</v>
      </c>
      <c r="D39" s="21">
        <f>SUMIFS(Data!$I:$I,Data!$B:$B,$B39,Data!$G:$G,"&lt;="&amp;D$2,Data!$H:$H,"&gt;="&amp;D$2)</f>
        <v>0</v>
      </c>
      <c r="E39" s="21">
        <f>SUMIFS(Data!$I:$I,Data!$B:$B,$B39,Data!$G:$G,"&lt;="&amp;E$2,Data!$H:$H,"&gt;="&amp;E$2)</f>
        <v>0</v>
      </c>
      <c r="F39" s="21">
        <f>SUMIFS(Data!$I:$I,Data!$B:$B,$B39,Data!$G:$G,"&lt;="&amp;F$2,Data!$H:$H,"&gt;="&amp;F$2)</f>
        <v>0</v>
      </c>
      <c r="G39" s="21">
        <f>SUMIFS(Data!$I:$I,Data!$B:$B,$B39,Data!$G:$G,"&lt;="&amp;G$2,Data!$H:$H,"&gt;="&amp;G$2)</f>
        <v>3666.666666666667</v>
      </c>
      <c r="H39" s="21">
        <f>SUMIFS(Data!$I:$I,Data!$B:$B,$B39,Data!$G:$G,"&lt;="&amp;H$2,Data!$H:$H,"&gt;="&amp;H$2)</f>
        <v>3666.666666666667</v>
      </c>
      <c r="I39" s="21">
        <f>SUMIFS(Data!$I:$I,Data!$B:$B,$B39,Data!$G:$G,"&lt;="&amp;I$2,Data!$H:$H,"&gt;="&amp;I$2)</f>
        <v>3666.666666666667</v>
      </c>
      <c r="J39" s="21">
        <f>SUMIFS(Data!$I:$I,Data!$B:$B,$B39,Data!$G:$G,"&lt;="&amp;J$2,Data!$H:$H,"&gt;="&amp;J$2)</f>
        <v>17166.666666666668</v>
      </c>
      <c r="K39" s="21">
        <f>SUMIFS(Data!$I:$I,Data!$B:$B,$B39,Data!$G:$G,"&lt;="&amp;K$2,Data!$H:$H,"&gt;="&amp;K$2)</f>
        <v>17166.666666666668</v>
      </c>
      <c r="L39" s="21">
        <f>SUMIFS(Data!$I:$I,Data!$B:$B,$B39,Data!$G:$G,"&lt;="&amp;L$2,Data!$H:$H,"&gt;="&amp;L$2)</f>
        <v>17166.666666666668</v>
      </c>
      <c r="M39" s="21">
        <f>SUMIFS(Data!$I:$I,Data!$B:$B,$B39,Data!$G:$G,"&lt;="&amp;M$2,Data!$H:$H,"&gt;="&amp;M$2)</f>
        <v>0</v>
      </c>
      <c r="N39" s="21">
        <f>SUMIFS(Data!$I:$I,Data!$B:$B,$B39,Data!$G:$G,"&lt;="&amp;N$2,Data!$H:$H,"&gt;="&amp;N$2)</f>
        <v>0</v>
      </c>
      <c r="O39" s="21">
        <f>SUMIFS(Data!$I:$I,Data!$B:$B,$B39,Data!$G:$G,"&lt;="&amp;O$2,Data!$H:$H,"&gt;="&amp;O$2)</f>
        <v>0</v>
      </c>
      <c r="P39" s="21">
        <f>SUMIFS(Data!$I:$I,Data!$B:$B,$B39,Data!$G:$G,"&lt;="&amp;P$2,Data!$H:$H,"&gt;="&amp;P$2)</f>
        <v>0</v>
      </c>
      <c r="Q39" s="21">
        <f>SUMIFS(Data!$I:$I,Data!$B:$B,$B39,Data!$G:$G,"&lt;="&amp;Q$2,Data!$H:$H,"&gt;="&amp;Q$2)</f>
        <v>0</v>
      </c>
      <c r="R39" s="21">
        <f>SUMIFS(Data!$I:$I,Data!$B:$B,$B39,Data!$G:$G,"&lt;="&amp;R$2,Data!$H:$H,"&gt;="&amp;R$2)</f>
        <v>0</v>
      </c>
      <c r="S39" s="21">
        <f>SUMIFS(Data!$I:$I,Data!$B:$B,$B39,Data!$G:$G,"&lt;="&amp;S$2,Data!$H:$H,"&gt;="&amp;S$2)</f>
        <v>16666.666666666668</v>
      </c>
      <c r="T39" s="21">
        <f>SUMIFS(Data!$I:$I,Data!$B:$B,$B39,Data!$G:$G,"&lt;="&amp;T$2,Data!$H:$H,"&gt;="&amp;T$2)</f>
        <v>16666.666666666668</v>
      </c>
      <c r="U39" s="21">
        <f>SUMIFS(Data!$I:$I,Data!$B:$B,$B39,Data!$G:$G,"&lt;="&amp;U$2,Data!$H:$H,"&gt;="&amp;U$2)</f>
        <v>16666.666666666668</v>
      </c>
      <c r="V39" s="21">
        <f>SUMIFS(Data!$I:$I,Data!$B:$B,$B39,Data!$G:$G,"&lt;="&amp;V$2,Data!$H:$H,"&gt;="&amp;V$2)</f>
        <v>0</v>
      </c>
      <c r="W39" s="21">
        <f>SUMIFS(Data!$I:$I,Data!$B:$B,$B39,Data!$G:$G,"&lt;="&amp;W$2,Data!$H:$H,"&gt;="&amp;W$2)</f>
        <v>0</v>
      </c>
      <c r="X39" s="21">
        <f>SUMIFS(Data!$I:$I,Data!$B:$B,$B39,Data!$G:$G,"&lt;="&amp;X$2,Data!$H:$H,"&gt;="&amp;X$2)</f>
        <v>0</v>
      </c>
      <c r="Y39" s="21">
        <f>SUMIFS(Data!$I:$I,Data!$B:$B,$B39,Data!$G:$G,"&lt;="&amp;Y$2,Data!$H:$H,"&gt;="&amp;Y$2)</f>
        <v>83333.333333333328</v>
      </c>
      <c r="Z39" s="21">
        <f>SUMIFS(Data!$I:$I,Data!$B:$B,$B39,Data!$G:$G,"&lt;="&amp;Z$2,Data!$H:$H,"&gt;="&amp;Z$2)</f>
        <v>83333.333333333328</v>
      </c>
      <c r="AA39" s="21">
        <f>SUMIFS(Data!$I:$I,Data!$B:$B,$B39,Data!$G:$G,"&lt;="&amp;AA$2,Data!$H:$H,"&gt;="&amp;AA$2)</f>
        <v>83333.333333333328</v>
      </c>
      <c r="AB39" s="21">
        <f>SUMIFS(Data!$I:$I,Data!$B:$B,$B39,Data!$G:$G,"&lt;="&amp;AB$2,Data!$H:$H,"&gt;="&amp;AB$2)</f>
        <v>0</v>
      </c>
      <c r="AC39" s="21">
        <f>SUMIFS(Data!$I:$I,Data!$B:$B,$B39,Data!$G:$G,"&lt;="&amp;AC$2,Data!$H:$H,"&gt;="&amp;AC$2)</f>
        <v>0</v>
      </c>
      <c r="AD39" s="21">
        <f>SUMIFS(Data!$I:$I,Data!$B:$B,$B39,Data!$G:$G,"&lt;="&amp;AD$2,Data!$H:$H,"&gt;="&amp;AD$2)</f>
        <v>0</v>
      </c>
      <c r="AE39" s="21">
        <f>SUMIFS(Data!$I:$I,Data!$B:$B,$B39,Data!$G:$G,"&lt;="&amp;AE$2,Data!$H:$H,"&gt;="&amp;AE$2)</f>
        <v>0</v>
      </c>
      <c r="AF39" s="21">
        <f>SUMIFS(Data!$I:$I,Data!$B:$B,$B39,Data!$G:$G,"&lt;="&amp;AF$2,Data!$H:$H,"&gt;="&amp;AF$2)</f>
        <v>0</v>
      </c>
      <c r="AG39" s="21">
        <f>SUMIFS(Data!$I:$I,Data!$B:$B,$B39,Data!$G:$G,"&lt;="&amp;AG$2,Data!$H:$H,"&gt;="&amp;AG$2)</f>
        <v>0</v>
      </c>
      <c r="AH39" s="21">
        <f>SUMIFS(Data!$I:$I,Data!$B:$B,$B39,Data!$G:$G,"&lt;="&amp;AH$2,Data!$H:$H,"&gt;="&amp;AH$2)</f>
        <v>0</v>
      </c>
      <c r="AI39" s="21">
        <f>SUMIFS(Data!$I:$I,Data!$B:$B,$B39,Data!$G:$G,"&lt;="&amp;AI$2,Data!$H:$H,"&gt;="&amp;AI$2)</f>
        <v>0</v>
      </c>
      <c r="AJ39" s="21">
        <f>SUMIFS(Data!$I:$I,Data!$B:$B,$B39,Data!$G:$G,"&lt;="&amp;AJ$2,Data!$H:$H,"&gt;="&amp;AJ$2)</f>
        <v>0</v>
      </c>
      <c r="AK39" s="21">
        <f>SUMIFS(Data!$I:$I,Data!$B:$B,$B39,Data!$G:$G,"&lt;="&amp;AK$2,Data!$H:$H,"&gt;="&amp;AK$2)</f>
        <v>0</v>
      </c>
      <c r="AL39" s="21">
        <f>SUMIFS(Data!$I:$I,Data!$B:$B,$B39,Data!$G:$G,"&lt;="&amp;AL$2,Data!$H:$H,"&gt;="&amp;AL$2)</f>
        <v>0</v>
      </c>
      <c r="AM39" s="21">
        <f>SUMIFS(Data!$I:$I,Data!$B:$B,$B39,Data!$G:$G,"&lt;="&amp;AM$2,Data!$H:$H,"&gt;="&amp;AM$2)</f>
        <v>0</v>
      </c>
      <c r="AN39" s="21">
        <f>SUMIFS(Data!$I:$I,Data!$B:$B,$B39,Data!$G:$G,"&lt;="&amp;AN$2,Data!$H:$H,"&gt;="&amp;AN$2)</f>
        <v>0</v>
      </c>
      <c r="AO39" s="21">
        <f>SUMIFS(Data!$I:$I,Data!$B:$B,$B39,Data!$G:$G,"&lt;="&amp;AO$2,Data!$H:$H,"&gt;="&amp;AO$2)</f>
        <v>0</v>
      </c>
      <c r="AP39" s="21">
        <f>SUMIFS(Data!$I:$I,Data!$B:$B,$B39,Data!$G:$G,"&lt;="&amp;AP$2,Data!$H:$H,"&gt;="&amp;AP$2)</f>
        <v>0</v>
      </c>
      <c r="AQ39" s="21">
        <f>SUMIFS(Data!$I:$I,Data!$B:$B,$B39,Data!$G:$G,"&lt;="&amp;AQ$2,Data!$H:$H,"&gt;="&amp;AQ$2)</f>
        <v>0</v>
      </c>
      <c r="AR39" s="21">
        <f>SUMIFS(Data!$I:$I,Data!$B:$B,$B39,Data!$G:$G,"&lt;="&amp;AR$2,Data!$H:$H,"&gt;="&amp;AR$2)</f>
        <v>0</v>
      </c>
      <c r="AS39" s="21">
        <f>SUMIFS(Data!$I:$I,Data!$B:$B,$B39,Data!$G:$G,"&lt;="&amp;AS$2,Data!$H:$H,"&gt;="&amp;AS$2)</f>
        <v>0</v>
      </c>
      <c r="AT39" s="21">
        <f>SUMIFS(Data!$I:$I,Data!$B:$B,$B39,Data!$G:$G,"&lt;="&amp;AT$2,Data!$H:$H,"&gt;="&amp;AT$2)</f>
        <v>0</v>
      </c>
      <c r="AU39" s="21">
        <f>SUMIFS(Data!$I:$I,Data!$B:$B,$B39,Data!$G:$G,"&lt;="&amp;AU$2,Data!$H:$H,"&gt;="&amp;AU$2)</f>
        <v>0</v>
      </c>
      <c r="AV39" s="21">
        <f>SUMIFS(Data!$I:$I,Data!$B:$B,$B39,Data!$G:$G,"&lt;="&amp;AV$2,Data!$H:$H,"&gt;="&amp;AV$2)</f>
        <v>0</v>
      </c>
      <c r="AW39" s="21">
        <f>SUMIFS(Data!$I:$I,Data!$B:$B,$B39,Data!$G:$G,"&lt;="&amp;AW$2,Data!$H:$H,"&gt;="&amp;AW$2)</f>
        <v>0</v>
      </c>
      <c r="AX39" s="21">
        <f>SUMIFS(Data!$I:$I,Data!$B:$B,$B39,Data!$G:$G,"&lt;="&amp;AX$2,Data!$H:$H,"&gt;="&amp;AX$2)</f>
        <v>0</v>
      </c>
      <c r="AY39" s="21">
        <f>SUMIFS(Data!$I:$I,Data!$B:$B,$B39,Data!$G:$G,"&lt;="&amp;AY$2,Data!$H:$H,"&gt;="&amp;AY$2)</f>
        <v>0</v>
      </c>
      <c r="AZ39" s="21">
        <f>SUMIFS(Data!$I:$I,Data!$B:$B,$B39,Data!$G:$G,"&lt;="&amp;AZ$2,Data!$H:$H,"&gt;="&amp;AZ$2)</f>
        <v>0</v>
      </c>
      <c r="BA39" s="21">
        <f>SUMIFS(Data!$I:$I,Data!$B:$B,$B39,Data!$G:$G,"&lt;="&amp;BA$2,Data!$H:$H,"&gt;="&amp;BA$2)</f>
        <v>0</v>
      </c>
      <c r="BB39" s="21">
        <f>SUMIFS(Data!$I:$I,Data!$B:$B,$B39,Data!$G:$G,"&lt;="&amp;BB$2,Data!$H:$H,"&gt;="&amp;BB$2)</f>
        <v>0</v>
      </c>
      <c r="BC39" s="21">
        <f>SUMIFS(Data!$I:$I,Data!$B:$B,$B39,Data!$G:$G,"&lt;="&amp;BC$2,Data!$H:$H,"&gt;="&amp;BC$2)</f>
        <v>0</v>
      </c>
      <c r="BD39" s="21">
        <f>SUMIFS(Data!$I:$I,Data!$B:$B,$B39,Data!$G:$G,"&lt;="&amp;BD$2,Data!$H:$H,"&gt;="&amp;BD$2)</f>
        <v>0</v>
      </c>
      <c r="BE39" s="21">
        <f>SUMIFS(Data!$I:$I,Data!$B:$B,$B39,Data!$G:$G,"&lt;="&amp;BE$2,Data!$H:$H,"&gt;="&amp;BE$2)</f>
        <v>0</v>
      </c>
      <c r="BF39" s="21">
        <f>SUMIFS(Data!$I:$I,Data!$B:$B,$B39,Data!$G:$G,"&lt;="&amp;BF$2,Data!$H:$H,"&gt;="&amp;BF$2)</f>
        <v>0</v>
      </c>
      <c r="BG39" s="21">
        <f>SUMIFS(Data!$I:$I,Data!$B:$B,$B39,Data!$G:$G,"&lt;="&amp;BG$2,Data!$H:$H,"&gt;="&amp;BG$2)</f>
        <v>0</v>
      </c>
      <c r="BH39" s="21">
        <f>SUMIFS(Data!$I:$I,Data!$B:$B,$B39,Data!$G:$G,"&lt;="&amp;BH$2,Data!$H:$H,"&gt;="&amp;BH$2)</f>
        <v>0</v>
      </c>
      <c r="BI39" s="21">
        <f>SUMIFS(Data!$I:$I,Data!$B:$B,$B39,Data!$G:$G,"&lt;="&amp;BI$2,Data!$H:$H,"&gt;="&amp;BI$2)</f>
        <v>0</v>
      </c>
      <c r="BJ39" s="21">
        <f>SUMIFS(Data!$I:$I,Data!$B:$B,$B39,Data!$G:$G,"&lt;="&amp;BJ$2,Data!$H:$H,"&gt;="&amp;BJ$2)</f>
        <v>0</v>
      </c>
      <c r="BK39" s="21">
        <f>SUMIFS(Data!$I:$I,Data!$B:$B,$B39,Data!$G:$G,"&lt;="&amp;BK$2,Data!$H:$H,"&gt;="&amp;BK$2)</f>
        <v>0</v>
      </c>
      <c r="BL39" s="21">
        <f>SUMIFS(Data!$I:$I,Data!$B:$B,$B39,Data!$G:$G,"&lt;="&amp;BL$2,Data!$H:$H,"&gt;="&amp;BL$2)</f>
        <v>0</v>
      </c>
      <c r="BM39" s="21">
        <f>SUMIFS(Data!$I:$I,Data!$B:$B,$B39,Data!$G:$G,"&lt;="&amp;BM$2,Data!$H:$H,"&gt;="&amp;BM$2)</f>
        <v>0</v>
      </c>
      <c r="BN39" s="21">
        <f>SUMIFS(Data!$I:$I,Data!$B:$B,$B39,Data!$G:$G,"&lt;="&amp;BN$2,Data!$H:$H,"&gt;="&amp;BN$2)</f>
        <v>0</v>
      </c>
      <c r="BO39" s="21">
        <f>SUMIFS(Data!$I:$I,Data!$B:$B,$B39,Data!$G:$G,"&lt;="&amp;BO$2,Data!$H:$H,"&gt;="&amp;BO$2)</f>
        <v>0</v>
      </c>
      <c r="BP39" s="21">
        <f>SUMIFS(Data!$I:$I,Data!$B:$B,$B39,Data!$G:$G,"&lt;="&amp;BP$2,Data!$H:$H,"&gt;="&amp;BP$2)</f>
        <v>0</v>
      </c>
      <c r="BQ39" s="21">
        <f>SUMIFS(Data!$I:$I,Data!$B:$B,$B39,Data!$G:$G,"&lt;="&amp;BQ$2,Data!$H:$H,"&gt;="&amp;BQ$2)</f>
        <v>0</v>
      </c>
      <c r="BR39" s="21">
        <f>SUMIFS(Data!$I:$I,Data!$B:$B,$B39,Data!$G:$G,"&lt;="&amp;BR$2,Data!$H:$H,"&gt;="&amp;BR$2)</f>
        <v>0</v>
      </c>
      <c r="BS39" s="21">
        <f>SUMIFS(Data!$I:$I,Data!$B:$B,$B39,Data!$G:$G,"&lt;="&amp;BS$2,Data!$H:$H,"&gt;="&amp;BS$2)</f>
        <v>0</v>
      </c>
      <c r="BT39" s="21">
        <f>SUMIFS(Data!$I:$I,Data!$B:$B,$B39,Data!$G:$G,"&lt;="&amp;BT$2,Data!$H:$H,"&gt;="&amp;BT$2)</f>
        <v>0</v>
      </c>
      <c r="BU39" s="21">
        <f>SUMIFS(Data!$I:$I,Data!$B:$B,$B39,Data!$G:$G,"&lt;="&amp;BU$2,Data!$H:$H,"&gt;="&amp;BU$2)</f>
        <v>0</v>
      </c>
      <c r="BV39" s="21">
        <f>SUMIFS(Data!$I:$I,Data!$B:$B,$B39,Data!$G:$G,"&lt;="&amp;BV$2,Data!$H:$H,"&gt;="&amp;BV$2)</f>
        <v>0</v>
      </c>
      <c r="BW39" s="21">
        <f>SUMIFS(Data!$I:$I,Data!$B:$B,$B39,Data!$G:$G,"&lt;="&amp;BW$2,Data!$H:$H,"&gt;="&amp;BW$2)</f>
        <v>0</v>
      </c>
      <c r="BX39" s="21">
        <f>SUMIFS(Data!$I:$I,Data!$B:$B,$B39,Data!$G:$G,"&lt;="&amp;BX$2,Data!$H:$H,"&gt;="&amp;BX$2)</f>
        <v>0</v>
      </c>
      <c r="BY39" s="21">
        <f>SUMIFS(Data!$I:$I,Data!$B:$B,$B39,Data!$G:$G,"&lt;="&amp;BY$2,Data!$H:$H,"&gt;="&amp;BY$2)</f>
        <v>0</v>
      </c>
      <c r="BZ39" s="21">
        <f>SUMIFS(Data!$I:$I,Data!$B:$B,$B39,Data!$G:$G,"&lt;="&amp;BZ$2,Data!$H:$H,"&gt;="&amp;BZ$2)</f>
        <v>0</v>
      </c>
      <c r="CA39" s="22">
        <f t="shared" si="66"/>
        <v>362500</v>
      </c>
    </row>
    <row r="40" spans="2:79" x14ac:dyDescent="0.25">
      <c r="B40" s="11" t="s">
        <v>113</v>
      </c>
      <c r="C40" s="11" t="str">
        <f>VLOOKUP(B40,Data!B:C,2,FALSE)</f>
        <v>JREFII</v>
      </c>
      <c r="D40" s="21">
        <f>SUMIFS(Data!$I:$I,Data!$B:$B,$B40,Data!$G:$G,"&lt;="&amp;D$2,Data!$H:$H,"&gt;="&amp;D$2)</f>
        <v>0</v>
      </c>
      <c r="E40" s="21">
        <f>SUMIFS(Data!$I:$I,Data!$B:$B,$B40,Data!$G:$G,"&lt;="&amp;E$2,Data!$H:$H,"&gt;="&amp;E$2)</f>
        <v>0</v>
      </c>
      <c r="F40" s="21">
        <f>SUMIFS(Data!$I:$I,Data!$B:$B,$B40,Data!$G:$G,"&lt;="&amp;F$2,Data!$H:$H,"&gt;="&amp;F$2)</f>
        <v>0</v>
      </c>
      <c r="G40" s="21">
        <f>SUMIFS(Data!$I:$I,Data!$B:$B,$B40,Data!$G:$G,"&lt;="&amp;G$2,Data!$H:$H,"&gt;="&amp;G$2)</f>
        <v>6500</v>
      </c>
      <c r="H40" s="21">
        <f>SUMIFS(Data!$I:$I,Data!$B:$B,$B40,Data!$G:$G,"&lt;="&amp;H$2,Data!$H:$H,"&gt;="&amp;H$2)</f>
        <v>6500</v>
      </c>
      <c r="I40" s="21">
        <f>SUMIFS(Data!$I:$I,Data!$B:$B,$B40,Data!$G:$G,"&lt;="&amp;I$2,Data!$H:$H,"&gt;="&amp;I$2)</f>
        <v>6500</v>
      </c>
      <c r="J40" s="21">
        <f>SUMIFS(Data!$I:$I,Data!$B:$B,$B40,Data!$G:$G,"&lt;="&amp;J$2,Data!$H:$H,"&gt;="&amp;J$2)</f>
        <v>0</v>
      </c>
      <c r="K40" s="21">
        <f>SUMIFS(Data!$I:$I,Data!$B:$B,$B40,Data!$G:$G,"&lt;="&amp;K$2,Data!$H:$H,"&gt;="&amp;K$2)</f>
        <v>0</v>
      </c>
      <c r="L40" s="21">
        <f>SUMIFS(Data!$I:$I,Data!$B:$B,$B40,Data!$G:$G,"&lt;="&amp;L$2,Data!$H:$H,"&gt;="&amp;L$2)</f>
        <v>0</v>
      </c>
      <c r="M40" s="21">
        <f>SUMIFS(Data!$I:$I,Data!$B:$B,$B40,Data!$G:$G,"&lt;="&amp;M$2,Data!$H:$H,"&gt;="&amp;M$2)</f>
        <v>0</v>
      </c>
      <c r="N40" s="21">
        <f>SUMIFS(Data!$I:$I,Data!$B:$B,$B40,Data!$G:$G,"&lt;="&amp;N$2,Data!$H:$H,"&gt;="&amp;N$2)</f>
        <v>0</v>
      </c>
      <c r="O40" s="21">
        <f>SUMIFS(Data!$I:$I,Data!$B:$B,$B40,Data!$G:$G,"&lt;="&amp;O$2,Data!$H:$H,"&gt;="&amp;O$2)</f>
        <v>0</v>
      </c>
      <c r="P40" s="21">
        <f>SUMIFS(Data!$I:$I,Data!$B:$B,$B40,Data!$G:$G,"&lt;="&amp;P$2,Data!$H:$H,"&gt;="&amp;P$2)</f>
        <v>0</v>
      </c>
      <c r="Q40" s="21">
        <f>SUMIFS(Data!$I:$I,Data!$B:$B,$B40,Data!$G:$G,"&lt;="&amp;Q$2,Data!$H:$H,"&gt;="&amp;Q$2)</f>
        <v>0</v>
      </c>
      <c r="R40" s="21">
        <f>SUMIFS(Data!$I:$I,Data!$B:$B,$B40,Data!$G:$G,"&lt;="&amp;R$2,Data!$H:$H,"&gt;="&amp;R$2)</f>
        <v>0</v>
      </c>
      <c r="S40" s="21">
        <f>SUMIFS(Data!$I:$I,Data!$B:$B,$B40,Data!$G:$G,"&lt;="&amp;S$2,Data!$H:$H,"&gt;="&amp;S$2)</f>
        <v>0</v>
      </c>
      <c r="T40" s="21">
        <f>SUMIFS(Data!$I:$I,Data!$B:$B,$B40,Data!$G:$G,"&lt;="&amp;T$2,Data!$H:$H,"&gt;="&amp;T$2)</f>
        <v>0</v>
      </c>
      <c r="U40" s="21">
        <f>SUMIFS(Data!$I:$I,Data!$B:$B,$B40,Data!$G:$G,"&lt;="&amp;U$2,Data!$H:$H,"&gt;="&amp;U$2)</f>
        <v>0</v>
      </c>
      <c r="V40" s="21">
        <f>SUMIFS(Data!$I:$I,Data!$B:$B,$B40,Data!$G:$G,"&lt;="&amp;V$2,Data!$H:$H,"&gt;="&amp;V$2)</f>
        <v>0</v>
      </c>
      <c r="W40" s="21">
        <f>SUMIFS(Data!$I:$I,Data!$B:$B,$B40,Data!$G:$G,"&lt;="&amp;W$2,Data!$H:$H,"&gt;="&amp;W$2)</f>
        <v>0</v>
      </c>
      <c r="X40" s="21">
        <f>SUMIFS(Data!$I:$I,Data!$B:$B,$B40,Data!$G:$G,"&lt;="&amp;X$2,Data!$H:$H,"&gt;="&amp;X$2)</f>
        <v>0</v>
      </c>
      <c r="Y40" s="21">
        <f>SUMIFS(Data!$I:$I,Data!$B:$B,$B40,Data!$G:$G,"&lt;="&amp;Y$2,Data!$H:$H,"&gt;="&amp;Y$2)</f>
        <v>0</v>
      </c>
      <c r="Z40" s="21">
        <f>SUMIFS(Data!$I:$I,Data!$B:$B,$B40,Data!$G:$G,"&lt;="&amp;Z$2,Data!$H:$H,"&gt;="&amp;Z$2)</f>
        <v>0</v>
      </c>
      <c r="AA40" s="21">
        <f>SUMIFS(Data!$I:$I,Data!$B:$B,$B40,Data!$G:$G,"&lt;="&amp;AA$2,Data!$H:$H,"&gt;="&amp;AA$2)</f>
        <v>0</v>
      </c>
      <c r="AB40" s="21">
        <f>SUMIFS(Data!$I:$I,Data!$B:$B,$B40,Data!$G:$G,"&lt;="&amp;AB$2,Data!$H:$H,"&gt;="&amp;AB$2)</f>
        <v>0</v>
      </c>
      <c r="AC40" s="21">
        <f>SUMIFS(Data!$I:$I,Data!$B:$B,$B40,Data!$G:$G,"&lt;="&amp;AC$2,Data!$H:$H,"&gt;="&amp;AC$2)</f>
        <v>0</v>
      </c>
      <c r="AD40" s="21">
        <f>SUMIFS(Data!$I:$I,Data!$B:$B,$B40,Data!$G:$G,"&lt;="&amp;AD$2,Data!$H:$H,"&gt;="&amp;AD$2)</f>
        <v>0</v>
      </c>
      <c r="AE40" s="21">
        <f>SUMIFS(Data!$I:$I,Data!$B:$B,$B40,Data!$G:$G,"&lt;="&amp;AE$2,Data!$H:$H,"&gt;="&amp;AE$2)</f>
        <v>0</v>
      </c>
      <c r="AF40" s="21">
        <f>SUMIFS(Data!$I:$I,Data!$B:$B,$B40,Data!$G:$G,"&lt;="&amp;AF$2,Data!$H:$H,"&gt;="&amp;AF$2)</f>
        <v>0</v>
      </c>
      <c r="AG40" s="21">
        <f>SUMIFS(Data!$I:$I,Data!$B:$B,$B40,Data!$G:$G,"&lt;="&amp;AG$2,Data!$H:$H,"&gt;="&amp;AG$2)</f>
        <v>0</v>
      </c>
      <c r="AH40" s="21">
        <f>SUMIFS(Data!$I:$I,Data!$B:$B,$B40,Data!$G:$G,"&lt;="&amp;AH$2,Data!$H:$H,"&gt;="&amp;AH$2)</f>
        <v>0</v>
      </c>
      <c r="AI40" s="21">
        <f>SUMIFS(Data!$I:$I,Data!$B:$B,$B40,Data!$G:$G,"&lt;="&amp;AI$2,Data!$H:$H,"&gt;="&amp;AI$2)</f>
        <v>0</v>
      </c>
      <c r="AJ40" s="21">
        <f>SUMIFS(Data!$I:$I,Data!$B:$B,$B40,Data!$G:$G,"&lt;="&amp;AJ$2,Data!$H:$H,"&gt;="&amp;AJ$2)</f>
        <v>0</v>
      </c>
      <c r="AK40" s="21">
        <f>SUMIFS(Data!$I:$I,Data!$B:$B,$B40,Data!$G:$G,"&lt;="&amp;AK$2,Data!$H:$H,"&gt;="&amp;AK$2)</f>
        <v>0</v>
      </c>
      <c r="AL40" s="21">
        <f>SUMIFS(Data!$I:$I,Data!$B:$B,$B40,Data!$G:$G,"&lt;="&amp;AL$2,Data!$H:$H,"&gt;="&amp;AL$2)</f>
        <v>0</v>
      </c>
      <c r="AM40" s="21">
        <f>SUMIFS(Data!$I:$I,Data!$B:$B,$B40,Data!$G:$G,"&lt;="&amp;AM$2,Data!$H:$H,"&gt;="&amp;AM$2)</f>
        <v>0</v>
      </c>
      <c r="AN40" s="21">
        <f>SUMIFS(Data!$I:$I,Data!$B:$B,$B40,Data!$G:$G,"&lt;="&amp;AN$2,Data!$H:$H,"&gt;="&amp;AN$2)</f>
        <v>0</v>
      </c>
      <c r="AO40" s="21">
        <f>SUMIFS(Data!$I:$I,Data!$B:$B,$B40,Data!$G:$G,"&lt;="&amp;AO$2,Data!$H:$H,"&gt;="&amp;AO$2)</f>
        <v>0</v>
      </c>
      <c r="AP40" s="21">
        <f>SUMIFS(Data!$I:$I,Data!$B:$B,$B40,Data!$G:$G,"&lt;="&amp;AP$2,Data!$H:$H,"&gt;="&amp;AP$2)</f>
        <v>0</v>
      </c>
      <c r="AQ40" s="21">
        <f>SUMIFS(Data!$I:$I,Data!$B:$B,$B40,Data!$G:$G,"&lt;="&amp;AQ$2,Data!$H:$H,"&gt;="&amp;AQ$2)</f>
        <v>0</v>
      </c>
      <c r="AR40" s="21">
        <f>SUMIFS(Data!$I:$I,Data!$B:$B,$B40,Data!$G:$G,"&lt;="&amp;AR$2,Data!$H:$H,"&gt;="&amp;AR$2)</f>
        <v>0</v>
      </c>
      <c r="AS40" s="21">
        <f>SUMIFS(Data!$I:$I,Data!$B:$B,$B40,Data!$G:$G,"&lt;="&amp;AS$2,Data!$H:$H,"&gt;="&amp;AS$2)</f>
        <v>0</v>
      </c>
      <c r="AT40" s="21">
        <f>SUMIFS(Data!$I:$I,Data!$B:$B,$B40,Data!$G:$G,"&lt;="&amp;AT$2,Data!$H:$H,"&gt;="&amp;AT$2)</f>
        <v>0</v>
      </c>
      <c r="AU40" s="21">
        <f>SUMIFS(Data!$I:$I,Data!$B:$B,$B40,Data!$G:$G,"&lt;="&amp;AU$2,Data!$H:$H,"&gt;="&amp;AU$2)</f>
        <v>0</v>
      </c>
      <c r="AV40" s="21">
        <f>SUMIFS(Data!$I:$I,Data!$B:$B,$B40,Data!$G:$G,"&lt;="&amp;AV$2,Data!$H:$H,"&gt;="&amp;AV$2)</f>
        <v>0</v>
      </c>
      <c r="AW40" s="21">
        <f>SUMIFS(Data!$I:$I,Data!$B:$B,$B40,Data!$G:$G,"&lt;="&amp;AW$2,Data!$H:$H,"&gt;="&amp;AW$2)</f>
        <v>0</v>
      </c>
      <c r="AX40" s="21">
        <f>SUMIFS(Data!$I:$I,Data!$B:$B,$B40,Data!$G:$G,"&lt;="&amp;AX$2,Data!$H:$H,"&gt;="&amp;AX$2)</f>
        <v>0</v>
      </c>
      <c r="AY40" s="21">
        <f>SUMIFS(Data!$I:$I,Data!$B:$B,$B40,Data!$G:$G,"&lt;="&amp;AY$2,Data!$H:$H,"&gt;="&amp;AY$2)</f>
        <v>0</v>
      </c>
      <c r="AZ40" s="21">
        <f>SUMIFS(Data!$I:$I,Data!$B:$B,$B40,Data!$G:$G,"&lt;="&amp;AZ$2,Data!$H:$H,"&gt;="&amp;AZ$2)</f>
        <v>0</v>
      </c>
      <c r="BA40" s="21">
        <f>SUMIFS(Data!$I:$I,Data!$B:$B,$B40,Data!$G:$G,"&lt;="&amp;BA$2,Data!$H:$H,"&gt;="&amp;BA$2)</f>
        <v>0</v>
      </c>
      <c r="BB40" s="21">
        <f>SUMIFS(Data!$I:$I,Data!$B:$B,$B40,Data!$G:$G,"&lt;="&amp;BB$2,Data!$H:$H,"&gt;="&amp;BB$2)</f>
        <v>0</v>
      </c>
      <c r="BC40" s="21">
        <f>SUMIFS(Data!$I:$I,Data!$B:$B,$B40,Data!$G:$G,"&lt;="&amp;BC$2,Data!$H:$H,"&gt;="&amp;BC$2)</f>
        <v>0</v>
      </c>
      <c r="BD40" s="21">
        <f>SUMIFS(Data!$I:$I,Data!$B:$B,$B40,Data!$G:$G,"&lt;="&amp;BD$2,Data!$H:$H,"&gt;="&amp;BD$2)</f>
        <v>0</v>
      </c>
      <c r="BE40" s="21">
        <f>SUMIFS(Data!$I:$I,Data!$B:$B,$B40,Data!$G:$G,"&lt;="&amp;BE$2,Data!$H:$H,"&gt;="&amp;BE$2)</f>
        <v>0</v>
      </c>
      <c r="BF40" s="21">
        <f>SUMIFS(Data!$I:$I,Data!$B:$B,$B40,Data!$G:$G,"&lt;="&amp;BF$2,Data!$H:$H,"&gt;="&amp;BF$2)</f>
        <v>0</v>
      </c>
      <c r="BG40" s="21">
        <f>SUMIFS(Data!$I:$I,Data!$B:$B,$B40,Data!$G:$G,"&lt;="&amp;BG$2,Data!$H:$H,"&gt;="&amp;BG$2)</f>
        <v>0</v>
      </c>
      <c r="BH40" s="21">
        <f>SUMIFS(Data!$I:$I,Data!$B:$B,$B40,Data!$G:$G,"&lt;="&amp;BH$2,Data!$H:$H,"&gt;="&amp;BH$2)</f>
        <v>0</v>
      </c>
      <c r="BI40" s="21">
        <f>SUMIFS(Data!$I:$I,Data!$B:$B,$B40,Data!$G:$G,"&lt;="&amp;BI$2,Data!$H:$H,"&gt;="&amp;BI$2)</f>
        <v>0</v>
      </c>
      <c r="BJ40" s="21">
        <f>SUMIFS(Data!$I:$I,Data!$B:$B,$B40,Data!$G:$G,"&lt;="&amp;BJ$2,Data!$H:$H,"&gt;="&amp;BJ$2)</f>
        <v>0</v>
      </c>
      <c r="BK40" s="21">
        <f>SUMIFS(Data!$I:$I,Data!$B:$B,$B40,Data!$G:$G,"&lt;="&amp;BK$2,Data!$H:$H,"&gt;="&amp;BK$2)</f>
        <v>0</v>
      </c>
      <c r="BL40" s="21">
        <f>SUMIFS(Data!$I:$I,Data!$B:$B,$B40,Data!$G:$G,"&lt;="&amp;BL$2,Data!$H:$H,"&gt;="&amp;BL$2)</f>
        <v>0</v>
      </c>
      <c r="BM40" s="21">
        <f>SUMIFS(Data!$I:$I,Data!$B:$B,$B40,Data!$G:$G,"&lt;="&amp;BM$2,Data!$H:$H,"&gt;="&amp;BM$2)</f>
        <v>0</v>
      </c>
      <c r="BN40" s="21">
        <f>SUMIFS(Data!$I:$I,Data!$B:$B,$B40,Data!$G:$G,"&lt;="&amp;BN$2,Data!$H:$H,"&gt;="&amp;BN$2)</f>
        <v>0</v>
      </c>
      <c r="BO40" s="21">
        <f>SUMIFS(Data!$I:$I,Data!$B:$B,$B40,Data!$G:$G,"&lt;="&amp;BO$2,Data!$H:$H,"&gt;="&amp;BO$2)</f>
        <v>0</v>
      </c>
      <c r="BP40" s="21">
        <f>SUMIFS(Data!$I:$I,Data!$B:$B,$B40,Data!$G:$G,"&lt;="&amp;BP$2,Data!$H:$H,"&gt;="&amp;BP$2)</f>
        <v>0</v>
      </c>
      <c r="BQ40" s="21">
        <f>SUMIFS(Data!$I:$I,Data!$B:$B,$B40,Data!$G:$G,"&lt;="&amp;BQ$2,Data!$H:$H,"&gt;="&amp;BQ$2)</f>
        <v>0</v>
      </c>
      <c r="BR40" s="21">
        <f>SUMIFS(Data!$I:$I,Data!$B:$B,$B40,Data!$G:$G,"&lt;="&amp;BR$2,Data!$H:$H,"&gt;="&amp;BR$2)</f>
        <v>0</v>
      </c>
      <c r="BS40" s="21">
        <f>SUMIFS(Data!$I:$I,Data!$B:$B,$B40,Data!$G:$G,"&lt;="&amp;BS$2,Data!$H:$H,"&gt;="&amp;BS$2)</f>
        <v>0</v>
      </c>
      <c r="BT40" s="21">
        <f>SUMIFS(Data!$I:$I,Data!$B:$B,$B40,Data!$G:$G,"&lt;="&amp;BT$2,Data!$H:$H,"&gt;="&amp;BT$2)</f>
        <v>0</v>
      </c>
      <c r="BU40" s="21">
        <f>SUMIFS(Data!$I:$I,Data!$B:$B,$B40,Data!$G:$G,"&lt;="&amp;BU$2,Data!$H:$H,"&gt;="&amp;BU$2)</f>
        <v>0</v>
      </c>
      <c r="BV40" s="21">
        <f>SUMIFS(Data!$I:$I,Data!$B:$B,$B40,Data!$G:$G,"&lt;="&amp;BV$2,Data!$H:$H,"&gt;="&amp;BV$2)</f>
        <v>0</v>
      </c>
      <c r="BW40" s="21">
        <f>SUMIFS(Data!$I:$I,Data!$B:$B,$B40,Data!$G:$G,"&lt;="&amp;BW$2,Data!$H:$H,"&gt;="&amp;BW$2)</f>
        <v>0</v>
      </c>
      <c r="BX40" s="21">
        <f>SUMIFS(Data!$I:$I,Data!$B:$B,$B40,Data!$G:$G,"&lt;="&amp;BX$2,Data!$H:$H,"&gt;="&amp;BX$2)</f>
        <v>0</v>
      </c>
      <c r="BY40" s="21">
        <f>SUMIFS(Data!$I:$I,Data!$B:$B,$B40,Data!$G:$G,"&lt;="&amp;BY$2,Data!$H:$H,"&gt;="&amp;BY$2)</f>
        <v>0</v>
      </c>
      <c r="BZ40" s="21">
        <f>SUMIFS(Data!$I:$I,Data!$B:$B,$B40,Data!$G:$G,"&lt;="&amp;BZ$2,Data!$H:$H,"&gt;="&amp;BZ$2)</f>
        <v>0</v>
      </c>
      <c r="CA40" s="22">
        <f t="shared" si="66"/>
        <v>19500</v>
      </c>
    </row>
    <row r="41" spans="2:79" x14ac:dyDescent="0.25">
      <c r="B41" s="11" t="s">
        <v>11</v>
      </c>
      <c r="C41" s="11" t="str">
        <f>VLOOKUP(B41,Data!B:C,2,FALSE)</f>
        <v>JREFII</v>
      </c>
      <c r="D41" s="21">
        <f>SUMIFS(Data!$I:$I,Data!$B:$B,$B41,Data!$G:$G,"&lt;="&amp;D$2,Data!$H:$H,"&gt;="&amp;D$2)</f>
        <v>9333.3333333333339</v>
      </c>
      <c r="E41" s="21">
        <f>SUMIFS(Data!$I:$I,Data!$B:$B,$B41,Data!$G:$G,"&lt;="&amp;E$2,Data!$H:$H,"&gt;="&amp;E$2)</f>
        <v>9333.3333333333339</v>
      </c>
      <c r="F41" s="21">
        <f>SUMIFS(Data!$I:$I,Data!$B:$B,$B41,Data!$G:$G,"&lt;="&amp;F$2,Data!$H:$H,"&gt;="&amp;F$2)</f>
        <v>9333.3333333333339</v>
      </c>
      <c r="G41" s="21">
        <f>SUMIFS(Data!$I:$I,Data!$B:$B,$B41,Data!$G:$G,"&lt;="&amp;G$2,Data!$H:$H,"&gt;="&amp;G$2)</f>
        <v>2666.6666666666665</v>
      </c>
      <c r="H41" s="21">
        <f>SUMIFS(Data!$I:$I,Data!$B:$B,$B41,Data!$G:$G,"&lt;="&amp;H$2,Data!$H:$H,"&gt;="&amp;H$2)</f>
        <v>6000</v>
      </c>
      <c r="I41" s="21">
        <f>SUMIFS(Data!$I:$I,Data!$B:$B,$B41,Data!$G:$G,"&lt;="&amp;I$2,Data!$H:$H,"&gt;="&amp;I$2)</f>
        <v>6000</v>
      </c>
      <c r="J41" s="21">
        <f>SUMIFS(Data!$I:$I,Data!$B:$B,$B41,Data!$G:$G,"&lt;="&amp;J$2,Data!$H:$H,"&gt;="&amp;J$2)</f>
        <v>3333.3333333333335</v>
      </c>
      <c r="K41" s="21">
        <f>SUMIFS(Data!$I:$I,Data!$B:$B,$B41,Data!$G:$G,"&lt;="&amp;K$2,Data!$H:$H,"&gt;="&amp;K$2)</f>
        <v>0</v>
      </c>
      <c r="L41" s="21">
        <f>SUMIFS(Data!$I:$I,Data!$B:$B,$B41,Data!$G:$G,"&lt;="&amp;L$2,Data!$H:$H,"&gt;="&amp;L$2)</f>
        <v>0</v>
      </c>
      <c r="M41" s="21">
        <f>SUMIFS(Data!$I:$I,Data!$B:$B,$B41,Data!$G:$G,"&lt;="&amp;M$2,Data!$H:$H,"&gt;="&amp;M$2)</f>
        <v>0</v>
      </c>
      <c r="N41" s="21">
        <f>SUMIFS(Data!$I:$I,Data!$B:$B,$B41,Data!$G:$G,"&lt;="&amp;N$2,Data!$H:$H,"&gt;="&amp;N$2)</f>
        <v>0</v>
      </c>
      <c r="O41" s="21">
        <f>SUMIFS(Data!$I:$I,Data!$B:$B,$B41,Data!$G:$G,"&lt;="&amp;O$2,Data!$H:$H,"&gt;="&amp;O$2)</f>
        <v>0</v>
      </c>
      <c r="P41" s="21">
        <f>SUMIFS(Data!$I:$I,Data!$B:$B,$B41,Data!$G:$G,"&lt;="&amp;P$2,Data!$H:$H,"&gt;="&amp;P$2)</f>
        <v>0</v>
      </c>
      <c r="Q41" s="21">
        <f>SUMIFS(Data!$I:$I,Data!$B:$B,$B41,Data!$G:$G,"&lt;="&amp;Q$2,Data!$H:$H,"&gt;="&amp;Q$2)</f>
        <v>0</v>
      </c>
      <c r="R41" s="21">
        <f>SUMIFS(Data!$I:$I,Data!$B:$B,$B41,Data!$G:$G,"&lt;="&amp;R$2,Data!$H:$H,"&gt;="&amp;R$2)</f>
        <v>0</v>
      </c>
      <c r="S41" s="21">
        <f>SUMIFS(Data!$I:$I,Data!$B:$B,$B41,Data!$G:$G,"&lt;="&amp;S$2,Data!$H:$H,"&gt;="&amp;S$2)</f>
        <v>0</v>
      </c>
      <c r="T41" s="21">
        <f>SUMIFS(Data!$I:$I,Data!$B:$B,$B41,Data!$G:$G,"&lt;="&amp;T$2,Data!$H:$H,"&gt;="&amp;T$2)</f>
        <v>0</v>
      </c>
      <c r="U41" s="21">
        <f>SUMIFS(Data!$I:$I,Data!$B:$B,$B41,Data!$G:$G,"&lt;="&amp;U$2,Data!$H:$H,"&gt;="&amp;U$2)</f>
        <v>0</v>
      </c>
      <c r="V41" s="21">
        <f>SUMIFS(Data!$I:$I,Data!$B:$B,$B41,Data!$G:$G,"&lt;="&amp;V$2,Data!$H:$H,"&gt;="&amp;V$2)</f>
        <v>0</v>
      </c>
      <c r="W41" s="21">
        <f>SUMIFS(Data!$I:$I,Data!$B:$B,$B41,Data!$G:$G,"&lt;="&amp;W$2,Data!$H:$H,"&gt;="&amp;W$2)</f>
        <v>0</v>
      </c>
      <c r="X41" s="21">
        <f>SUMIFS(Data!$I:$I,Data!$B:$B,$B41,Data!$G:$G,"&lt;="&amp;X$2,Data!$H:$H,"&gt;="&amp;X$2)</f>
        <v>0</v>
      </c>
      <c r="Y41" s="21">
        <f>SUMIFS(Data!$I:$I,Data!$B:$B,$B41,Data!$G:$G,"&lt;="&amp;Y$2,Data!$H:$H,"&gt;="&amp;Y$2)</f>
        <v>0</v>
      </c>
      <c r="Z41" s="21">
        <f>SUMIFS(Data!$I:$I,Data!$B:$B,$B41,Data!$G:$G,"&lt;="&amp;Z$2,Data!$H:$H,"&gt;="&amp;Z$2)</f>
        <v>0</v>
      </c>
      <c r="AA41" s="21">
        <f>SUMIFS(Data!$I:$I,Data!$B:$B,$B41,Data!$G:$G,"&lt;="&amp;AA$2,Data!$H:$H,"&gt;="&amp;AA$2)</f>
        <v>0</v>
      </c>
      <c r="AB41" s="21">
        <f>SUMIFS(Data!$I:$I,Data!$B:$B,$B41,Data!$G:$G,"&lt;="&amp;AB$2,Data!$H:$H,"&gt;="&amp;AB$2)</f>
        <v>0</v>
      </c>
      <c r="AC41" s="21">
        <f>SUMIFS(Data!$I:$I,Data!$B:$B,$B41,Data!$G:$G,"&lt;="&amp;AC$2,Data!$H:$H,"&gt;="&amp;AC$2)</f>
        <v>0</v>
      </c>
      <c r="AD41" s="21">
        <f>SUMIFS(Data!$I:$I,Data!$B:$B,$B41,Data!$G:$G,"&lt;="&amp;AD$2,Data!$H:$H,"&gt;="&amp;AD$2)</f>
        <v>0</v>
      </c>
      <c r="AE41" s="21">
        <f>SUMIFS(Data!$I:$I,Data!$B:$B,$B41,Data!$G:$G,"&lt;="&amp;AE$2,Data!$H:$H,"&gt;="&amp;AE$2)</f>
        <v>0</v>
      </c>
      <c r="AF41" s="21">
        <f>SUMIFS(Data!$I:$I,Data!$B:$B,$B41,Data!$G:$G,"&lt;="&amp;AF$2,Data!$H:$H,"&gt;="&amp;AF$2)</f>
        <v>0</v>
      </c>
      <c r="AG41" s="21">
        <f>SUMIFS(Data!$I:$I,Data!$B:$B,$B41,Data!$G:$G,"&lt;="&amp;AG$2,Data!$H:$H,"&gt;="&amp;AG$2)</f>
        <v>0</v>
      </c>
      <c r="AH41" s="21">
        <f>SUMIFS(Data!$I:$I,Data!$B:$B,$B41,Data!$G:$G,"&lt;="&amp;AH$2,Data!$H:$H,"&gt;="&amp;AH$2)</f>
        <v>0</v>
      </c>
      <c r="AI41" s="21">
        <f>SUMIFS(Data!$I:$I,Data!$B:$B,$B41,Data!$G:$G,"&lt;="&amp;AI$2,Data!$H:$H,"&gt;="&amp;AI$2)</f>
        <v>0</v>
      </c>
      <c r="AJ41" s="21">
        <f>SUMIFS(Data!$I:$I,Data!$B:$B,$B41,Data!$G:$G,"&lt;="&amp;AJ$2,Data!$H:$H,"&gt;="&amp;AJ$2)</f>
        <v>0</v>
      </c>
      <c r="AK41" s="21">
        <f>SUMIFS(Data!$I:$I,Data!$B:$B,$B41,Data!$G:$G,"&lt;="&amp;AK$2,Data!$H:$H,"&gt;="&amp;AK$2)</f>
        <v>0</v>
      </c>
      <c r="AL41" s="21">
        <f>SUMIFS(Data!$I:$I,Data!$B:$B,$B41,Data!$G:$G,"&lt;="&amp;AL$2,Data!$H:$H,"&gt;="&amp;AL$2)</f>
        <v>0</v>
      </c>
      <c r="AM41" s="21">
        <f>SUMIFS(Data!$I:$I,Data!$B:$B,$B41,Data!$G:$G,"&lt;="&amp;AM$2,Data!$H:$H,"&gt;="&amp;AM$2)</f>
        <v>0</v>
      </c>
      <c r="AN41" s="21">
        <f>SUMIFS(Data!$I:$I,Data!$B:$B,$B41,Data!$G:$G,"&lt;="&amp;AN$2,Data!$H:$H,"&gt;="&amp;AN$2)</f>
        <v>0</v>
      </c>
      <c r="AO41" s="21">
        <f>SUMIFS(Data!$I:$I,Data!$B:$B,$B41,Data!$G:$G,"&lt;="&amp;AO$2,Data!$H:$H,"&gt;="&amp;AO$2)</f>
        <v>0</v>
      </c>
      <c r="AP41" s="21">
        <f>SUMIFS(Data!$I:$I,Data!$B:$B,$B41,Data!$G:$G,"&lt;="&amp;AP$2,Data!$H:$H,"&gt;="&amp;AP$2)</f>
        <v>0</v>
      </c>
      <c r="AQ41" s="21">
        <f>SUMIFS(Data!$I:$I,Data!$B:$B,$B41,Data!$G:$G,"&lt;="&amp;AQ$2,Data!$H:$H,"&gt;="&amp;AQ$2)</f>
        <v>0</v>
      </c>
      <c r="AR41" s="21">
        <f>SUMIFS(Data!$I:$I,Data!$B:$B,$B41,Data!$G:$G,"&lt;="&amp;AR$2,Data!$H:$H,"&gt;="&amp;AR$2)</f>
        <v>0</v>
      </c>
      <c r="AS41" s="21">
        <f>SUMIFS(Data!$I:$I,Data!$B:$B,$B41,Data!$G:$G,"&lt;="&amp;AS$2,Data!$H:$H,"&gt;="&amp;AS$2)</f>
        <v>0</v>
      </c>
      <c r="AT41" s="21">
        <f>SUMIFS(Data!$I:$I,Data!$B:$B,$B41,Data!$G:$G,"&lt;="&amp;AT$2,Data!$H:$H,"&gt;="&amp;AT$2)</f>
        <v>0</v>
      </c>
      <c r="AU41" s="21">
        <f>SUMIFS(Data!$I:$I,Data!$B:$B,$B41,Data!$G:$G,"&lt;="&amp;AU$2,Data!$H:$H,"&gt;="&amp;AU$2)</f>
        <v>0</v>
      </c>
      <c r="AV41" s="21">
        <f>SUMIFS(Data!$I:$I,Data!$B:$B,$B41,Data!$G:$G,"&lt;="&amp;AV$2,Data!$H:$H,"&gt;="&amp;AV$2)</f>
        <v>0</v>
      </c>
      <c r="AW41" s="21">
        <f>SUMIFS(Data!$I:$I,Data!$B:$B,$B41,Data!$G:$G,"&lt;="&amp;AW$2,Data!$H:$H,"&gt;="&amp;AW$2)</f>
        <v>0</v>
      </c>
      <c r="AX41" s="21">
        <f>SUMIFS(Data!$I:$I,Data!$B:$B,$B41,Data!$G:$G,"&lt;="&amp;AX$2,Data!$H:$H,"&gt;="&amp;AX$2)</f>
        <v>0</v>
      </c>
      <c r="AY41" s="21">
        <f>SUMIFS(Data!$I:$I,Data!$B:$B,$B41,Data!$G:$G,"&lt;="&amp;AY$2,Data!$H:$H,"&gt;="&amp;AY$2)</f>
        <v>0</v>
      </c>
      <c r="AZ41" s="21">
        <f>SUMIFS(Data!$I:$I,Data!$B:$B,$B41,Data!$G:$G,"&lt;="&amp;AZ$2,Data!$H:$H,"&gt;="&amp;AZ$2)</f>
        <v>0</v>
      </c>
      <c r="BA41" s="21">
        <f>SUMIFS(Data!$I:$I,Data!$B:$B,$B41,Data!$G:$G,"&lt;="&amp;BA$2,Data!$H:$H,"&gt;="&amp;BA$2)</f>
        <v>0</v>
      </c>
      <c r="BB41" s="21">
        <f>SUMIFS(Data!$I:$I,Data!$B:$B,$B41,Data!$G:$G,"&lt;="&amp;BB$2,Data!$H:$H,"&gt;="&amp;BB$2)</f>
        <v>0</v>
      </c>
      <c r="BC41" s="21">
        <f>SUMIFS(Data!$I:$I,Data!$B:$B,$B41,Data!$G:$G,"&lt;="&amp;BC$2,Data!$H:$H,"&gt;="&amp;BC$2)</f>
        <v>0</v>
      </c>
      <c r="BD41" s="21">
        <f>SUMIFS(Data!$I:$I,Data!$B:$B,$B41,Data!$G:$G,"&lt;="&amp;BD$2,Data!$H:$H,"&gt;="&amp;BD$2)</f>
        <v>0</v>
      </c>
      <c r="BE41" s="21">
        <f>SUMIFS(Data!$I:$I,Data!$B:$B,$B41,Data!$G:$G,"&lt;="&amp;BE$2,Data!$H:$H,"&gt;="&amp;BE$2)</f>
        <v>0</v>
      </c>
      <c r="BF41" s="21">
        <f>SUMIFS(Data!$I:$I,Data!$B:$B,$B41,Data!$G:$G,"&lt;="&amp;BF$2,Data!$H:$H,"&gt;="&amp;BF$2)</f>
        <v>0</v>
      </c>
      <c r="BG41" s="21">
        <f>SUMIFS(Data!$I:$I,Data!$B:$B,$B41,Data!$G:$G,"&lt;="&amp;BG$2,Data!$H:$H,"&gt;="&amp;BG$2)</f>
        <v>0</v>
      </c>
      <c r="BH41" s="21">
        <f>SUMIFS(Data!$I:$I,Data!$B:$B,$B41,Data!$G:$G,"&lt;="&amp;BH$2,Data!$H:$H,"&gt;="&amp;BH$2)</f>
        <v>0</v>
      </c>
      <c r="BI41" s="21">
        <f>SUMIFS(Data!$I:$I,Data!$B:$B,$B41,Data!$G:$G,"&lt;="&amp;BI$2,Data!$H:$H,"&gt;="&amp;BI$2)</f>
        <v>0</v>
      </c>
      <c r="BJ41" s="21">
        <f>SUMIFS(Data!$I:$I,Data!$B:$B,$B41,Data!$G:$G,"&lt;="&amp;BJ$2,Data!$H:$H,"&gt;="&amp;BJ$2)</f>
        <v>0</v>
      </c>
      <c r="BK41" s="21">
        <f>SUMIFS(Data!$I:$I,Data!$B:$B,$B41,Data!$G:$G,"&lt;="&amp;BK$2,Data!$H:$H,"&gt;="&amp;BK$2)</f>
        <v>0</v>
      </c>
      <c r="BL41" s="21">
        <f>SUMIFS(Data!$I:$I,Data!$B:$B,$B41,Data!$G:$G,"&lt;="&amp;BL$2,Data!$H:$H,"&gt;="&amp;BL$2)</f>
        <v>0</v>
      </c>
      <c r="BM41" s="21">
        <f>SUMIFS(Data!$I:$I,Data!$B:$B,$B41,Data!$G:$G,"&lt;="&amp;BM$2,Data!$H:$H,"&gt;="&amp;BM$2)</f>
        <v>0</v>
      </c>
      <c r="BN41" s="21">
        <f>SUMIFS(Data!$I:$I,Data!$B:$B,$B41,Data!$G:$G,"&lt;="&amp;BN$2,Data!$H:$H,"&gt;="&amp;BN$2)</f>
        <v>0</v>
      </c>
      <c r="BO41" s="21">
        <f>SUMIFS(Data!$I:$I,Data!$B:$B,$B41,Data!$G:$G,"&lt;="&amp;BO$2,Data!$H:$H,"&gt;="&amp;BO$2)</f>
        <v>0</v>
      </c>
      <c r="BP41" s="21">
        <f>SUMIFS(Data!$I:$I,Data!$B:$B,$B41,Data!$G:$G,"&lt;="&amp;BP$2,Data!$H:$H,"&gt;="&amp;BP$2)</f>
        <v>0</v>
      </c>
      <c r="BQ41" s="21">
        <f>SUMIFS(Data!$I:$I,Data!$B:$B,$B41,Data!$G:$G,"&lt;="&amp;BQ$2,Data!$H:$H,"&gt;="&amp;BQ$2)</f>
        <v>0</v>
      </c>
      <c r="BR41" s="21">
        <f>SUMIFS(Data!$I:$I,Data!$B:$B,$B41,Data!$G:$G,"&lt;="&amp;BR$2,Data!$H:$H,"&gt;="&amp;BR$2)</f>
        <v>0</v>
      </c>
      <c r="BS41" s="21">
        <f>SUMIFS(Data!$I:$I,Data!$B:$B,$B41,Data!$G:$G,"&lt;="&amp;BS$2,Data!$H:$H,"&gt;="&amp;BS$2)</f>
        <v>0</v>
      </c>
      <c r="BT41" s="21">
        <f>SUMIFS(Data!$I:$I,Data!$B:$B,$B41,Data!$G:$G,"&lt;="&amp;BT$2,Data!$H:$H,"&gt;="&amp;BT$2)</f>
        <v>0</v>
      </c>
      <c r="BU41" s="21">
        <f>SUMIFS(Data!$I:$I,Data!$B:$B,$B41,Data!$G:$G,"&lt;="&amp;BU$2,Data!$H:$H,"&gt;="&amp;BU$2)</f>
        <v>0</v>
      </c>
      <c r="BV41" s="21">
        <f>SUMIFS(Data!$I:$I,Data!$B:$B,$B41,Data!$G:$G,"&lt;="&amp;BV$2,Data!$H:$H,"&gt;="&amp;BV$2)</f>
        <v>0</v>
      </c>
      <c r="BW41" s="21">
        <f>SUMIFS(Data!$I:$I,Data!$B:$B,$B41,Data!$G:$G,"&lt;="&amp;BW$2,Data!$H:$H,"&gt;="&amp;BW$2)</f>
        <v>0</v>
      </c>
      <c r="BX41" s="21">
        <f>SUMIFS(Data!$I:$I,Data!$B:$B,$B41,Data!$G:$G,"&lt;="&amp;BX$2,Data!$H:$H,"&gt;="&amp;BX$2)</f>
        <v>0</v>
      </c>
      <c r="BY41" s="21">
        <f>SUMIFS(Data!$I:$I,Data!$B:$B,$B41,Data!$G:$G,"&lt;="&amp;BY$2,Data!$H:$H,"&gt;="&amp;BY$2)</f>
        <v>0</v>
      </c>
      <c r="BZ41" s="21">
        <f>SUMIFS(Data!$I:$I,Data!$B:$B,$B41,Data!$G:$G,"&lt;="&amp;BZ$2,Data!$H:$H,"&gt;="&amp;BZ$2)</f>
        <v>0</v>
      </c>
      <c r="CA41" s="22">
        <f t="shared" si="66"/>
        <v>46000.000000000007</v>
      </c>
    </row>
    <row r="42" spans="2:79" x14ac:dyDescent="0.25">
      <c r="B42" s="11" t="s">
        <v>155</v>
      </c>
      <c r="C42" s="11" t="str">
        <f>VLOOKUP(B42,Data!B:C,2,FALSE)</f>
        <v>JREFII</v>
      </c>
      <c r="D42" s="21">
        <f>SUMIFS(Data!$I:$I,Data!$B:$B,$B42,Data!$G:$G,"&lt;="&amp;D$2,Data!$H:$H,"&gt;="&amp;D$2)</f>
        <v>0</v>
      </c>
      <c r="E42" s="21">
        <f>SUMIFS(Data!$I:$I,Data!$B:$B,$B42,Data!$G:$G,"&lt;="&amp;E$2,Data!$H:$H,"&gt;="&amp;E$2)</f>
        <v>0</v>
      </c>
      <c r="F42" s="21">
        <f>SUMIFS(Data!$I:$I,Data!$B:$B,$B42,Data!$G:$G,"&lt;="&amp;F$2,Data!$H:$H,"&gt;="&amp;F$2)</f>
        <v>0</v>
      </c>
      <c r="G42" s="21">
        <f>SUMIFS(Data!$I:$I,Data!$B:$B,$B42,Data!$G:$G,"&lt;="&amp;G$2,Data!$H:$H,"&gt;="&amp;G$2)</f>
        <v>0</v>
      </c>
      <c r="H42" s="21">
        <f>SUMIFS(Data!$I:$I,Data!$B:$B,$B42,Data!$G:$G,"&lt;="&amp;H$2,Data!$H:$H,"&gt;="&amp;H$2)</f>
        <v>0</v>
      </c>
      <c r="I42" s="21">
        <f>SUMIFS(Data!$I:$I,Data!$B:$B,$B42,Data!$G:$G,"&lt;="&amp;I$2,Data!$H:$H,"&gt;="&amp;I$2)</f>
        <v>0</v>
      </c>
      <c r="J42" s="21">
        <f>SUMIFS(Data!$I:$I,Data!$B:$B,$B42,Data!$G:$G,"&lt;="&amp;J$2,Data!$H:$H,"&gt;="&amp;J$2)</f>
        <v>3333.3333333333335</v>
      </c>
      <c r="K42" s="21">
        <f>SUMIFS(Data!$I:$I,Data!$B:$B,$B42,Data!$G:$G,"&lt;="&amp;K$2,Data!$H:$H,"&gt;="&amp;K$2)</f>
        <v>3333.3333333333335</v>
      </c>
      <c r="L42" s="21">
        <f>SUMIFS(Data!$I:$I,Data!$B:$B,$B42,Data!$G:$G,"&lt;="&amp;L$2,Data!$H:$H,"&gt;="&amp;L$2)</f>
        <v>3333.3333333333335</v>
      </c>
      <c r="M42" s="21">
        <f>SUMIFS(Data!$I:$I,Data!$B:$B,$B42,Data!$G:$G,"&lt;="&amp;M$2,Data!$H:$H,"&gt;="&amp;M$2)</f>
        <v>7500</v>
      </c>
      <c r="N42" s="21">
        <f>SUMIFS(Data!$I:$I,Data!$B:$B,$B42,Data!$G:$G,"&lt;="&amp;N$2,Data!$H:$H,"&gt;="&amp;N$2)</f>
        <v>7500</v>
      </c>
      <c r="O42" s="21">
        <f>SUMIFS(Data!$I:$I,Data!$B:$B,$B42,Data!$G:$G,"&lt;="&amp;O$2,Data!$H:$H,"&gt;="&amp;O$2)</f>
        <v>7500</v>
      </c>
      <c r="P42" s="21">
        <f>SUMIFS(Data!$I:$I,Data!$B:$B,$B42,Data!$G:$G,"&lt;="&amp;P$2,Data!$H:$H,"&gt;="&amp;P$2)</f>
        <v>500</v>
      </c>
      <c r="Q42" s="21">
        <f>SUMIFS(Data!$I:$I,Data!$B:$B,$B42,Data!$G:$G,"&lt;="&amp;Q$2,Data!$H:$H,"&gt;="&amp;Q$2)</f>
        <v>500</v>
      </c>
      <c r="R42" s="21">
        <f>SUMIFS(Data!$I:$I,Data!$B:$B,$B42,Data!$G:$G,"&lt;="&amp;R$2,Data!$H:$H,"&gt;="&amp;R$2)</f>
        <v>500</v>
      </c>
      <c r="S42" s="21">
        <f>SUMIFS(Data!$I:$I,Data!$B:$B,$B42,Data!$G:$G,"&lt;="&amp;S$2,Data!$H:$H,"&gt;="&amp;S$2)</f>
        <v>0</v>
      </c>
      <c r="T42" s="21">
        <f>SUMIFS(Data!$I:$I,Data!$B:$B,$B42,Data!$G:$G,"&lt;="&amp;T$2,Data!$H:$H,"&gt;="&amp;T$2)</f>
        <v>0</v>
      </c>
      <c r="U42" s="21">
        <f>SUMIFS(Data!$I:$I,Data!$B:$B,$B42,Data!$G:$G,"&lt;="&amp;U$2,Data!$H:$H,"&gt;="&amp;U$2)</f>
        <v>0</v>
      </c>
      <c r="V42" s="21">
        <f>SUMIFS(Data!$I:$I,Data!$B:$B,$B42,Data!$G:$G,"&lt;="&amp;V$2,Data!$H:$H,"&gt;="&amp;V$2)</f>
        <v>0</v>
      </c>
      <c r="W42" s="21">
        <f>SUMIFS(Data!$I:$I,Data!$B:$B,$B42,Data!$G:$G,"&lt;="&amp;W$2,Data!$H:$H,"&gt;="&amp;W$2)</f>
        <v>0</v>
      </c>
      <c r="X42" s="21">
        <f>SUMIFS(Data!$I:$I,Data!$B:$B,$B42,Data!$G:$G,"&lt;="&amp;X$2,Data!$H:$H,"&gt;="&amp;X$2)</f>
        <v>0</v>
      </c>
      <c r="Y42" s="21">
        <f>SUMIFS(Data!$I:$I,Data!$B:$B,$B42,Data!$G:$G,"&lt;="&amp;Y$2,Data!$H:$H,"&gt;="&amp;Y$2)</f>
        <v>0</v>
      </c>
      <c r="Z42" s="21">
        <f>SUMIFS(Data!$I:$I,Data!$B:$B,$B42,Data!$G:$G,"&lt;="&amp;Z$2,Data!$H:$H,"&gt;="&amp;Z$2)</f>
        <v>0</v>
      </c>
      <c r="AA42" s="21">
        <f>SUMIFS(Data!$I:$I,Data!$B:$B,$B42,Data!$G:$G,"&lt;="&amp;AA$2,Data!$H:$H,"&gt;="&amp;AA$2)</f>
        <v>0</v>
      </c>
      <c r="AB42" s="21">
        <f>SUMIFS(Data!$I:$I,Data!$B:$B,$B42,Data!$G:$G,"&lt;="&amp;AB$2,Data!$H:$H,"&gt;="&amp;AB$2)</f>
        <v>0</v>
      </c>
      <c r="AC42" s="21">
        <f>SUMIFS(Data!$I:$I,Data!$B:$B,$B42,Data!$G:$G,"&lt;="&amp;AC$2,Data!$H:$H,"&gt;="&amp;AC$2)</f>
        <v>0</v>
      </c>
      <c r="AD42" s="21">
        <f>SUMIFS(Data!$I:$I,Data!$B:$B,$B42,Data!$G:$G,"&lt;="&amp;AD$2,Data!$H:$H,"&gt;="&amp;AD$2)</f>
        <v>0</v>
      </c>
      <c r="AE42" s="21">
        <f>SUMIFS(Data!$I:$I,Data!$B:$B,$B42,Data!$G:$G,"&lt;="&amp;AE$2,Data!$H:$H,"&gt;="&amp;AE$2)</f>
        <v>0</v>
      </c>
      <c r="AF42" s="21">
        <f>SUMIFS(Data!$I:$I,Data!$B:$B,$B42,Data!$G:$G,"&lt;="&amp;AF$2,Data!$H:$H,"&gt;="&amp;AF$2)</f>
        <v>0</v>
      </c>
      <c r="AG42" s="21">
        <f>SUMIFS(Data!$I:$I,Data!$B:$B,$B42,Data!$G:$G,"&lt;="&amp;AG$2,Data!$H:$H,"&gt;="&amp;AG$2)</f>
        <v>0</v>
      </c>
      <c r="AH42" s="21">
        <f>SUMIFS(Data!$I:$I,Data!$B:$B,$B42,Data!$G:$G,"&lt;="&amp;AH$2,Data!$H:$H,"&gt;="&amp;AH$2)</f>
        <v>0</v>
      </c>
      <c r="AI42" s="21">
        <f>SUMIFS(Data!$I:$I,Data!$B:$B,$B42,Data!$G:$G,"&lt;="&amp;AI$2,Data!$H:$H,"&gt;="&amp;AI$2)</f>
        <v>0</v>
      </c>
      <c r="AJ42" s="21">
        <f>SUMIFS(Data!$I:$I,Data!$B:$B,$B42,Data!$G:$G,"&lt;="&amp;AJ$2,Data!$H:$H,"&gt;="&amp;AJ$2)</f>
        <v>0</v>
      </c>
      <c r="AK42" s="21">
        <f>SUMIFS(Data!$I:$I,Data!$B:$B,$B42,Data!$G:$G,"&lt;="&amp;AK$2,Data!$H:$H,"&gt;="&amp;AK$2)</f>
        <v>0</v>
      </c>
      <c r="AL42" s="21">
        <f>SUMIFS(Data!$I:$I,Data!$B:$B,$B42,Data!$G:$G,"&lt;="&amp;AL$2,Data!$H:$H,"&gt;="&amp;AL$2)</f>
        <v>0</v>
      </c>
      <c r="AM42" s="21">
        <f>SUMIFS(Data!$I:$I,Data!$B:$B,$B42,Data!$G:$G,"&lt;="&amp;AM$2,Data!$H:$H,"&gt;="&amp;AM$2)</f>
        <v>0</v>
      </c>
      <c r="AN42" s="21">
        <f>SUMIFS(Data!$I:$I,Data!$B:$B,$B42,Data!$G:$G,"&lt;="&amp;AN$2,Data!$H:$H,"&gt;="&amp;AN$2)</f>
        <v>0</v>
      </c>
      <c r="AO42" s="21">
        <f>SUMIFS(Data!$I:$I,Data!$B:$B,$B42,Data!$G:$G,"&lt;="&amp;AO$2,Data!$H:$H,"&gt;="&amp;AO$2)</f>
        <v>0</v>
      </c>
      <c r="AP42" s="21">
        <f>SUMIFS(Data!$I:$I,Data!$B:$B,$B42,Data!$G:$G,"&lt;="&amp;AP$2,Data!$H:$H,"&gt;="&amp;AP$2)</f>
        <v>0</v>
      </c>
      <c r="AQ42" s="21">
        <f>SUMIFS(Data!$I:$I,Data!$B:$B,$B42,Data!$G:$G,"&lt;="&amp;AQ$2,Data!$H:$H,"&gt;="&amp;AQ$2)</f>
        <v>0</v>
      </c>
      <c r="AR42" s="21">
        <f>SUMIFS(Data!$I:$I,Data!$B:$B,$B42,Data!$G:$G,"&lt;="&amp;AR$2,Data!$H:$H,"&gt;="&amp;AR$2)</f>
        <v>0</v>
      </c>
      <c r="AS42" s="21">
        <f>SUMIFS(Data!$I:$I,Data!$B:$B,$B42,Data!$G:$G,"&lt;="&amp;AS$2,Data!$H:$H,"&gt;="&amp;AS$2)</f>
        <v>0</v>
      </c>
      <c r="AT42" s="21">
        <f>SUMIFS(Data!$I:$I,Data!$B:$B,$B42,Data!$G:$G,"&lt;="&amp;AT$2,Data!$H:$H,"&gt;="&amp;AT$2)</f>
        <v>0</v>
      </c>
      <c r="AU42" s="21">
        <f>SUMIFS(Data!$I:$I,Data!$B:$B,$B42,Data!$G:$G,"&lt;="&amp;AU$2,Data!$H:$H,"&gt;="&amp;AU$2)</f>
        <v>0</v>
      </c>
      <c r="AV42" s="21">
        <f>SUMIFS(Data!$I:$I,Data!$B:$B,$B42,Data!$G:$G,"&lt;="&amp;AV$2,Data!$H:$H,"&gt;="&amp;AV$2)</f>
        <v>0</v>
      </c>
      <c r="AW42" s="21">
        <f>SUMIFS(Data!$I:$I,Data!$B:$B,$B42,Data!$G:$G,"&lt;="&amp;AW$2,Data!$H:$H,"&gt;="&amp;AW$2)</f>
        <v>0</v>
      </c>
      <c r="AX42" s="21">
        <f>SUMIFS(Data!$I:$I,Data!$B:$B,$B42,Data!$G:$G,"&lt;="&amp;AX$2,Data!$H:$H,"&gt;="&amp;AX$2)</f>
        <v>0</v>
      </c>
      <c r="AY42" s="21">
        <f>SUMIFS(Data!$I:$I,Data!$B:$B,$B42,Data!$G:$G,"&lt;="&amp;AY$2,Data!$H:$H,"&gt;="&amp;AY$2)</f>
        <v>0</v>
      </c>
      <c r="AZ42" s="21">
        <f>SUMIFS(Data!$I:$I,Data!$B:$B,$B42,Data!$G:$G,"&lt;="&amp;AZ$2,Data!$H:$H,"&gt;="&amp;AZ$2)</f>
        <v>0</v>
      </c>
      <c r="BA42" s="21">
        <f>SUMIFS(Data!$I:$I,Data!$B:$B,$B42,Data!$G:$G,"&lt;="&amp;BA$2,Data!$H:$H,"&gt;="&amp;BA$2)</f>
        <v>0</v>
      </c>
      <c r="BB42" s="21">
        <f>SUMIFS(Data!$I:$I,Data!$B:$B,$B42,Data!$G:$G,"&lt;="&amp;BB$2,Data!$H:$H,"&gt;="&amp;BB$2)</f>
        <v>0</v>
      </c>
      <c r="BC42" s="21">
        <f>SUMIFS(Data!$I:$I,Data!$B:$B,$B42,Data!$G:$G,"&lt;="&amp;BC$2,Data!$H:$H,"&gt;="&amp;BC$2)</f>
        <v>0</v>
      </c>
      <c r="BD42" s="21">
        <f>SUMIFS(Data!$I:$I,Data!$B:$B,$B42,Data!$G:$G,"&lt;="&amp;BD$2,Data!$H:$H,"&gt;="&amp;BD$2)</f>
        <v>0</v>
      </c>
      <c r="BE42" s="21">
        <f>SUMIFS(Data!$I:$I,Data!$B:$B,$B42,Data!$G:$G,"&lt;="&amp;BE$2,Data!$H:$H,"&gt;="&amp;BE$2)</f>
        <v>0</v>
      </c>
      <c r="BF42" s="21">
        <f>SUMIFS(Data!$I:$I,Data!$B:$B,$B42,Data!$G:$G,"&lt;="&amp;BF$2,Data!$H:$H,"&gt;="&amp;BF$2)</f>
        <v>0</v>
      </c>
      <c r="BG42" s="21">
        <f>SUMIFS(Data!$I:$I,Data!$B:$B,$B42,Data!$G:$G,"&lt;="&amp;BG$2,Data!$H:$H,"&gt;="&amp;BG$2)</f>
        <v>0</v>
      </c>
      <c r="BH42" s="21">
        <f>SUMIFS(Data!$I:$I,Data!$B:$B,$B42,Data!$G:$G,"&lt;="&amp;BH$2,Data!$H:$H,"&gt;="&amp;BH$2)</f>
        <v>0</v>
      </c>
      <c r="BI42" s="21">
        <f>SUMIFS(Data!$I:$I,Data!$B:$B,$B42,Data!$G:$G,"&lt;="&amp;BI$2,Data!$H:$H,"&gt;="&amp;BI$2)</f>
        <v>0</v>
      </c>
      <c r="BJ42" s="21">
        <f>SUMIFS(Data!$I:$I,Data!$B:$B,$B42,Data!$G:$G,"&lt;="&amp;BJ$2,Data!$H:$H,"&gt;="&amp;BJ$2)</f>
        <v>0</v>
      </c>
      <c r="BK42" s="21">
        <f>SUMIFS(Data!$I:$I,Data!$B:$B,$B42,Data!$G:$G,"&lt;="&amp;BK$2,Data!$H:$H,"&gt;="&amp;BK$2)</f>
        <v>0</v>
      </c>
      <c r="BL42" s="21">
        <f>SUMIFS(Data!$I:$I,Data!$B:$B,$B42,Data!$G:$G,"&lt;="&amp;BL$2,Data!$H:$H,"&gt;="&amp;BL$2)</f>
        <v>0</v>
      </c>
      <c r="BM42" s="21">
        <f>SUMIFS(Data!$I:$I,Data!$B:$B,$B42,Data!$G:$G,"&lt;="&amp;BM$2,Data!$H:$H,"&gt;="&amp;BM$2)</f>
        <v>0</v>
      </c>
      <c r="BN42" s="21">
        <f>SUMIFS(Data!$I:$I,Data!$B:$B,$B42,Data!$G:$G,"&lt;="&amp;BN$2,Data!$H:$H,"&gt;="&amp;BN$2)</f>
        <v>0</v>
      </c>
      <c r="BO42" s="21">
        <f>SUMIFS(Data!$I:$I,Data!$B:$B,$B42,Data!$G:$G,"&lt;="&amp;BO$2,Data!$H:$H,"&gt;="&amp;BO$2)</f>
        <v>0</v>
      </c>
      <c r="BP42" s="21">
        <f>SUMIFS(Data!$I:$I,Data!$B:$B,$B42,Data!$G:$G,"&lt;="&amp;BP$2,Data!$H:$H,"&gt;="&amp;BP$2)</f>
        <v>0</v>
      </c>
      <c r="BQ42" s="21">
        <f>SUMIFS(Data!$I:$I,Data!$B:$B,$B42,Data!$G:$G,"&lt;="&amp;BQ$2,Data!$H:$H,"&gt;="&amp;BQ$2)</f>
        <v>0</v>
      </c>
      <c r="BR42" s="21">
        <f>SUMIFS(Data!$I:$I,Data!$B:$B,$B42,Data!$G:$G,"&lt;="&amp;BR$2,Data!$H:$H,"&gt;="&amp;BR$2)</f>
        <v>0</v>
      </c>
      <c r="BS42" s="21">
        <f>SUMIFS(Data!$I:$I,Data!$B:$B,$B42,Data!$G:$G,"&lt;="&amp;BS$2,Data!$H:$H,"&gt;="&amp;BS$2)</f>
        <v>0</v>
      </c>
      <c r="BT42" s="21">
        <f>SUMIFS(Data!$I:$I,Data!$B:$B,$B42,Data!$G:$G,"&lt;="&amp;BT$2,Data!$H:$H,"&gt;="&amp;BT$2)</f>
        <v>0</v>
      </c>
      <c r="BU42" s="21">
        <f>SUMIFS(Data!$I:$I,Data!$B:$B,$B42,Data!$G:$G,"&lt;="&amp;BU$2,Data!$H:$H,"&gt;="&amp;BU$2)</f>
        <v>0</v>
      </c>
      <c r="BV42" s="21">
        <f>SUMIFS(Data!$I:$I,Data!$B:$B,$B42,Data!$G:$G,"&lt;="&amp;BV$2,Data!$H:$H,"&gt;="&amp;BV$2)</f>
        <v>0</v>
      </c>
      <c r="BW42" s="21">
        <f>SUMIFS(Data!$I:$I,Data!$B:$B,$B42,Data!$G:$G,"&lt;="&amp;BW$2,Data!$H:$H,"&gt;="&amp;BW$2)</f>
        <v>0</v>
      </c>
      <c r="BX42" s="21">
        <f>SUMIFS(Data!$I:$I,Data!$B:$B,$B42,Data!$G:$G,"&lt;="&amp;BX$2,Data!$H:$H,"&gt;="&amp;BX$2)</f>
        <v>0</v>
      </c>
      <c r="BY42" s="21">
        <f>SUMIFS(Data!$I:$I,Data!$B:$B,$B42,Data!$G:$G,"&lt;="&amp;BY$2,Data!$H:$H,"&gt;="&amp;BY$2)</f>
        <v>0</v>
      </c>
      <c r="BZ42" s="21">
        <f>SUMIFS(Data!$I:$I,Data!$B:$B,$B42,Data!$G:$G,"&lt;="&amp;BZ$2,Data!$H:$H,"&gt;="&amp;BZ$2)</f>
        <v>0</v>
      </c>
      <c r="CA42" s="22">
        <f t="shared" si="66"/>
        <v>34000</v>
      </c>
    </row>
    <row r="43" spans="2:79" x14ac:dyDescent="0.25">
      <c r="B43" s="11" t="s">
        <v>157</v>
      </c>
      <c r="C43" s="11" t="str">
        <f>VLOOKUP(B43,Data!B:C,2,FALSE)</f>
        <v>JREFII</v>
      </c>
      <c r="D43" s="21">
        <f>SUMIFS(Data!$I:$I,Data!$B:$B,$B43,Data!$G:$G,"&lt;="&amp;D$2,Data!$H:$H,"&gt;="&amp;D$2)</f>
        <v>0</v>
      </c>
      <c r="E43" s="21">
        <f>SUMIFS(Data!$I:$I,Data!$B:$B,$B43,Data!$G:$G,"&lt;="&amp;E$2,Data!$H:$H,"&gt;="&amp;E$2)</f>
        <v>0</v>
      </c>
      <c r="F43" s="21">
        <f>SUMIFS(Data!$I:$I,Data!$B:$B,$B43,Data!$G:$G,"&lt;="&amp;F$2,Data!$H:$H,"&gt;="&amp;F$2)</f>
        <v>0</v>
      </c>
      <c r="G43" s="21">
        <f>SUMIFS(Data!$I:$I,Data!$B:$B,$B43,Data!$G:$G,"&lt;="&amp;G$2,Data!$H:$H,"&gt;="&amp;G$2)</f>
        <v>0</v>
      </c>
      <c r="H43" s="21">
        <f>SUMIFS(Data!$I:$I,Data!$B:$B,$B43,Data!$G:$G,"&lt;="&amp;H$2,Data!$H:$H,"&gt;="&amp;H$2)</f>
        <v>0</v>
      </c>
      <c r="I43" s="21">
        <f>SUMIFS(Data!$I:$I,Data!$B:$B,$B43,Data!$G:$G,"&lt;="&amp;I$2,Data!$H:$H,"&gt;="&amp;I$2)</f>
        <v>0</v>
      </c>
      <c r="J43" s="21">
        <f>SUMIFS(Data!$I:$I,Data!$B:$B,$B43,Data!$G:$G,"&lt;="&amp;J$2,Data!$H:$H,"&gt;="&amp;J$2)</f>
        <v>6666.666666666667</v>
      </c>
      <c r="K43" s="21">
        <f>SUMIFS(Data!$I:$I,Data!$B:$B,$B43,Data!$G:$G,"&lt;="&amp;K$2,Data!$H:$H,"&gt;="&amp;K$2)</f>
        <v>6666.666666666667</v>
      </c>
      <c r="L43" s="21">
        <f>SUMIFS(Data!$I:$I,Data!$B:$B,$B43,Data!$G:$G,"&lt;="&amp;L$2,Data!$H:$H,"&gt;="&amp;L$2)</f>
        <v>6666.666666666667</v>
      </c>
      <c r="M43" s="21">
        <f>SUMIFS(Data!$I:$I,Data!$B:$B,$B43,Data!$G:$G,"&lt;="&amp;M$2,Data!$H:$H,"&gt;="&amp;M$2)</f>
        <v>3333.3333333333335</v>
      </c>
      <c r="N43" s="21">
        <f>SUMIFS(Data!$I:$I,Data!$B:$B,$B43,Data!$G:$G,"&lt;="&amp;N$2,Data!$H:$H,"&gt;="&amp;N$2)</f>
        <v>3333.3333333333335</v>
      </c>
      <c r="O43" s="21">
        <f>SUMIFS(Data!$I:$I,Data!$B:$B,$B43,Data!$G:$G,"&lt;="&amp;O$2,Data!$H:$H,"&gt;="&amp;O$2)</f>
        <v>3333.3333333333335</v>
      </c>
      <c r="P43" s="21">
        <f>SUMIFS(Data!$I:$I,Data!$B:$B,$B43,Data!$G:$G,"&lt;="&amp;P$2,Data!$H:$H,"&gt;="&amp;P$2)</f>
        <v>0</v>
      </c>
      <c r="Q43" s="21">
        <f>SUMIFS(Data!$I:$I,Data!$B:$B,$B43,Data!$G:$G,"&lt;="&amp;Q$2,Data!$H:$H,"&gt;="&amp;Q$2)</f>
        <v>0</v>
      </c>
      <c r="R43" s="21">
        <f>SUMIFS(Data!$I:$I,Data!$B:$B,$B43,Data!$G:$G,"&lt;="&amp;R$2,Data!$H:$H,"&gt;="&amp;R$2)</f>
        <v>0</v>
      </c>
      <c r="S43" s="21">
        <f>SUMIFS(Data!$I:$I,Data!$B:$B,$B43,Data!$G:$G,"&lt;="&amp;S$2,Data!$H:$H,"&gt;="&amp;S$2)</f>
        <v>0</v>
      </c>
      <c r="T43" s="21">
        <f>SUMIFS(Data!$I:$I,Data!$B:$B,$B43,Data!$G:$G,"&lt;="&amp;T$2,Data!$H:$H,"&gt;="&amp;T$2)</f>
        <v>0</v>
      </c>
      <c r="U43" s="21">
        <f>SUMIFS(Data!$I:$I,Data!$B:$B,$B43,Data!$G:$G,"&lt;="&amp;U$2,Data!$H:$H,"&gt;="&amp;U$2)</f>
        <v>0</v>
      </c>
      <c r="V43" s="21">
        <f>SUMIFS(Data!$I:$I,Data!$B:$B,$B43,Data!$G:$G,"&lt;="&amp;V$2,Data!$H:$H,"&gt;="&amp;V$2)</f>
        <v>0</v>
      </c>
      <c r="W43" s="21">
        <f>SUMIFS(Data!$I:$I,Data!$B:$B,$B43,Data!$G:$G,"&lt;="&amp;W$2,Data!$H:$H,"&gt;="&amp;W$2)</f>
        <v>0</v>
      </c>
      <c r="X43" s="21">
        <f>SUMIFS(Data!$I:$I,Data!$B:$B,$B43,Data!$G:$G,"&lt;="&amp;X$2,Data!$H:$H,"&gt;="&amp;X$2)</f>
        <v>0</v>
      </c>
      <c r="Y43" s="21">
        <f>SUMIFS(Data!$I:$I,Data!$B:$B,$B43,Data!$G:$G,"&lt;="&amp;Y$2,Data!$H:$H,"&gt;="&amp;Y$2)</f>
        <v>0</v>
      </c>
      <c r="Z43" s="21">
        <f>SUMIFS(Data!$I:$I,Data!$B:$B,$B43,Data!$G:$G,"&lt;="&amp;Z$2,Data!$H:$H,"&gt;="&amp;Z$2)</f>
        <v>0</v>
      </c>
      <c r="AA43" s="21">
        <f>SUMIFS(Data!$I:$I,Data!$B:$B,$B43,Data!$G:$G,"&lt;="&amp;AA$2,Data!$H:$H,"&gt;="&amp;AA$2)</f>
        <v>0</v>
      </c>
      <c r="AB43" s="21">
        <f>SUMIFS(Data!$I:$I,Data!$B:$B,$B43,Data!$G:$G,"&lt;="&amp;AB$2,Data!$H:$H,"&gt;="&amp;AB$2)</f>
        <v>0</v>
      </c>
      <c r="AC43" s="21">
        <f>SUMIFS(Data!$I:$I,Data!$B:$B,$B43,Data!$G:$G,"&lt;="&amp;AC$2,Data!$H:$H,"&gt;="&amp;AC$2)</f>
        <v>0</v>
      </c>
      <c r="AD43" s="21">
        <f>SUMIFS(Data!$I:$I,Data!$B:$B,$B43,Data!$G:$G,"&lt;="&amp;AD$2,Data!$H:$H,"&gt;="&amp;AD$2)</f>
        <v>0</v>
      </c>
      <c r="AE43" s="21">
        <f>SUMIFS(Data!$I:$I,Data!$B:$B,$B43,Data!$G:$G,"&lt;="&amp;AE$2,Data!$H:$H,"&gt;="&amp;AE$2)</f>
        <v>0</v>
      </c>
      <c r="AF43" s="21">
        <f>SUMIFS(Data!$I:$I,Data!$B:$B,$B43,Data!$G:$G,"&lt;="&amp;AF$2,Data!$H:$H,"&gt;="&amp;AF$2)</f>
        <v>0</v>
      </c>
      <c r="AG43" s="21">
        <f>SUMIFS(Data!$I:$I,Data!$B:$B,$B43,Data!$G:$G,"&lt;="&amp;AG$2,Data!$H:$H,"&gt;="&amp;AG$2)</f>
        <v>0</v>
      </c>
      <c r="AH43" s="21">
        <f>SUMIFS(Data!$I:$I,Data!$B:$B,$B43,Data!$G:$G,"&lt;="&amp;AH$2,Data!$H:$H,"&gt;="&amp;AH$2)</f>
        <v>0</v>
      </c>
      <c r="AI43" s="21">
        <f>SUMIFS(Data!$I:$I,Data!$B:$B,$B43,Data!$G:$G,"&lt;="&amp;AI$2,Data!$H:$H,"&gt;="&amp;AI$2)</f>
        <v>0</v>
      </c>
      <c r="AJ43" s="21">
        <f>SUMIFS(Data!$I:$I,Data!$B:$B,$B43,Data!$G:$G,"&lt;="&amp;AJ$2,Data!$H:$H,"&gt;="&amp;AJ$2)</f>
        <v>0</v>
      </c>
      <c r="AK43" s="21">
        <f>SUMIFS(Data!$I:$I,Data!$B:$B,$B43,Data!$G:$G,"&lt;="&amp;AK$2,Data!$H:$H,"&gt;="&amp;AK$2)</f>
        <v>0</v>
      </c>
      <c r="AL43" s="21">
        <f>SUMIFS(Data!$I:$I,Data!$B:$B,$B43,Data!$G:$G,"&lt;="&amp;AL$2,Data!$H:$H,"&gt;="&amp;AL$2)</f>
        <v>0</v>
      </c>
      <c r="AM43" s="21">
        <f>SUMIFS(Data!$I:$I,Data!$B:$B,$B43,Data!$G:$G,"&lt;="&amp;AM$2,Data!$H:$H,"&gt;="&amp;AM$2)</f>
        <v>0</v>
      </c>
      <c r="AN43" s="21">
        <f>SUMIFS(Data!$I:$I,Data!$B:$B,$B43,Data!$G:$G,"&lt;="&amp;AN$2,Data!$H:$H,"&gt;="&amp;AN$2)</f>
        <v>0</v>
      </c>
      <c r="AO43" s="21">
        <f>SUMIFS(Data!$I:$I,Data!$B:$B,$B43,Data!$G:$G,"&lt;="&amp;AO$2,Data!$H:$H,"&gt;="&amp;AO$2)</f>
        <v>0</v>
      </c>
      <c r="AP43" s="21">
        <f>SUMIFS(Data!$I:$I,Data!$B:$B,$B43,Data!$G:$G,"&lt;="&amp;AP$2,Data!$H:$H,"&gt;="&amp;AP$2)</f>
        <v>0</v>
      </c>
      <c r="AQ43" s="21">
        <f>SUMIFS(Data!$I:$I,Data!$B:$B,$B43,Data!$G:$G,"&lt;="&amp;AQ$2,Data!$H:$H,"&gt;="&amp;AQ$2)</f>
        <v>0</v>
      </c>
      <c r="AR43" s="21">
        <f>SUMIFS(Data!$I:$I,Data!$B:$B,$B43,Data!$G:$G,"&lt;="&amp;AR$2,Data!$H:$H,"&gt;="&amp;AR$2)</f>
        <v>0</v>
      </c>
      <c r="AS43" s="21">
        <f>SUMIFS(Data!$I:$I,Data!$B:$B,$B43,Data!$G:$G,"&lt;="&amp;AS$2,Data!$H:$H,"&gt;="&amp;AS$2)</f>
        <v>0</v>
      </c>
      <c r="AT43" s="21">
        <f>SUMIFS(Data!$I:$I,Data!$B:$B,$B43,Data!$G:$G,"&lt;="&amp;AT$2,Data!$H:$H,"&gt;="&amp;AT$2)</f>
        <v>0</v>
      </c>
      <c r="AU43" s="21">
        <f>SUMIFS(Data!$I:$I,Data!$B:$B,$B43,Data!$G:$G,"&lt;="&amp;AU$2,Data!$H:$H,"&gt;="&amp;AU$2)</f>
        <v>0</v>
      </c>
      <c r="AV43" s="21">
        <f>SUMIFS(Data!$I:$I,Data!$B:$B,$B43,Data!$G:$G,"&lt;="&amp;AV$2,Data!$H:$H,"&gt;="&amp;AV$2)</f>
        <v>0</v>
      </c>
      <c r="AW43" s="21">
        <f>SUMIFS(Data!$I:$I,Data!$B:$B,$B43,Data!$G:$G,"&lt;="&amp;AW$2,Data!$H:$H,"&gt;="&amp;AW$2)</f>
        <v>0</v>
      </c>
      <c r="AX43" s="21">
        <f>SUMIFS(Data!$I:$I,Data!$B:$B,$B43,Data!$G:$G,"&lt;="&amp;AX$2,Data!$H:$H,"&gt;="&amp;AX$2)</f>
        <v>0</v>
      </c>
      <c r="AY43" s="21">
        <f>SUMIFS(Data!$I:$I,Data!$B:$B,$B43,Data!$G:$G,"&lt;="&amp;AY$2,Data!$H:$H,"&gt;="&amp;AY$2)</f>
        <v>0</v>
      </c>
      <c r="AZ43" s="21">
        <f>SUMIFS(Data!$I:$I,Data!$B:$B,$B43,Data!$G:$G,"&lt;="&amp;AZ$2,Data!$H:$H,"&gt;="&amp;AZ$2)</f>
        <v>0</v>
      </c>
      <c r="BA43" s="21">
        <f>SUMIFS(Data!$I:$I,Data!$B:$B,$B43,Data!$G:$G,"&lt;="&amp;BA$2,Data!$H:$H,"&gt;="&amp;BA$2)</f>
        <v>0</v>
      </c>
      <c r="BB43" s="21">
        <f>SUMIFS(Data!$I:$I,Data!$B:$B,$B43,Data!$G:$G,"&lt;="&amp;BB$2,Data!$H:$H,"&gt;="&amp;BB$2)</f>
        <v>0</v>
      </c>
      <c r="BC43" s="21">
        <f>SUMIFS(Data!$I:$I,Data!$B:$B,$B43,Data!$G:$G,"&lt;="&amp;BC$2,Data!$H:$H,"&gt;="&amp;BC$2)</f>
        <v>0</v>
      </c>
      <c r="BD43" s="21">
        <f>SUMIFS(Data!$I:$I,Data!$B:$B,$B43,Data!$G:$G,"&lt;="&amp;BD$2,Data!$H:$H,"&gt;="&amp;BD$2)</f>
        <v>0</v>
      </c>
      <c r="BE43" s="21">
        <f>SUMIFS(Data!$I:$I,Data!$B:$B,$B43,Data!$G:$G,"&lt;="&amp;BE$2,Data!$H:$H,"&gt;="&amp;BE$2)</f>
        <v>0</v>
      </c>
      <c r="BF43" s="21">
        <f>SUMIFS(Data!$I:$I,Data!$B:$B,$B43,Data!$G:$G,"&lt;="&amp;BF$2,Data!$H:$H,"&gt;="&amp;BF$2)</f>
        <v>0</v>
      </c>
      <c r="BG43" s="21">
        <f>SUMIFS(Data!$I:$I,Data!$B:$B,$B43,Data!$G:$G,"&lt;="&amp;BG$2,Data!$H:$H,"&gt;="&amp;BG$2)</f>
        <v>0</v>
      </c>
      <c r="BH43" s="21">
        <f>SUMIFS(Data!$I:$I,Data!$B:$B,$B43,Data!$G:$G,"&lt;="&amp;BH$2,Data!$H:$H,"&gt;="&amp;BH$2)</f>
        <v>0</v>
      </c>
      <c r="BI43" s="21">
        <f>SUMIFS(Data!$I:$I,Data!$B:$B,$B43,Data!$G:$G,"&lt;="&amp;BI$2,Data!$H:$H,"&gt;="&amp;BI$2)</f>
        <v>0</v>
      </c>
      <c r="BJ43" s="21">
        <f>SUMIFS(Data!$I:$I,Data!$B:$B,$B43,Data!$G:$G,"&lt;="&amp;BJ$2,Data!$H:$H,"&gt;="&amp;BJ$2)</f>
        <v>0</v>
      </c>
      <c r="BK43" s="21">
        <f>SUMIFS(Data!$I:$I,Data!$B:$B,$B43,Data!$G:$G,"&lt;="&amp;BK$2,Data!$H:$H,"&gt;="&amp;BK$2)</f>
        <v>0</v>
      </c>
      <c r="BL43" s="21">
        <f>SUMIFS(Data!$I:$I,Data!$B:$B,$B43,Data!$G:$G,"&lt;="&amp;BL$2,Data!$H:$H,"&gt;="&amp;BL$2)</f>
        <v>0</v>
      </c>
      <c r="BM43" s="21">
        <f>SUMIFS(Data!$I:$I,Data!$B:$B,$B43,Data!$G:$G,"&lt;="&amp;BM$2,Data!$H:$H,"&gt;="&amp;BM$2)</f>
        <v>0</v>
      </c>
      <c r="BN43" s="21">
        <f>SUMIFS(Data!$I:$I,Data!$B:$B,$B43,Data!$G:$G,"&lt;="&amp;BN$2,Data!$H:$H,"&gt;="&amp;BN$2)</f>
        <v>0</v>
      </c>
      <c r="BO43" s="21">
        <f>SUMIFS(Data!$I:$I,Data!$B:$B,$B43,Data!$G:$G,"&lt;="&amp;BO$2,Data!$H:$H,"&gt;="&amp;BO$2)</f>
        <v>0</v>
      </c>
      <c r="BP43" s="21">
        <f>SUMIFS(Data!$I:$I,Data!$B:$B,$B43,Data!$G:$G,"&lt;="&amp;BP$2,Data!$H:$H,"&gt;="&amp;BP$2)</f>
        <v>0</v>
      </c>
      <c r="BQ43" s="21">
        <f>SUMIFS(Data!$I:$I,Data!$B:$B,$B43,Data!$G:$G,"&lt;="&amp;BQ$2,Data!$H:$H,"&gt;="&amp;BQ$2)</f>
        <v>0</v>
      </c>
      <c r="BR43" s="21">
        <f>SUMIFS(Data!$I:$I,Data!$B:$B,$B43,Data!$G:$G,"&lt;="&amp;BR$2,Data!$H:$H,"&gt;="&amp;BR$2)</f>
        <v>0</v>
      </c>
      <c r="BS43" s="21">
        <f>SUMIFS(Data!$I:$I,Data!$B:$B,$B43,Data!$G:$G,"&lt;="&amp;BS$2,Data!$H:$H,"&gt;="&amp;BS$2)</f>
        <v>0</v>
      </c>
      <c r="BT43" s="21">
        <f>SUMIFS(Data!$I:$I,Data!$B:$B,$B43,Data!$G:$G,"&lt;="&amp;BT$2,Data!$H:$H,"&gt;="&amp;BT$2)</f>
        <v>0</v>
      </c>
      <c r="BU43" s="21">
        <f>SUMIFS(Data!$I:$I,Data!$B:$B,$B43,Data!$G:$G,"&lt;="&amp;BU$2,Data!$H:$H,"&gt;="&amp;BU$2)</f>
        <v>0</v>
      </c>
      <c r="BV43" s="21">
        <f>SUMIFS(Data!$I:$I,Data!$B:$B,$B43,Data!$G:$G,"&lt;="&amp;BV$2,Data!$H:$H,"&gt;="&amp;BV$2)</f>
        <v>0</v>
      </c>
      <c r="BW43" s="21">
        <f>SUMIFS(Data!$I:$I,Data!$B:$B,$B43,Data!$G:$G,"&lt;="&amp;BW$2,Data!$H:$H,"&gt;="&amp;BW$2)</f>
        <v>0</v>
      </c>
      <c r="BX43" s="21">
        <f>SUMIFS(Data!$I:$I,Data!$B:$B,$B43,Data!$G:$G,"&lt;="&amp;BX$2,Data!$H:$H,"&gt;="&amp;BX$2)</f>
        <v>0</v>
      </c>
      <c r="BY43" s="21">
        <f>SUMIFS(Data!$I:$I,Data!$B:$B,$B43,Data!$G:$G,"&lt;="&amp;BY$2,Data!$H:$H,"&gt;="&amp;BY$2)</f>
        <v>0</v>
      </c>
      <c r="BZ43" s="21">
        <f>SUMIFS(Data!$I:$I,Data!$B:$B,$B43,Data!$G:$G,"&lt;="&amp;BZ$2,Data!$H:$H,"&gt;="&amp;BZ$2)</f>
        <v>0</v>
      </c>
      <c r="CA43" s="22">
        <f t="shared" si="66"/>
        <v>29999.999999999996</v>
      </c>
    </row>
    <row r="44" spans="2:79" x14ac:dyDescent="0.25">
      <c r="B44" s="11" t="s">
        <v>16</v>
      </c>
      <c r="C44" s="11" t="str">
        <f>VLOOKUP(B44,Data!B:C,2,FALSE)</f>
        <v>JREFII</v>
      </c>
      <c r="D44" s="21">
        <f>SUMIFS(Data!$I:$I,Data!$B:$B,$B44,Data!$G:$G,"&lt;="&amp;D$2,Data!$H:$H,"&gt;="&amp;D$2)</f>
        <v>0</v>
      </c>
      <c r="E44" s="21">
        <f>SUMIFS(Data!$I:$I,Data!$B:$B,$B44,Data!$G:$G,"&lt;="&amp;E$2,Data!$H:$H,"&gt;="&amp;E$2)</f>
        <v>21000</v>
      </c>
      <c r="F44" s="21">
        <f>SUMIFS(Data!$I:$I,Data!$B:$B,$B44,Data!$G:$G,"&lt;="&amp;F$2,Data!$H:$H,"&gt;="&amp;F$2)</f>
        <v>21000</v>
      </c>
      <c r="G44" s="21">
        <f>SUMIFS(Data!$I:$I,Data!$B:$B,$B44,Data!$G:$G,"&lt;="&amp;G$2,Data!$H:$H,"&gt;="&amp;G$2)</f>
        <v>0</v>
      </c>
      <c r="H44" s="21">
        <f>SUMIFS(Data!$I:$I,Data!$B:$B,$B44,Data!$G:$G,"&lt;="&amp;H$2,Data!$H:$H,"&gt;="&amp;H$2)</f>
        <v>0</v>
      </c>
      <c r="I44" s="21">
        <f>SUMIFS(Data!$I:$I,Data!$B:$B,$B44,Data!$G:$G,"&lt;="&amp;I$2,Data!$H:$H,"&gt;="&amp;I$2)</f>
        <v>0</v>
      </c>
      <c r="J44" s="21">
        <f>SUMIFS(Data!$I:$I,Data!$B:$B,$B44,Data!$G:$G,"&lt;="&amp;J$2,Data!$H:$H,"&gt;="&amp;J$2)</f>
        <v>0</v>
      </c>
      <c r="K44" s="21">
        <f>SUMIFS(Data!$I:$I,Data!$B:$B,$B44,Data!$G:$G,"&lt;="&amp;K$2,Data!$H:$H,"&gt;="&amp;K$2)</f>
        <v>0</v>
      </c>
      <c r="L44" s="21">
        <f>SUMIFS(Data!$I:$I,Data!$B:$B,$B44,Data!$G:$G,"&lt;="&amp;L$2,Data!$H:$H,"&gt;="&amp;L$2)</f>
        <v>0</v>
      </c>
      <c r="M44" s="21">
        <f>SUMIFS(Data!$I:$I,Data!$B:$B,$B44,Data!$G:$G,"&lt;="&amp;M$2,Data!$H:$H,"&gt;="&amp;M$2)</f>
        <v>10000</v>
      </c>
      <c r="N44" s="21">
        <f>SUMIFS(Data!$I:$I,Data!$B:$B,$B44,Data!$G:$G,"&lt;="&amp;N$2,Data!$H:$H,"&gt;="&amp;N$2)</f>
        <v>10000</v>
      </c>
      <c r="O44" s="21">
        <f>SUMIFS(Data!$I:$I,Data!$B:$B,$B44,Data!$G:$G,"&lt;="&amp;O$2,Data!$H:$H,"&gt;="&amp;O$2)</f>
        <v>10000</v>
      </c>
      <c r="P44" s="21">
        <f>SUMIFS(Data!$I:$I,Data!$B:$B,$B44,Data!$G:$G,"&lt;="&amp;P$2,Data!$H:$H,"&gt;="&amp;P$2)</f>
        <v>0</v>
      </c>
      <c r="Q44" s="21">
        <f>SUMIFS(Data!$I:$I,Data!$B:$B,$B44,Data!$G:$G,"&lt;="&amp;Q$2,Data!$H:$H,"&gt;="&amp;Q$2)</f>
        <v>0</v>
      </c>
      <c r="R44" s="21">
        <f>SUMIFS(Data!$I:$I,Data!$B:$B,$B44,Data!$G:$G,"&lt;="&amp;R$2,Data!$H:$H,"&gt;="&amp;R$2)</f>
        <v>0</v>
      </c>
      <c r="S44" s="21">
        <f>SUMIFS(Data!$I:$I,Data!$B:$B,$B44,Data!$G:$G,"&lt;="&amp;S$2,Data!$H:$H,"&gt;="&amp;S$2)</f>
        <v>0</v>
      </c>
      <c r="T44" s="21">
        <f>SUMIFS(Data!$I:$I,Data!$B:$B,$B44,Data!$G:$G,"&lt;="&amp;T$2,Data!$H:$H,"&gt;="&amp;T$2)</f>
        <v>0</v>
      </c>
      <c r="U44" s="21">
        <f>SUMIFS(Data!$I:$I,Data!$B:$B,$B44,Data!$G:$G,"&lt;="&amp;U$2,Data!$H:$H,"&gt;="&amp;U$2)</f>
        <v>0</v>
      </c>
      <c r="V44" s="21">
        <f>SUMIFS(Data!$I:$I,Data!$B:$B,$B44,Data!$G:$G,"&lt;="&amp;V$2,Data!$H:$H,"&gt;="&amp;V$2)</f>
        <v>0</v>
      </c>
      <c r="W44" s="21">
        <f>SUMIFS(Data!$I:$I,Data!$B:$B,$B44,Data!$G:$G,"&lt;="&amp;W$2,Data!$H:$H,"&gt;="&amp;W$2)</f>
        <v>0</v>
      </c>
      <c r="X44" s="21">
        <f>SUMIFS(Data!$I:$I,Data!$B:$B,$B44,Data!$G:$G,"&lt;="&amp;X$2,Data!$H:$H,"&gt;="&amp;X$2)</f>
        <v>0</v>
      </c>
      <c r="Y44" s="21">
        <f>SUMIFS(Data!$I:$I,Data!$B:$B,$B44,Data!$G:$G,"&lt;="&amp;Y$2,Data!$H:$H,"&gt;="&amp;Y$2)</f>
        <v>100000</v>
      </c>
      <c r="Z44" s="21">
        <f>SUMIFS(Data!$I:$I,Data!$B:$B,$B44,Data!$G:$G,"&lt;="&amp;Z$2,Data!$H:$H,"&gt;="&amp;Z$2)</f>
        <v>100000</v>
      </c>
      <c r="AA44" s="21">
        <f>SUMIFS(Data!$I:$I,Data!$B:$B,$B44,Data!$G:$G,"&lt;="&amp;AA$2,Data!$H:$H,"&gt;="&amp;AA$2)</f>
        <v>0</v>
      </c>
      <c r="AB44" s="21">
        <f>SUMIFS(Data!$I:$I,Data!$B:$B,$B44,Data!$G:$G,"&lt;="&amp;AB$2,Data!$H:$H,"&gt;="&amp;AB$2)</f>
        <v>0</v>
      </c>
      <c r="AC44" s="21">
        <f>SUMIFS(Data!$I:$I,Data!$B:$B,$B44,Data!$G:$G,"&lt;="&amp;AC$2,Data!$H:$H,"&gt;="&amp;AC$2)</f>
        <v>0</v>
      </c>
      <c r="AD44" s="21">
        <f>SUMIFS(Data!$I:$I,Data!$B:$B,$B44,Data!$G:$G,"&lt;="&amp;AD$2,Data!$H:$H,"&gt;="&amp;AD$2)</f>
        <v>0</v>
      </c>
      <c r="AE44" s="21">
        <f>SUMIFS(Data!$I:$I,Data!$B:$B,$B44,Data!$G:$G,"&lt;="&amp;AE$2,Data!$H:$H,"&gt;="&amp;AE$2)</f>
        <v>0</v>
      </c>
      <c r="AF44" s="21">
        <f>SUMIFS(Data!$I:$I,Data!$B:$B,$B44,Data!$G:$G,"&lt;="&amp;AF$2,Data!$H:$H,"&gt;="&amp;AF$2)</f>
        <v>0</v>
      </c>
      <c r="AG44" s="21">
        <f>SUMIFS(Data!$I:$I,Data!$B:$B,$B44,Data!$G:$G,"&lt;="&amp;AG$2,Data!$H:$H,"&gt;="&amp;AG$2)</f>
        <v>0</v>
      </c>
      <c r="AH44" s="21">
        <f>SUMIFS(Data!$I:$I,Data!$B:$B,$B44,Data!$G:$G,"&lt;="&amp;AH$2,Data!$H:$H,"&gt;="&amp;AH$2)</f>
        <v>0</v>
      </c>
      <c r="AI44" s="21">
        <f>SUMIFS(Data!$I:$I,Data!$B:$B,$B44,Data!$G:$G,"&lt;="&amp;AI$2,Data!$H:$H,"&gt;="&amp;AI$2)</f>
        <v>0</v>
      </c>
      <c r="AJ44" s="21">
        <f>SUMIFS(Data!$I:$I,Data!$B:$B,$B44,Data!$G:$G,"&lt;="&amp;AJ$2,Data!$H:$H,"&gt;="&amp;AJ$2)</f>
        <v>0</v>
      </c>
      <c r="AK44" s="21">
        <f>SUMIFS(Data!$I:$I,Data!$B:$B,$B44,Data!$G:$G,"&lt;="&amp;AK$2,Data!$H:$H,"&gt;="&amp;AK$2)</f>
        <v>0</v>
      </c>
      <c r="AL44" s="21">
        <f>SUMIFS(Data!$I:$I,Data!$B:$B,$B44,Data!$G:$G,"&lt;="&amp;AL$2,Data!$H:$H,"&gt;="&amp;AL$2)</f>
        <v>0</v>
      </c>
      <c r="AM44" s="21">
        <f>SUMIFS(Data!$I:$I,Data!$B:$B,$B44,Data!$G:$G,"&lt;="&amp;AM$2,Data!$H:$H,"&gt;="&amp;AM$2)</f>
        <v>0</v>
      </c>
      <c r="AN44" s="21">
        <f>SUMIFS(Data!$I:$I,Data!$B:$B,$B44,Data!$G:$G,"&lt;="&amp;AN$2,Data!$H:$H,"&gt;="&amp;AN$2)</f>
        <v>0</v>
      </c>
      <c r="AO44" s="21">
        <f>SUMIFS(Data!$I:$I,Data!$B:$B,$B44,Data!$G:$G,"&lt;="&amp;AO$2,Data!$H:$H,"&gt;="&amp;AO$2)</f>
        <v>0</v>
      </c>
      <c r="AP44" s="21">
        <f>SUMIFS(Data!$I:$I,Data!$B:$B,$B44,Data!$G:$G,"&lt;="&amp;AP$2,Data!$H:$H,"&gt;="&amp;AP$2)</f>
        <v>0</v>
      </c>
      <c r="AQ44" s="21">
        <f>SUMIFS(Data!$I:$I,Data!$B:$B,$B44,Data!$G:$G,"&lt;="&amp;AQ$2,Data!$H:$H,"&gt;="&amp;AQ$2)</f>
        <v>0</v>
      </c>
      <c r="AR44" s="21">
        <f>SUMIFS(Data!$I:$I,Data!$B:$B,$B44,Data!$G:$G,"&lt;="&amp;AR$2,Data!$H:$H,"&gt;="&amp;AR$2)</f>
        <v>0</v>
      </c>
      <c r="AS44" s="21">
        <f>SUMIFS(Data!$I:$I,Data!$B:$B,$B44,Data!$G:$G,"&lt;="&amp;AS$2,Data!$H:$H,"&gt;="&amp;AS$2)</f>
        <v>0</v>
      </c>
      <c r="AT44" s="21">
        <f>SUMIFS(Data!$I:$I,Data!$B:$B,$B44,Data!$G:$G,"&lt;="&amp;AT$2,Data!$H:$H,"&gt;="&amp;AT$2)</f>
        <v>0</v>
      </c>
      <c r="AU44" s="21">
        <f>SUMIFS(Data!$I:$I,Data!$B:$B,$B44,Data!$G:$G,"&lt;="&amp;AU$2,Data!$H:$H,"&gt;="&amp;AU$2)</f>
        <v>0</v>
      </c>
      <c r="AV44" s="21">
        <f>SUMIFS(Data!$I:$I,Data!$B:$B,$B44,Data!$G:$G,"&lt;="&amp;AV$2,Data!$H:$H,"&gt;="&amp;AV$2)</f>
        <v>0</v>
      </c>
      <c r="AW44" s="21">
        <f>SUMIFS(Data!$I:$I,Data!$B:$B,$B44,Data!$G:$G,"&lt;="&amp;AW$2,Data!$H:$H,"&gt;="&amp;AW$2)</f>
        <v>0</v>
      </c>
      <c r="AX44" s="21">
        <f>SUMIFS(Data!$I:$I,Data!$B:$B,$B44,Data!$G:$G,"&lt;="&amp;AX$2,Data!$H:$H,"&gt;="&amp;AX$2)</f>
        <v>0</v>
      </c>
      <c r="AY44" s="21">
        <f>SUMIFS(Data!$I:$I,Data!$B:$B,$B44,Data!$G:$G,"&lt;="&amp;AY$2,Data!$H:$H,"&gt;="&amp;AY$2)</f>
        <v>0</v>
      </c>
      <c r="AZ44" s="21">
        <f>SUMIFS(Data!$I:$I,Data!$B:$B,$B44,Data!$G:$G,"&lt;="&amp;AZ$2,Data!$H:$H,"&gt;="&amp;AZ$2)</f>
        <v>0</v>
      </c>
      <c r="BA44" s="21">
        <f>SUMIFS(Data!$I:$I,Data!$B:$B,$B44,Data!$G:$G,"&lt;="&amp;BA$2,Data!$H:$H,"&gt;="&amp;BA$2)</f>
        <v>0</v>
      </c>
      <c r="BB44" s="21">
        <f>SUMIFS(Data!$I:$I,Data!$B:$B,$B44,Data!$G:$G,"&lt;="&amp;BB$2,Data!$H:$H,"&gt;="&amp;BB$2)</f>
        <v>0</v>
      </c>
      <c r="BC44" s="21">
        <f>SUMIFS(Data!$I:$I,Data!$B:$B,$B44,Data!$G:$G,"&lt;="&amp;BC$2,Data!$H:$H,"&gt;="&amp;BC$2)</f>
        <v>0</v>
      </c>
      <c r="BD44" s="21">
        <f>SUMIFS(Data!$I:$I,Data!$B:$B,$B44,Data!$G:$G,"&lt;="&amp;BD$2,Data!$H:$H,"&gt;="&amp;BD$2)</f>
        <v>0</v>
      </c>
      <c r="BE44" s="21">
        <f>SUMIFS(Data!$I:$I,Data!$B:$B,$B44,Data!$G:$G,"&lt;="&amp;BE$2,Data!$H:$H,"&gt;="&amp;BE$2)</f>
        <v>0</v>
      </c>
      <c r="BF44" s="21">
        <f>SUMIFS(Data!$I:$I,Data!$B:$B,$B44,Data!$G:$G,"&lt;="&amp;BF$2,Data!$H:$H,"&gt;="&amp;BF$2)</f>
        <v>0</v>
      </c>
      <c r="BG44" s="21">
        <f>SUMIFS(Data!$I:$I,Data!$B:$B,$B44,Data!$G:$G,"&lt;="&amp;BG$2,Data!$H:$H,"&gt;="&amp;BG$2)</f>
        <v>0</v>
      </c>
      <c r="BH44" s="21">
        <f>SUMIFS(Data!$I:$I,Data!$B:$B,$B44,Data!$G:$G,"&lt;="&amp;BH$2,Data!$H:$H,"&gt;="&amp;BH$2)</f>
        <v>0</v>
      </c>
      <c r="BI44" s="21">
        <f>SUMIFS(Data!$I:$I,Data!$B:$B,$B44,Data!$G:$G,"&lt;="&amp;BI$2,Data!$H:$H,"&gt;="&amp;BI$2)</f>
        <v>0</v>
      </c>
      <c r="BJ44" s="21">
        <f>SUMIFS(Data!$I:$I,Data!$B:$B,$B44,Data!$G:$G,"&lt;="&amp;BJ$2,Data!$H:$H,"&gt;="&amp;BJ$2)</f>
        <v>0</v>
      </c>
      <c r="BK44" s="21">
        <f>SUMIFS(Data!$I:$I,Data!$B:$B,$B44,Data!$G:$G,"&lt;="&amp;BK$2,Data!$H:$H,"&gt;="&amp;BK$2)</f>
        <v>0</v>
      </c>
      <c r="BL44" s="21">
        <f>SUMIFS(Data!$I:$I,Data!$B:$B,$B44,Data!$G:$G,"&lt;="&amp;BL$2,Data!$H:$H,"&gt;="&amp;BL$2)</f>
        <v>0</v>
      </c>
      <c r="BM44" s="21">
        <f>SUMIFS(Data!$I:$I,Data!$B:$B,$B44,Data!$G:$G,"&lt;="&amp;BM$2,Data!$H:$H,"&gt;="&amp;BM$2)</f>
        <v>0</v>
      </c>
      <c r="BN44" s="21">
        <f>SUMIFS(Data!$I:$I,Data!$B:$B,$B44,Data!$G:$G,"&lt;="&amp;BN$2,Data!$H:$H,"&gt;="&amp;BN$2)</f>
        <v>0</v>
      </c>
      <c r="BO44" s="21">
        <f>SUMIFS(Data!$I:$I,Data!$B:$B,$B44,Data!$G:$G,"&lt;="&amp;BO$2,Data!$H:$H,"&gt;="&amp;BO$2)</f>
        <v>0</v>
      </c>
      <c r="BP44" s="21">
        <f>SUMIFS(Data!$I:$I,Data!$B:$B,$B44,Data!$G:$G,"&lt;="&amp;BP$2,Data!$H:$H,"&gt;="&amp;BP$2)</f>
        <v>0</v>
      </c>
      <c r="BQ44" s="21">
        <f>SUMIFS(Data!$I:$I,Data!$B:$B,$B44,Data!$G:$G,"&lt;="&amp;BQ$2,Data!$H:$H,"&gt;="&amp;BQ$2)</f>
        <v>0</v>
      </c>
      <c r="BR44" s="21">
        <f>SUMIFS(Data!$I:$I,Data!$B:$B,$B44,Data!$G:$G,"&lt;="&amp;BR$2,Data!$H:$H,"&gt;="&amp;BR$2)</f>
        <v>0</v>
      </c>
      <c r="BS44" s="21">
        <f>SUMIFS(Data!$I:$I,Data!$B:$B,$B44,Data!$G:$G,"&lt;="&amp;BS$2,Data!$H:$H,"&gt;="&amp;BS$2)</f>
        <v>0</v>
      </c>
      <c r="BT44" s="21">
        <f>SUMIFS(Data!$I:$I,Data!$B:$B,$B44,Data!$G:$G,"&lt;="&amp;BT$2,Data!$H:$H,"&gt;="&amp;BT$2)</f>
        <v>0</v>
      </c>
      <c r="BU44" s="21">
        <f>SUMIFS(Data!$I:$I,Data!$B:$B,$B44,Data!$G:$G,"&lt;="&amp;BU$2,Data!$H:$H,"&gt;="&amp;BU$2)</f>
        <v>0</v>
      </c>
      <c r="BV44" s="21">
        <f>SUMIFS(Data!$I:$I,Data!$B:$B,$B44,Data!$G:$G,"&lt;="&amp;BV$2,Data!$H:$H,"&gt;="&amp;BV$2)</f>
        <v>0</v>
      </c>
      <c r="BW44" s="21">
        <f>SUMIFS(Data!$I:$I,Data!$B:$B,$B44,Data!$G:$G,"&lt;="&amp;BW$2,Data!$H:$H,"&gt;="&amp;BW$2)</f>
        <v>0</v>
      </c>
      <c r="BX44" s="21">
        <f>SUMIFS(Data!$I:$I,Data!$B:$B,$B44,Data!$G:$G,"&lt;="&amp;BX$2,Data!$H:$H,"&gt;="&amp;BX$2)</f>
        <v>0</v>
      </c>
      <c r="BY44" s="21">
        <f>SUMIFS(Data!$I:$I,Data!$B:$B,$B44,Data!$G:$G,"&lt;="&amp;BY$2,Data!$H:$H,"&gt;="&amp;BY$2)</f>
        <v>0</v>
      </c>
      <c r="BZ44" s="21">
        <f>SUMIFS(Data!$I:$I,Data!$B:$B,$B44,Data!$G:$G,"&lt;="&amp;BZ$2,Data!$H:$H,"&gt;="&amp;BZ$2)</f>
        <v>0</v>
      </c>
      <c r="CA44" s="22">
        <f t="shared" si="66"/>
        <v>272000</v>
      </c>
    </row>
    <row r="45" spans="2:79" x14ac:dyDescent="0.25">
      <c r="B45" s="11" t="s">
        <v>165</v>
      </c>
      <c r="C45" s="11" t="str">
        <f>VLOOKUP(B45,Data!B:C,2,FALSE)</f>
        <v>JREFII</v>
      </c>
      <c r="D45" s="21">
        <f>SUMIFS(Data!$I:$I,Data!$B:$B,$B45,Data!$G:$G,"&lt;="&amp;D$2,Data!$H:$H,"&gt;="&amp;D$2)</f>
        <v>0</v>
      </c>
      <c r="E45" s="21">
        <f>SUMIFS(Data!$I:$I,Data!$B:$B,$B45,Data!$G:$G,"&lt;="&amp;E$2,Data!$H:$H,"&gt;="&amp;E$2)</f>
        <v>0</v>
      </c>
      <c r="F45" s="21">
        <f>SUMIFS(Data!$I:$I,Data!$B:$B,$B45,Data!$G:$G,"&lt;="&amp;F$2,Data!$H:$H,"&gt;="&amp;F$2)</f>
        <v>0</v>
      </c>
      <c r="G45" s="21">
        <f>SUMIFS(Data!$I:$I,Data!$B:$B,$B45,Data!$G:$G,"&lt;="&amp;G$2,Data!$H:$H,"&gt;="&amp;G$2)</f>
        <v>0</v>
      </c>
      <c r="H45" s="21">
        <f>SUMIFS(Data!$I:$I,Data!$B:$B,$B45,Data!$G:$G,"&lt;="&amp;H$2,Data!$H:$H,"&gt;="&amp;H$2)</f>
        <v>0</v>
      </c>
      <c r="I45" s="21">
        <f>SUMIFS(Data!$I:$I,Data!$B:$B,$B45,Data!$G:$G,"&lt;="&amp;I$2,Data!$H:$H,"&gt;="&amp;I$2)</f>
        <v>0</v>
      </c>
      <c r="J45" s="21">
        <f>SUMIFS(Data!$I:$I,Data!$B:$B,$B45,Data!$G:$G,"&lt;="&amp;J$2,Data!$H:$H,"&gt;="&amp;J$2)</f>
        <v>0</v>
      </c>
      <c r="K45" s="21">
        <f>SUMIFS(Data!$I:$I,Data!$B:$B,$B45,Data!$G:$G,"&lt;="&amp;K$2,Data!$H:$H,"&gt;="&amp;K$2)</f>
        <v>0</v>
      </c>
      <c r="L45" s="21">
        <f>SUMIFS(Data!$I:$I,Data!$B:$B,$B45,Data!$G:$G,"&lt;="&amp;L$2,Data!$H:$H,"&gt;="&amp;L$2)</f>
        <v>2666.6666666666665</v>
      </c>
      <c r="M45" s="21">
        <f>SUMIFS(Data!$I:$I,Data!$B:$B,$B45,Data!$G:$G,"&lt;="&amp;M$2,Data!$H:$H,"&gt;="&amp;M$2)</f>
        <v>2666.6666666666665</v>
      </c>
      <c r="N45" s="21">
        <f>SUMIFS(Data!$I:$I,Data!$B:$B,$B45,Data!$G:$G,"&lt;="&amp;N$2,Data!$H:$H,"&gt;="&amp;N$2)</f>
        <v>2666.6666666666665</v>
      </c>
      <c r="O45" s="21">
        <f>SUMIFS(Data!$I:$I,Data!$B:$B,$B45,Data!$G:$G,"&lt;="&amp;O$2,Data!$H:$H,"&gt;="&amp;O$2)</f>
        <v>0</v>
      </c>
      <c r="P45" s="21">
        <f>SUMIFS(Data!$I:$I,Data!$B:$B,$B45,Data!$G:$G,"&lt;="&amp;P$2,Data!$H:$H,"&gt;="&amp;P$2)</f>
        <v>0</v>
      </c>
      <c r="Q45" s="21">
        <f>SUMIFS(Data!$I:$I,Data!$B:$B,$B45,Data!$G:$G,"&lt;="&amp;Q$2,Data!$H:$H,"&gt;="&amp;Q$2)</f>
        <v>0</v>
      </c>
      <c r="R45" s="21">
        <f>SUMIFS(Data!$I:$I,Data!$B:$B,$B45,Data!$G:$G,"&lt;="&amp;R$2,Data!$H:$H,"&gt;="&amp;R$2)</f>
        <v>0</v>
      </c>
      <c r="S45" s="21">
        <f>SUMIFS(Data!$I:$I,Data!$B:$B,$B45,Data!$G:$G,"&lt;="&amp;S$2,Data!$H:$H,"&gt;="&amp;S$2)</f>
        <v>0</v>
      </c>
      <c r="T45" s="21">
        <f>SUMIFS(Data!$I:$I,Data!$B:$B,$B45,Data!$G:$G,"&lt;="&amp;T$2,Data!$H:$H,"&gt;="&amp;T$2)</f>
        <v>0</v>
      </c>
      <c r="U45" s="21">
        <f>SUMIFS(Data!$I:$I,Data!$B:$B,$B45,Data!$G:$G,"&lt;="&amp;U$2,Data!$H:$H,"&gt;="&amp;U$2)</f>
        <v>0</v>
      </c>
      <c r="V45" s="21">
        <f>SUMIFS(Data!$I:$I,Data!$B:$B,$B45,Data!$G:$G,"&lt;="&amp;V$2,Data!$H:$H,"&gt;="&amp;V$2)</f>
        <v>0</v>
      </c>
      <c r="W45" s="21">
        <f>SUMIFS(Data!$I:$I,Data!$B:$B,$B45,Data!$G:$G,"&lt;="&amp;W$2,Data!$H:$H,"&gt;="&amp;W$2)</f>
        <v>0</v>
      </c>
      <c r="X45" s="21">
        <f>SUMIFS(Data!$I:$I,Data!$B:$B,$B45,Data!$G:$G,"&lt;="&amp;X$2,Data!$H:$H,"&gt;="&amp;X$2)</f>
        <v>0</v>
      </c>
      <c r="Y45" s="21">
        <f>SUMIFS(Data!$I:$I,Data!$B:$B,$B45,Data!$G:$G,"&lt;="&amp;Y$2,Data!$H:$H,"&gt;="&amp;Y$2)</f>
        <v>0</v>
      </c>
      <c r="Z45" s="21">
        <f>SUMIFS(Data!$I:$I,Data!$B:$B,$B45,Data!$G:$G,"&lt;="&amp;Z$2,Data!$H:$H,"&gt;="&amp;Z$2)</f>
        <v>0</v>
      </c>
      <c r="AA45" s="21">
        <f>SUMIFS(Data!$I:$I,Data!$B:$B,$B45,Data!$G:$G,"&lt;="&amp;AA$2,Data!$H:$H,"&gt;="&amp;AA$2)</f>
        <v>66666.666666666672</v>
      </c>
      <c r="AB45" s="21">
        <f>SUMIFS(Data!$I:$I,Data!$B:$B,$B45,Data!$G:$G,"&lt;="&amp;AB$2,Data!$H:$H,"&gt;="&amp;AB$2)</f>
        <v>66666.666666666672</v>
      </c>
      <c r="AC45" s="21">
        <f>SUMIFS(Data!$I:$I,Data!$B:$B,$B45,Data!$G:$G,"&lt;="&amp;AC$2,Data!$H:$H,"&gt;="&amp;AC$2)</f>
        <v>66666.666666666672</v>
      </c>
      <c r="AD45" s="21">
        <f>SUMIFS(Data!$I:$I,Data!$B:$B,$B45,Data!$G:$G,"&lt;="&amp;AD$2,Data!$H:$H,"&gt;="&amp;AD$2)</f>
        <v>0</v>
      </c>
      <c r="AE45" s="21">
        <f>SUMIFS(Data!$I:$I,Data!$B:$B,$B45,Data!$G:$G,"&lt;="&amp;AE$2,Data!$H:$H,"&gt;="&amp;AE$2)</f>
        <v>0</v>
      </c>
      <c r="AF45" s="21">
        <f>SUMIFS(Data!$I:$I,Data!$B:$B,$B45,Data!$G:$G,"&lt;="&amp;AF$2,Data!$H:$H,"&gt;="&amp;AF$2)</f>
        <v>0</v>
      </c>
      <c r="AG45" s="21">
        <f>SUMIFS(Data!$I:$I,Data!$B:$B,$B45,Data!$G:$G,"&lt;="&amp;AG$2,Data!$H:$H,"&gt;="&amp;AG$2)</f>
        <v>0</v>
      </c>
      <c r="AH45" s="21">
        <f>SUMIFS(Data!$I:$I,Data!$B:$B,$B45,Data!$G:$G,"&lt;="&amp;AH$2,Data!$H:$H,"&gt;="&amp;AH$2)</f>
        <v>0</v>
      </c>
      <c r="AI45" s="21">
        <f>SUMIFS(Data!$I:$I,Data!$B:$B,$B45,Data!$G:$G,"&lt;="&amp;AI$2,Data!$H:$H,"&gt;="&amp;AI$2)</f>
        <v>0</v>
      </c>
      <c r="AJ45" s="21">
        <f>SUMIFS(Data!$I:$I,Data!$B:$B,$B45,Data!$G:$G,"&lt;="&amp;AJ$2,Data!$H:$H,"&gt;="&amp;AJ$2)</f>
        <v>0</v>
      </c>
      <c r="AK45" s="21">
        <f>SUMIFS(Data!$I:$I,Data!$B:$B,$B45,Data!$G:$G,"&lt;="&amp;AK$2,Data!$H:$H,"&gt;="&amp;AK$2)</f>
        <v>0</v>
      </c>
      <c r="AL45" s="21">
        <f>SUMIFS(Data!$I:$I,Data!$B:$B,$B45,Data!$G:$G,"&lt;="&amp;AL$2,Data!$H:$H,"&gt;="&amp;AL$2)</f>
        <v>0</v>
      </c>
      <c r="AM45" s="21">
        <f>SUMIFS(Data!$I:$I,Data!$B:$B,$B45,Data!$G:$G,"&lt;="&amp;AM$2,Data!$H:$H,"&gt;="&amp;AM$2)</f>
        <v>0</v>
      </c>
      <c r="AN45" s="21">
        <f>SUMIFS(Data!$I:$I,Data!$B:$B,$B45,Data!$G:$G,"&lt;="&amp;AN$2,Data!$H:$H,"&gt;="&amp;AN$2)</f>
        <v>0</v>
      </c>
      <c r="AO45" s="21">
        <f>SUMIFS(Data!$I:$I,Data!$B:$B,$B45,Data!$G:$G,"&lt;="&amp;AO$2,Data!$H:$H,"&gt;="&amp;AO$2)</f>
        <v>0</v>
      </c>
      <c r="AP45" s="21">
        <f>SUMIFS(Data!$I:$I,Data!$B:$B,$B45,Data!$G:$G,"&lt;="&amp;AP$2,Data!$H:$H,"&gt;="&amp;AP$2)</f>
        <v>0</v>
      </c>
      <c r="AQ45" s="21">
        <f>SUMIFS(Data!$I:$I,Data!$B:$B,$B45,Data!$G:$G,"&lt;="&amp;AQ$2,Data!$H:$H,"&gt;="&amp;AQ$2)</f>
        <v>0</v>
      </c>
      <c r="AR45" s="21">
        <f>SUMIFS(Data!$I:$I,Data!$B:$B,$B45,Data!$G:$G,"&lt;="&amp;AR$2,Data!$H:$H,"&gt;="&amp;AR$2)</f>
        <v>0</v>
      </c>
      <c r="AS45" s="21">
        <f>SUMIFS(Data!$I:$I,Data!$B:$B,$B45,Data!$G:$G,"&lt;="&amp;AS$2,Data!$H:$H,"&gt;="&amp;AS$2)</f>
        <v>0</v>
      </c>
      <c r="AT45" s="21">
        <f>SUMIFS(Data!$I:$I,Data!$B:$B,$B45,Data!$G:$G,"&lt;="&amp;AT$2,Data!$H:$H,"&gt;="&amp;AT$2)</f>
        <v>0</v>
      </c>
      <c r="AU45" s="21">
        <f>SUMIFS(Data!$I:$I,Data!$B:$B,$B45,Data!$G:$G,"&lt;="&amp;AU$2,Data!$H:$H,"&gt;="&amp;AU$2)</f>
        <v>0</v>
      </c>
      <c r="AV45" s="21">
        <f>SUMIFS(Data!$I:$I,Data!$B:$B,$B45,Data!$G:$G,"&lt;="&amp;AV$2,Data!$H:$H,"&gt;="&amp;AV$2)</f>
        <v>0</v>
      </c>
      <c r="AW45" s="21">
        <f>SUMIFS(Data!$I:$I,Data!$B:$B,$B45,Data!$G:$G,"&lt;="&amp;AW$2,Data!$H:$H,"&gt;="&amp;AW$2)</f>
        <v>0</v>
      </c>
      <c r="AX45" s="21">
        <f>SUMIFS(Data!$I:$I,Data!$B:$B,$B45,Data!$G:$G,"&lt;="&amp;AX$2,Data!$H:$H,"&gt;="&amp;AX$2)</f>
        <v>0</v>
      </c>
      <c r="AY45" s="21">
        <f>SUMIFS(Data!$I:$I,Data!$B:$B,$B45,Data!$G:$G,"&lt;="&amp;AY$2,Data!$H:$H,"&gt;="&amp;AY$2)</f>
        <v>0</v>
      </c>
      <c r="AZ45" s="21">
        <f>SUMIFS(Data!$I:$I,Data!$B:$B,$B45,Data!$G:$G,"&lt;="&amp;AZ$2,Data!$H:$H,"&gt;="&amp;AZ$2)</f>
        <v>0</v>
      </c>
      <c r="BA45" s="21">
        <f>SUMIFS(Data!$I:$I,Data!$B:$B,$B45,Data!$G:$G,"&lt;="&amp;BA$2,Data!$H:$H,"&gt;="&amp;BA$2)</f>
        <v>0</v>
      </c>
      <c r="BB45" s="21">
        <f>SUMIFS(Data!$I:$I,Data!$B:$B,$B45,Data!$G:$G,"&lt;="&amp;BB$2,Data!$H:$H,"&gt;="&amp;BB$2)</f>
        <v>0</v>
      </c>
      <c r="BC45" s="21">
        <f>SUMIFS(Data!$I:$I,Data!$B:$B,$B45,Data!$G:$G,"&lt;="&amp;BC$2,Data!$H:$H,"&gt;="&amp;BC$2)</f>
        <v>0</v>
      </c>
      <c r="BD45" s="21">
        <f>SUMIFS(Data!$I:$I,Data!$B:$B,$B45,Data!$G:$G,"&lt;="&amp;BD$2,Data!$H:$H,"&gt;="&amp;BD$2)</f>
        <v>0</v>
      </c>
      <c r="BE45" s="21">
        <f>SUMIFS(Data!$I:$I,Data!$B:$B,$B45,Data!$G:$G,"&lt;="&amp;BE$2,Data!$H:$H,"&gt;="&amp;BE$2)</f>
        <v>0</v>
      </c>
      <c r="BF45" s="21">
        <f>SUMIFS(Data!$I:$I,Data!$B:$B,$B45,Data!$G:$G,"&lt;="&amp;BF$2,Data!$H:$H,"&gt;="&amp;BF$2)</f>
        <v>0</v>
      </c>
      <c r="BG45" s="21">
        <f>SUMIFS(Data!$I:$I,Data!$B:$B,$B45,Data!$G:$G,"&lt;="&amp;BG$2,Data!$H:$H,"&gt;="&amp;BG$2)</f>
        <v>0</v>
      </c>
      <c r="BH45" s="21">
        <f>SUMIFS(Data!$I:$I,Data!$B:$B,$B45,Data!$G:$G,"&lt;="&amp;BH$2,Data!$H:$H,"&gt;="&amp;BH$2)</f>
        <v>0</v>
      </c>
      <c r="BI45" s="21">
        <f>SUMIFS(Data!$I:$I,Data!$B:$B,$B45,Data!$G:$G,"&lt;="&amp;BI$2,Data!$H:$H,"&gt;="&amp;BI$2)</f>
        <v>0</v>
      </c>
      <c r="BJ45" s="21">
        <f>SUMIFS(Data!$I:$I,Data!$B:$B,$B45,Data!$G:$G,"&lt;="&amp;BJ$2,Data!$H:$H,"&gt;="&amp;BJ$2)</f>
        <v>0</v>
      </c>
      <c r="BK45" s="21">
        <f>SUMIFS(Data!$I:$I,Data!$B:$B,$B45,Data!$G:$G,"&lt;="&amp;BK$2,Data!$H:$H,"&gt;="&amp;BK$2)</f>
        <v>0</v>
      </c>
      <c r="BL45" s="21">
        <f>SUMIFS(Data!$I:$I,Data!$B:$B,$B45,Data!$G:$G,"&lt;="&amp;BL$2,Data!$H:$H,"&gt;="&amp;BL$2)</f>
        <v>0</v>
      </c>
      <c r="BM45" s="21">
        <f>SUMIFS(Data!$I:$I,Data!$B:$B,$B45,Data!$G:$G,"&lt;="&amp;BM$2,Data!$H:$H,"&gt;="&amp;BM$2)</f>
        <v>0</v>
      </c>
      <c r="BN45" s="21">
        <f>SUMIFS(Data!$I:$I,Data!$B:$B,$B45,Data!$G:$G,"&lt;="&amp;BN$2,Data!$H:$H,"&gt;="&amp;BN$2)</f>
        <v>0</v>
      </c>
      <c r="BO45" s="21">
        <f>SUMIFS(Data!$I:$I,Data!$B:$B,$B45,Data!$G:$G,"&lt;="&amp;BO$2,Data!$H:$H,"&gt;="&amp;BO$2)</f>
        <v>0</v>
      </c>
      <c r="BP45" s="21">
        <f>SUMIFS(Data!$I:$I,Data!$B:$B,$B45,Data!$G:$G,"&lt;="&amp;BP$2,Data!$H:$H,"&gt;="&amp;BP$2)</f>
        <v>0</v>
      </c>
      <c r="BQ45" s="21">
        <f>SUMIFS(Data!$I:$I,Data!$B:$B,$B45,Data!$G:$G,"&lt;="&amp;BQ$2,Data!$H:$H,"&gt;="&amp;BQ$2)</f>
        <v>0</v>
      </c>
      <c r="BR45" s="21">
        <f>SUMIFS(Data!$I:$I,Data!$B:$B,$B45,Data!$G:$G,"&lt;="&amp;BR$2,Data!$H:$H,"&gt;="&amp;BR$2)</f>
        <v>0</v>
      </c>
      <c r="BS45" s="21">
        <f>SUMIFS(Data!$I:$I,Data!$B:$B,$B45,Data!$G:$G,"&lt;="&amp;BS$2,Data!$H:$H,"&gt;="&amp;BS$2)</f>
        <v>0</v>
      </c>
      <c r="BT45" s="21">
        <f>SUMIFS(Data!$I:$I,Data!$B:$B,$B45,Data!$G:$G,"&lt;="&amp;BT$2,Data!$H:$H,"&gt;="&amp;BT$2)</f>
        <v>0</v>
      </c>
      <c r="BU45" s="21">
        <f>SUMIFS(Data!$I:$I,Data!$B:$B,$B45,Data!$G:$G,"&lt;="&amp;BU$2,Data!$H:$H,"&gt;="&amp;BU$2)</f>
        <v>0</v>
      </c>
      <c r="BV45" s="21">
        <f>SUMIFS(Data!$I:$I,Data!$B:$B,$B45,Data!$G:$G,"&lt;="&amp;BV$2,Data!$H:$H,"&gt;="&amp;BV$2)</f>
        <v>0</v>
      </c>
      <c r="BW45" s="21">
        <f>SUMIFS(Data!$I:$I,Data!$B:$B,$B45,Data!$G:$G,"&lt;="&amp;BW$2,Data!$H:$H,"&gt;="&amp;BW$2)</f>
        <v>0</v>
      </c>
      <c r="BX45" s="21">
        <f>SUMIFS(Data!$I:$I,Data!$B:$B,$B45,Data!$G:$G,"&lt;="&amp;BX$2,Data!$H:$H,"&gt;="&amp;BX$2)</f>
        <v>0</v>
      </c>
      <c r="BY45" s="21">
        <f>SUMIFS(Data!$I:$I,Data!$B:$B,$B45,Data!$G:$G,"&lt;="&amp;BY$2,Data!$H:$H,"&gt;="&amp;BY$2)</f>
        <v>0</v>
      </c>
      <c r="BZ45" s="21">
        <f>SUMIFS(Data!$I:$I,Data!$B:$B,$B45,Data!$G:$G,"&lt;="&amp;BZ$2,Data!$H:$H,"&gt;="&amp;BZ$2)</f>
        <v>0</v>
      </c>
      <c r="CA45" s="22">
        <f t="shared" si="66"/>
        <v>208000</v>
      </c>
    </row>
    <row r="46" spans="2:79" x14ac:dyDescent="0.25">
      <c r="B46" s="13" t="s">
        <v>239</v>
      </c>
      <c r="C46" s="14"/>
      <c r="D46" s="22">
        <f t="shared" ref="D46:F46" si="67">SUM(D27:D45)</f>
        <v>12666.666666666668</v>
      </c>
      <c r="E46" s="22">
        <f t="shared" si="67"/>
        <v>33666.666666666672</v>
      </c>
      <c r="F46" s="22">
        <f t="shared" si="67"/>
        <v>33666.666666666672</v>
      </c>
      <c r="G46" s="22">
        <f>SUM(G27:G45)</f>
        <v>132000</v>
      </c>
      <c r="H46" s="22">
        <f t="shared" ref="H46:AD46" si="68">SUM(H27:H45)</f>
        <v>135333.33333333331</v>
      </c>
      <c r="I46" s="22">
        <f t="shared" si="68"/>
        <v>135333.33333333331</v>
      </c>
      <c r="J46" s="22">
        <f t="shared" si="68"/>
        <v>207809.52380952382</v>
      </c>
      <c r="K46" s="22">
        <f t="shared" si="68"/>
        <v>217809.52380952379</v>
      </c>
      <c r="L46" s="22">
        <f t="shared" si="68"/>
        <v>222142.8571428571</v>
      </c>
      <c r="M46" s="22">
        <f t="shared" si="68"/>
        <v>170976.19047619047</v>
      </c>
      <c r="N46" s="22">
        <f t="shared" si="68"/>
        <v>157642.85714285716</v>
      </c>
      <c r="O46" s="22">
        <f t="shared" si="68"/>
        <v>194976.1904761905</v>
      </c>
      <c r="P46" s="22">
        <f t="shared" si="68"/>
        <v>595309.52380952379</v>
      </c>
      <c r="Q46" s="22">
        <f t="shared" si="68"/>
        <v>527166.66666666663</v>
      </c>
      <c r="R46" s="22">
        <f t="shared" si="68"/>
        <v>485500</v>
      </c>
      <c r="S46" s="22">
        <f t="shared" si="68"/>
        <v>16666.666666666668</v>
      </c>
      <c r="T46" s="22">
        <f t="shared" ref="T46" si="69">SUM(T27:T45)</f>
        <v>16666.666666666668</v>
      </c>
      <c r="U46" s="22">
        <f t="shared" ref="U46" si="70">SUM(U27:U45)</f>
        <v>16666.666666666668</v>
      </c>
      <c r="V46" s="22">
        <f t="shared" ref="V46" si="71">SUM(V27:V45)</f>
        <v>0</v>
      </c>
      <c r="W46" s="22">
        <f t="shared" ref="W46" si="72">SUM(W27:W45)</f>
        <v>13333.333333333334</v>
      </c>
      <c r="X46" s="22">
        <f t="shared" ref="X46" si="73">SUM(X27:X45)</f>
        <v>13333.333333333334</v>
      </c>
      <c r="Y46" s="22">
        <f t="shared" ref="Y46" si="74">SUM(Y27:Y45)</f>
        <v>196666.66666666666</v>
      </c>
      <c r="Z46" s="22">
        <f t="shared" ref="Z46" si="75">SUM(Z27:Z45)</f>
        <v>183333.33333333331</v>
      </c>
      <c r="AA46" s="22">
        <f t="shared" ref="AA46" si="76">SUM(AA27:AA45)</f>
        <v>150000</v>
      </c>
      <c r="AB46" s="22">
        <f t="shared" ref="AB46" si="77">SUM(AB27:AB45)</f>
        <v>66666.666666666672</v>
      </c>
      <c r="AC46" s="22">
        <f t="shared" ref="AC46" si="78">SUM(AC27:AC45)</f>
        <v>66666.666666666672</v>
      </c>
      <c r="AD46" s="22">
        <f t="shared" si="68"/>
        <v>0</v>
      </c>
      <c r="AE46" s="22">
        <f t="shared" ref="AE46" si="79">SUM(AE27:AE45)</f>
        <v>0</v>
      </c>
      <c r="AF46" s="22">
        <f t="shared" ref="AF46" si="80">SUM(AF27:AF45)</f>
        <v>0</v>
      </c>
      <c r="AG46" s="22">
        <f t="shared" ref="AG46" si="81">SUM(AG27:AG45)</f>
        <v>0</v>
      </c>
      <c r="AH46" s="22">
        <f t="shared" ref="AH46" si="82">SUM(AH27:AH45)</f>
        <v>0</v>
      </c>
      <c r="AI46" s="22">
        <f t="shared" ref="AI46" si="83">SUM(AI27:AI45)</f>
        <v>13333.333333333334</v>
      </c>
      <c r="AJ46" s="22">
        <f t="shared" ref="AJ46" si="84">SUM(AJ27:AJ45)</f>
        <v>13333.333333333334</v>
      </c>
      <c r="AK46" s="22">
        <f t="shared" ref="AK46" si="85">SUM(AK27:AK45)</f>
        <v>13333.333333333334</v>
      </c>
      <c r="AL46" s="22">
        <f t="shared" ref="AL46" si="86">SUM(AL27:AL45)</f>
        <v>0</v>
      </c>
      <c r="AM46" s="22">
        <f t="shared" ref="AM46" si="87">SUM(AM27:AM45)</f>
        <v>0</v>
      </c>
      <c r="AN46" s="22">
        <f t="shared" ref="AN46" si="88">SUM(AN27:AN45)</f>
        <v>0</v>
      </c>
      <c r="AO46" s="22">
        <f t="shared" ref="AO46" si="89">SUM(AO27:AO45)</f>
        <v>0</v>
      </c>
      <c r="AP46" s="22">
        <f t="shared" ref="AP46" si="90">SUM(AP27:AP45)</f>
        <v>0</v>
      </c>
      <c r="AQ46" s="22">
        <f t="shared" ref="AQ46" si="91">SUM(AQ27:AQ45)</f>
        <v>0</v>
      </c>
      <c r="AR46" s="22">
        <f t="shared" ref="AR46" si="92">SUM(AR27:AR45)</f>
        <v>0</v>
      </c>
      <c r="AS46" s="22">
        <f t="shared" ref="AS46" si="93">SUM(AS27:AS45)</f>
        <v>0</v>
      </c>
      <c r="AT46" s="22">
        <f t="shared" ref="AT46" si="94">SUM(AT27:AT45)</f>
        <v>0</v>
      </c>
      <c r="AU46" s="22">
        <f t="shared" ref="AU46" si="95">SUM(AU27:AU45)</f>
        <v>10000</v>
      </c>
      <c r="AV46" s="22">
        <f t="shared" ref="AV46" si="96">SUM(AV27:AV45)</f>
        <v>10000</v>
      </c>
      <c r="AW46" s="22">
        <f t="shared" ref="AW46" si="97">SUM(AW27:AW45)</f>
        <v>10000</v>
      </c>
      <c r="AX46" s="22">
        <f t="shared" ref="AX46" si="98">SUM(AX27:AX45)</f>
        <v>0</v>
      </c>
      <c r="AY46" s="22">
        <f t="shared" ref="AY46" si="99">SUM(AY27:AY45)</f>
        <v>0</v>
      </c>
      <c r="AZ46" s="22">
        <f t="shared" ref="AZ46" si="100">SUM(AZ27:AZ45)</f>
        <v>0</v>
      </c>
      <c r="BA46" s="22">
        <f t="shared" ref="BA46" si="101">SUM(BA27:BA45)</f>
        <v>0</v>
      </c>
      <c r="BB46" s="22">
        <f t="shared" ref="BB46" si="102">SUM(BB27:BB45)</f>
        <v>0</v>
      </c>
      <c r="BC46" s="22">
        <f t="shared" ref="BC46" si="103">SUM(BC27:BC45)</f>
        <v>0</v>
      </c>
      <c r="BD46" s="22">
        <f t="shared" ref="BD46" si="104">SUM(BD27:BD45)</f>
        <v>0</v>
      </c>
      <c r="BE46" s="22">
        <f t="shared" ref="BE46" si="105">SUM(BE27:BE45)</f>
        <v>0</v>
      </c>
      <c r="BF46" s="22">
        <f t="shared" ref="BF46" si="106">SUM(BF27:BF45)</f>
        <v>0</v>
      </c>
      <c r="BG46" s="22">
        <f t="shared" ref="BG46" si="107">SUM(BG27:BG45)</f>
        <v>0</v>
      </c>
      <c r="BH46" s="22">
        <f t="shared" ref="BH46" si="108">SUM(BH27:BH45)</f>
        <v>0</v>
      </c>
      <c r="BI46" s="22">
        <f t="shared" ref="BI46" si="109">SUM(BI27:BI45)</f>
        <v>0</v>
      </c>
      <c r="BJ46" s="22">
        <f t="shared" ref="BJ46" si="110">SUM(BJ27:BJ45)</f>
        <v>0</v>
      </c>
      <c r="BK46" s="22">
        <f t="shared" ref="BK46" si="111">SUM(BK27:BK45)</f>
        <v>0</v>
      </c>
      <c r="BL46" s="22">
        <f t="shared" ref="BL46" si="112">SUM(BL27:BL45)</f>
        <v>0</v>
      </c>
      <c r="BM46" s="22">
        <f t="shared" ref="BM46" si="113">SUM(BM27:BM45)</f>
        <v>0</v>
      </c>
      <c r="BN46" s="22">
        <f t="shared" ref="BN46" si="114">SUM(BN27:BN45)</f>
        <v>0</v>
      </c>
      <c r="BO46" s="22">
        <f t="shared" ref="BO46" si="115">SUM(BO27:BO45)</f>
        <v>0</v>
      </c>
      <c r="BP46" s="22">
        <f t="shared" ref="BP46" si="116">SUM(BP27:BP45)</f>
        <v>0</v>
      </c>
      <c r="BQ46" s="22">
        <f t="shared" ref="BQ46" si="117">SUM(BQ27:BQ45)</f>
        <v>0</v>
      </c>
      <c r="BR46" s="22">
        <f t="shared" ref="BR46" si="118">SUM(BR27:BR45)</f>
        <v>0</v>
      </c>
      <c r="BS46" s="22">
        <f t="shared" ref="BS46" si="119">SUM(BS27:BS45)</f>
        <v>0</v>
      </c>
      <c r="BT46" s="22">
        <f t="shared" ref="BT46" si="120">SUM(BT27:BT45)</f>
        <v>0</v>
      </c>
      <c r="BU46" s="22">
        <f t="shared" ref="BU46" si="121">SUM(BU27:BU45)</f>
        <v>0</v>
      </c>
      <c r="BV46" s="22">
        <f t="shared" ref="BV46" si="122">SUM(BV27:BV45)</f>
        <v>0</v>
      </c>
      <c r="BW46" s="22">
        <f t="shared" ref="BW46" si="123">SUM(BW27:BW45)</f>
        <v>0</v>
      </c>
      <c r="BX46" s="22">
        <f t="shared" ref="BX46" si="124">SUM(BX27:BX45)</f>
        <v>0</v>
      </c>
      <c r="BY46" s="22">
        <f t="shared" ref="BY46" si="125">SUM(BY27:BY45)</f>
        <v>0</v>
      </c>
      <c r="BZ46" s="22">
        <f t="shared" ref="BZ46" si="126">SUM(BZ27:BZ45)</f>
        <v>0</v>
      </c>
      <c r="CA46" s="22">
        <f t="shared" si="66"/>
        <v>4071999.9999999995</v>
      </c>
    </row>
    <row r="47" spans="2:79" x14ac:dyDescent="0.25"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</row>
    <row r="48" spans="2:79" ht="17.25" x14ac:dyDescent="0.4">
      <c r="B48" s="15" t="s">
        <v>238</v>
      </c>
      <c r="C48" s="15" t="s">
        <v>1</v>
      </c>
      <c r="D48" s="27">
        <v>45961</v>
      </c>
      <c r="E48" s="27">
        <f t="shared" ref="E48:G48" si="127">EOMONTH(D48,1)</f>
        <v>45991</v>
      </c>
      <c r="F48" s="27">
        <f t="shared" si="127"/>
        <v>46022</v>
      </c>
      <c r="G48" s="27">
        <f t="shared" si="127"/>
        <v>46053</v>
      </c>
      <c r="H48" s="27">
        <f>EOMONTH(G48,1)</f>
        <v>46081</v>
      </c>
      <c r="I48" s="27">
        <f t="shared" ref="I48:BT48" si="128">EOMONTH(H48,1)</f>
        <v>46112</v>
      </c>
      <c r="J48" s="27">
        <f t="shared" si="128"/>
        <v>46142</v>
      </c>
      <c r="K48" s="27">
        <f t="shared" si="128"/>
        <v>46173</v>
      </c>
      <c r="L48" s="27">
        <f t="shared" si="128"/>
        <v>46203</v>
      </c>
      <c r="M48" s="27">
        <f t="shared" si="128"/>
        <v>46234</v>
      </c>
      <c r="N48" s="27">
        <f t="shared" si="128"/>
        <v>46265</v>
      </c>
      <c r="O48" s="27">
        <f t="shared" si="128"/>
        <v>46295</v>
      </c>
      <c r="P48" s="27">
        <f t="shared" si="128"/>
        <v>46326</v>
      </c>
      <c r="Q48" s="27">
        <f t="shared" si="128"/>
        <v>46356</v>
      </c>
      <c r="R48" s="27">
        <f t="shared" si="128"/>
        <v>46387</v>
      </c>
      <c r="S48" s="27">
        <f t="shared" si="128"/>
        <v>46418</v>
      </c>
      <c r="T48" s="27">
        <f t="shared" si="128"/>
        <v>46446</v>
      </c>
      <c r="U48" s="27">
        <f t="shared" si="128"/>
        <v>46477</v>
      </c>
      <c r="V48" s="27">
        <f t="shared" si="128"/>
        <v>46507</v>
      </c>
      <c r="W48" s="27">
        <f t="shared" si="128"/>
        <v>46538</v>
      </c>
      <c r="X48" s="27">
        <f t="shared" si="128"/>
        <v>46568</v>
      </c>
      <c r="Y48" s="27">
        <f t="shared" si="128"/>
        <v>46599</v>
      </c>
      <c r="Z48" s="27">
        <f t="shared" si="128"/>
        <v>46630</v>
      </c>
      <c r="AA48" s="27">
        <f t="shared" si="128"/>
        <v>46660</v>
      </c>
      <c r="AB48" s="27">
        <f t="shared" si="128"/>
        <v>46691</v>
      </c>
      <c r="AC48" s="27">
        <f t="shared" si="128"/>
        <v>46721</v>
      </c>
      <c r="AD48" s="27">
        <f t="shared" si="128"/>
        <v>46752</v>
      </c>
      <c r="AE48" s="27">
        <f t="shared" si="128"/>
        <v>46783</v>
      </c>
      <c r="AF48" s="27">
        <f t="shared" si="128"/>
        <v>46812</v>
      </c>
      <c r="AG48" s="27">
        <f t="shared" si="128"/>
        <v>46843</v>
      </c>
      <c r="AH48" s="27">
        <f t="shared" si="128"/>
        <v>46873</v>
      </c>
      <c r="AI48" s="27">
        <f t="shared" si="128"/>
        <v>46904</v>
      </c>
      <c r="AJ48" s="27">
        <f t="shared" si="128"/>
        <v>46934</v>
      </c>
      <c r="AK48" s="27">
        <f t="shared" si="128"/>
        <v>46965</v>
      </c>
      <c r="AL48" s="27">
        <f t="shared" si="128"/>
        <v>46996</v>
      </c>
      <c r="AM48" s="27">
        <f t="shared" si="128"/>
        <v>47026</v>
      </c>
      <c r="AN48" s="27">
        <f t="shared" si="128"/>
        <v>47057</v>
      </c>
      <c r="AO48" s="27">
        <f t="shared" si="128"/>
        <v>47087</v>
      </c>
      <c r="AP48" s="27">
        <f t="shared" si="128"/>
        <v>47118</v>
      </c>
      <c r="AQ48" s="27">
        <f t="shared" si="128"/>
        <v>47149</v>
      </c>
      <c r="AR48" s="27">
        <f t="shared" si="128"/>
        <v>47177</v>
      </c>
      <c r="AS48" s="27">
        <f t="shared" si="128"/>
        <v>47208</v>
      </c>
      <c r="AT48" s="27">
        <f t="shared" si="128"/>
        <v>47238</v>
      </c>
      <c r="AU48" s="27">
        <f t="shared" si="128"/>
        <v>47269</v>
      </c>
      <c r="AV48" s="27">
        <f t="shared" si="128"/>
        <v>47299</v>
      </c>
      <c r="AW48" s="27">
        <f t="shared" si="128"/>
        <v>47330</v>
      </c>
      <c r="AX48" s="27">
        <f t="shared" si="128"/>
        <v>47361</v>
      </c>
      <c r="AY48" s="27">
        <f t="shared" si="128"/>
        <v>47391</v>
      </c>
      <c r="AZ48" s="27">
        <f t="shared" si="128"/>
        <v>47422</v>
      </c>
      <c r="BA48" s="27">
        <f t="shared" si="128"/>
        <v>47452</v>
      </c>
      <c r="BB48" s="27">
        <f t="shared" si="128"/>
        <v>47483</v>
      </c>
      <c r="BC48" s="27">
        <f t="shared" si="128"/>
        <v>47514</v>
      </c>
      <c r="BD48" s="27">
        <f t="shared" si="128"/>
        <v>47542</v>
      </c>
      <c r="BE48" s="27">
        <f t="shared" si="128"/>
        <v>47573</v>
      </c>
      <c r="BF48" s="27">
        <f t="shared" si="128"/>
        <v>47603</v>
      </c>
      <c r="BG48" s="27">
        <f t="shared" si="128"/>
        <v>47634</v>
      </c>
      <c r="BH48" s="27">
        <f t="shared" si="128"/>
        <v>47664</v>
      </c>
      <c r="BI48" s="27">
        <f t="shared" si="128"/>
        <v>47695</v>
      </c>
      <c r="BJ48" s="27">
        <f t="shared" si="128"/>
        <v>47726</v>
      </c>
      <c r="BK48" s="27">
        <f t="shared" si="128"/>
        <v>47756</v>
      </c>
      <c r="BL48" s="27">
        <f t="shared" si="128"/>
        <v>47787</v>
      </c>
      <c r="BM48" s="27">
        <f t="shared" si="128"/>
        <v>47817</v>
      </c>
      <c r="BN48" s="27">
        <f t="shared" si="128"/>
        <v>47848</v>
      </c>
      <c r="BO48" s="27">
        <f t="shared" si="128"/>
        <v>47879</v>
      </c>
      <c r="BP48" s="27">
        <f t="shared" si="128"/>
        <v>47907</v>
      </c>
      <c r="BQ48" s="27">
        <f t="shared" si="128"/>
        <v>47938</v>
      </c>
      <c r="BR48" s="27">
        <f t="shared" si="128"/>
        <v>47968</v>
      </c>
      <c r="BS48" s="27">
        <f t="shared" si="128"/>
        <v>47999</v>
      </c>
      <c r="BT48" s="27">
        <f t="shared" si="128"/>
        <v>48029</v>
      </c>
      <c r="BU48" s="27">
        <f t="shared" ref="BU48:BZ48" si="129">EOMONTH(BT48,1)</f>
        <v>48060</v>
      </c>
      <c r="BV48" s="27">
        <f t="shared" si="129"/>
        <v>48091</v>
      </c>
      <c r="BW48" s="27">
        <f t="shared" si="129"/>
        <v>48121</v>
      </c>
      <c r="BX48" s="27">
        <f t="shared" si="129"/>
        <v>48152</v>
      </c>
      <c r="BY48" s="27">
        <f t="shared" si="129"/>
        <v>48182</v>
      </c>
      <c r="BZ48" s="27">
        <f t="shared" si="129"/>
        <v>48213</v>
      </c>
      <c r="CA48" s="16" t="s">
        <v>239</v>
      </c>
    </row>
    <row r="49" spans="2:79" x14ac:dyDescent="0.25">
      <c r="B49" s="10" t="s">
        <v>202</v>
      </c>
      <c r="C49" s="10" t="str">
        <f>VLOOKUP(B49,Data!B:C,2,FALSE)</f>
        <v>Legacy</v>
      </c>
      <c r="D49" s="21">
        <f>SUMIFS(Data!$I:$I,Data!$B:$B,$B49,Data!$G:$G,"&lt;="&amp;D$2,Data!$H:$H,"&gt;="&amp;D$2)</f>
        <v>0</v>
      </c>
      <c r="E49" s="21">
        <f>SUMIFS(Data!$I:$I,Data!$B:$B,$B49,Data!$G:$G,"&lt;="&amp;E$2,Data!$H:$H,"&gt;="&amp;E$2)</f>
        <v>0</v>
      </c>
      <c r="F49" s="21">
        <f>SUMIFS(Data!$I:$I,Data!$B:$B,$B49,Data!$G:$G,"&lt;="&amp;F$2,Data!$H:$H,"&gt;="&amp;F$2)</f>
        <v>0</v>
      </c>
      <c r="G49" s="21">
        <f>SUMIFS(Data!$I:$I,Data!$B:$B,$B49,Data!$G:$G,"&lt;="&amp;G$2,Data!$H:$H,"&gt;="&amp;G$2)</f>
        <v>0</v>
      </c>
      <c r="H49" s="21">
        <f>SUMIFS(Data!$I:$I,Data!$B:$B,$B49,Data!$G:$G,"&lt;="&amp;H$2,Data!$H:$H,"&gt;="&amp;H$2)</f>
        <v>0</v>
      </c>
      <c r="I49" s="21">
        <f>SUMIFS(Data!$I:$I,Data!$B:$B,$B49,Data!$G:$G,"&lt;="&amp;I$2,Data!$H:$H,"&gt;="&amp;I$2)</f>
        <v>0</v>
      </c>
      <c r="J49" s="21">
        <f>SUMIFS(Data!$I:$I,Data!$B:$B,$B49,Data!$G:$G,"&lt;="&amp;J$2,Data!$H:$H,"&gt;="&amp;J$2)</f>
        <v>0</v>
      </c>
      <c r="K49" s="21">
        <f>SUMIFS(Data!$I:$I,Data!$B:$B,$B49,Data!$G:$G,"&lt;="&amp;K$2,Data!$H:$H,"&gt;="&amp;K$2)</f>
        <v>0</v>
      </c>
      <c r="L49" s="21">
        <f>SUMIFS(Data!$I:$I,Data!$B:$B,$B49,Data!$G:$G,"&lt;="&amp;L$2,Data!$H:$H,"&gt;="&amp;L$2)</f>
        <v>0</v>
      </c>
      <c r="M49" s="21">
        <f>SUMIFS(Data!$I:$I,Data!$B:$B,$B49,Data!$G:$G,"&lt;="&amp;M$2,Data!$H:$H,"&gt;="&amp;M$2)</f>
        <v>66666.666666666672</v>
      </c>
      <c r="N49" s="21">
        <f>SUMIFS(Data!$I:$I,Data!$B:$B,$B49,Data!$G:$G,"&lt;="&amp;N$2,Data!$H:$H,"&gt;="&amp;N$2)</f>
        <v>66666.666666666672</v>
      </c>
      <c r="O49" s="21">
        <f>SUMIFS(Data!$I:$I,Data!$B:$B,$B49,Data!$G:$G,"&lt;="&amp;O$2,Data!$H:$H,"&gt;="&amp;O$2)</f>
        <v>66666.666666666672</v>
      </c>
      <c r="P49" s="21">
        <f>SUMIFS(Data!$I:$I,Data!$B:$B,$B49,Data!$G:$G,"&lt;="&amp;P$2,Data!$H:$H,"&gt;="&amp;P$2)</f>
        <v>0</v>
      </c>
      <c r="Q49" s="21">
        <f>SUMIFS(Data!$I:$I,Data!$B:$B,$B49,Data!$G:$G,"&lt;="&amp;Q$2,Data!$H:$H,"&gt;="&amp;Q$2)</f>
        <v>0</v>
      </c>
      <c r="R49" s="21">
        <f>SUMIFS(Data!$I:$I,Data!$B:$B,$B49,Data!$G:$G,"&lt;="&amp;R$2,Data!$H:$H,"&gt;="&amp;R$2)</f>
        <v>0</v>
      </c>
      <c r="S49" s="21">
        <f>SUMIFS(Data!$I:$I,Data!$B:$B,$B49,Data!$G:$G,"&lt;="&amp;S$2,Data!$H:$H,"&gt;="&amp;S$2)</f>
        <v>0</v>
      </c>
      <c r="T49" s="21">
        <f>SUMIFS(Data!$I:$I,Data!$B:$B,$B49,Data!$G:$G,"&lt;="&amp;T$2,Data!$H:$H,"&gt;="&amp;T$2)</f>
        <v>0</v>
      </c>
      <c r="U49" s="21">
        <f>SUMIFS(Data!$I:$I,Data!$B:$B,$B49,Data!$G:$G,"&lt;="&amp;U$2,Data!$H:$H,"&gt;="&amp;U$2)</f>
        <v>0</v>
      </c>
      <c r="V49" s="21">
        <f>SUMIFS(Data!$I:$I,Data!$B:$B,$B49,Data!$G:$G,"&lt;="&amp;V$2,Data!$H:$H,"&gt;="&amp;V$2)</f>
        <v>0</v>
      </c>
      <c r="W49" s="21">
        <f>SUMIFS(Data!$I:$I,Data!$B:$B,$B49,Data!$G:$G,"&lt;="&amp;W$2,Data!$H:$H,"&gt;="&amp;W$2)</f>
        <v>0</v>
      </c>
      <c r="X49" s="21">
        <f>SUMIFS(Data!$I:$I,Data!$B:$B,$B49,Data!$G:$G,"&lt;="&amp;X$2,Data!$H:$H,"&gt;="&amp;X$2)</f>
        <v>0</v>
      </c>
      <c r="Y49" s="21">
        <f>SUMIFS(Data!$I:$I,Data!$B:$B,$B49,Data!$G:$G,"&lt;="&amp;Y$2,Data!$H:$H,"&gt;="&amp;Y$2)</f>
        <v>0</v>
      </c>
      <c r="Z49" s="21">
        <f>SUMIFS(Data!$I:$I,Data!$B:$B,$B49,Data!$G:$G,"&lt;="&amp;Z$2,Data!$H:$H,"&gt;="&amp;Z$2)</f>
        <v>0</v>
      </c>
      <c r="AA49" s="21">
        <f>SUMIFS(Data!$I:$I,Data!$B:$B,$B49,Data!$G:$G,"&lt;="&amp;AA$2,Data!$H:$H,"&gt;="&amp;AA$2)</f>
        <v>0</v>
      </c>
      <c r="AB49" s="21">
        <f>SUMIFS(Data!$I:$I,Data!$B:$B,$B49,Data!$G:$G,"&lt;="&amp;AB$2,Data!$H:$H,"&gt;="&amp;AB$2)</f>
        <v>0</v>
      </c>
      <c r="AC49" s="21">
        <f>SUMIFS(Data!$I:$I,Data!$B:$B,$B49,Data!$G:$G,"&lt;="&amp;AC$2,Data!$H:$H,"&gt;="&amp;AC$2)</f>
        <v>0</v>
      </c>
      <c r="AD49" s="21">
        <f>SUMIFS(Data!$I:$I,Data!$B:$B,$B49,Data!$G:$G,"&lt;="&amp;AD$2,Data!$H:$H,"&gt;="&amp;AD$2)</f>
        <v>0</v>
      </c>
      <c r="AE49" s="21">
        <f>SUMIFS(Data!$I:$I,Data!$B:$B,$B49,Data!$G:$G,"&lt;="&amp;AE$2,Data!$H:$H,"&gt;="&amp;AE$2)</f>
        <v>0</v>
      </c>
      <c r="AF49" s="21">
        <f>SUMIFS(Data!$I:$I,Data!$B:$B,$B49,Data!$G:$G,"&lt;="&amp;AF$2,Data!$H:$H,"&gt;="&amp;AF$2)</f>
        <v>0</v>
      </c>
      <c r="AG49" s="21">
        <f>SUMIFS(Data!$I:$I,Data!$B:$B,$B49,Data!$G:$G,"&lt;="&amp;AG$2,Data!$H:$H,"&gt;="&amp;AG$2)</f>
        <v>0</v>
      </c>
      <c r="AH49" s="21">
        <f>SUMIFS(Data!$I:$I,Data!$B:$B,$B49,Data!$G:$G,"&lt;="&amp;AH$2,Data!$H:$H,"&gt;="&amp;AH$2)</f>
        <v>0</v>
      </c>
      <c r="AI49" s="21">
        <f>SUMIFS(Data!$I:$I,Data!$B:$B,$B49,Data!$G:$G,"&lt;="&amp;AI$2,Data!$H:$H,"&gt;="&amp;AI$2)</f>
        <v>0</v>
      </c>
      <c r="AJ49" s="21">
        <f>SUMIFS(Data!$I:$I,Data!$B:$B,$B49,Data!$G:$G,"&lt;="&amp;AJ$2,Data!$H:$H,"&gt;="&amp;AJ$2)</f>
        <v>0</v>
      </c>
      <c r="AK49" s="21">
        <f>SUMIFS(Data!$I:$I,Data!$B:$B,$B49,Data!$G:$G,"&lt;="&amp;AK$2,Data!$H:$H,"&gt;="&amp;AK$2)</f>
        <v>0</v>
      </c>
      <c r="AL49" s="21">
        <f>SUMIFS(Data!$I:$I,Data!$B:$B,$B49,Data!$G:$G,"&lt;="&amp;AL$2,Data!$H:$H,"&gt;="&amp;AL$2)</f>
        <v>0</v>
      </c>
      <c r="AM49" s="21">
        <f>SUMIFS(Data!$I:$I,Data!$B:$B,$B49,Data!$G:$G,"&lt;="&amp;AM$2,Data!$H:$H,"&gt;="&amp;AM$2)</f>
        <v>0</v>
      </c>
      <c r="AN49" s="21">
        <f>SUMIFS(Data!$I:$I,Data!$B:$B,$B49,Data!$G:$G,"&lt;="&amp;AN$2,Data!$H:$H,"&gt;="&amp;AN$2)</f>
        <v>0</v>
      </c>
      <c r="AO49" s="21">
        <f>SUMIFS(Data!$I:$I,Data!$B:$B,$B49,Data!$G:$G,"&lt;="&amp;AO$2,Data!$H:$H,"&gt;="&amp;AO$2)</f>
        <v>0</v>
      </c>
      <c r="AP49" s="21">
        <f>SUMIFS(Data!$I:$I,Data!$B:$B,$B49,Data!$G:$G,"&lt;="&amp;AP$2,Data!$H:$H,"&gt;="&amp;AP$2)</f>
        <v>0</v>
      </c>
      <c r="AQ49" s="21">
        <f>SUMIFS(Data!$I:$I,Data!$B:$B,$B49,Data!$G:$G,"&lt;="&amp;AQ$2,Data!$H:$H,"&gt;="&amp;AQ$2)</f>
        <v>0</v>
      </c>
      <c r="AR49" s="21">
        <f>SUMIFS(Data!$I:$I,Data!$B:$B,$B49,Data!$G:$G,"&lt;="&amp;AR$2,Data!$H:$H,"&gt;="&amp;AR$2)</f>
        <v>0</v>
      </c>
      <c r="AS49" s="21">
        <f>SUMIFS(Data!$I:$I,Data!$B:$B,$B49,Data!$G:$G,"&lt;="&amp;AS$2,Data!$H:$H,"&gt;="&amp;AS$2)</f>
        <v>0</v>
      </c>
      <c r="AT49" s="21">
        <f>SUMIFS(Data!$I:$I,Data!$B:$B,$B49,Data!$G:$G,"&lt;="&amp;AT$2,Data!$H:$H,"&gt;="&amp;AT$2)</f>
        <v>0</v>
      </c>
      <c r="AU49" s="21">
        <f>SUMIFS(Data!$I:$I,Data!$B:$B,$B49,Data!$G:$G,"&lt;="&amp;AU$2,Data!$H:$H,"&gt;="&amp;AU$2)</f>
        <v>0</v>
      </c>
      <c r="AV49" s="21">
        <f>SUMIFS(Data!$I:$I,Data!$B:$B,$B49,Data!$G:$G,"&lt;="&amp;AV$2,Data!$H:$H,"&gt;="&amp;AV$2)</f>
        <v>0</v>
      </c>
      <c r="AW49" s="21">
        <f>SUMIFS(Data!$I:$I,Data!$B:$B,$B49,Data!$G:$G,"&lt;="&amp;AW$2,Data!$H:$H,"&gt;="&amp;AW$2)</f>
        <v>0</v>
      </c>
      <c r="AX49" s="21">
        <f>SUMIFS(Data!$I:$I,Data!$B:$B,$B49,Data!$G:$G,"&lt;="&amp;AX$2,Data!$H:$H,"&gt;="&amp;AX$2)</f>
        <v>0</v>
      </c>
      <c r="AY49" s="21">
        <f>SUMIFS(Data!$I:$I,Data!$B:$B,$B49,Data!$G:$G,"&lt;="&amp;AY$2,Data!$H:$H,"&gt;="&amp;AY$2)</f>
        <v>0</v>
      </c>
      <c r="AZ49" s="21">
        <f>SUMIFS(Data!$I:$I,Data!$B:$B,$B49,Data!$G:$G,"&lt;="&amp;AZ$2,Data!$H:$H,"&gt;="&amp;AZ$2)</f>
        <v>0</v>
      </c>
      <c r="BA49" s="21">
        <f>SUMIFS(Data!$I:$I,Data!$B:$B,$B49,Data!$G:$G,"&lt;="&amp;BA$2,Data!$H:$H,"&gt;="&amp;BA$2)</f>
        <v>0</v>
      </c>
      <c r="BB49" s="21">
        <f>SUMIFS(Data!$I:$I,Data!$B:$B,$B49,Data!$G:$G,"&lt;="&amp;BB$2,Data!$H:$H,"&gt;="&amp;BB$2)</f>
        <v>0</v>
      </c>
      <c r="BC49" s="21">
        <f>SUMIFS(Data!$I:$I,Data!$B:$B,$B49,Data!$G:$G,"&lt;="&amp;BC$2,Data!$H:$H,"&gt;="&amp;BC$2)</f>
        <v>0</v>
      </c>
      <c r="BD49" s="21">
        <f>SUMIFS(Data!$I:$I,Data!$B:$B,$B49,Data!$G:$G,"&lt;="&amp;BD$2,Data!$H:$H,"&gt;="&amp;BD$2)</f>
        <v>0</v>
      </c>
      <c r="BE49" s="21">
        <f>SUMIFS(Data!$I:$I,Data!$B:$B,$B49,Data!$G:$G,"&lt;="&amp;BE$2,Data!$H:$H,"&gt;="&amp;BE$2)</f>
        <v>0</v>
      </c>
      <c r="BF49" s="21">
        <f>SUMIFS(Data!$I:$I,Data!$B:$B,$B49,Data!$G:$G,"&lt;="&amp;BF$2,Data!$H:$H,"&gt;="&amp;BF$2)</f>
        <v>0</v>
      </c>
      <c r="BG49" s="21">
        <f>SUMIFS(Data!$I:$I,Data!$B:$B,$B49,Data!$G:$G,"&lt;="&amp;BG$2,Data!$H:$H,"&gt;="&amp;BG$2)</f>
        <v>0</v>
      </c>
      <c r="BH49" s="21">
        <f>SUMIFS(Data!$I:$I,Data!$B:$B,$B49,Data!$G:$G,"&lt;="&amp;BH$2,Data!$H:$H,"&gt;="&amp;BH$2)</f>
        <v>0</v>
      </c>
      <c r="BI49" s="21">
        <f>SUMIFS(Data!$I:$I,Data!$B:$B,$B49,Data!$G:$G,"&lt;="&amp;BI$2,Data!$H:$H,"&gt;="&amp;BI$2)</f>
        <v>0</v>
      </c>
      <c r="BJ49" s="21">
        <f>SUMIFS(Data!$I:$I,Data!$B:$B,$B49,Data!$G:$G,"&lt;="&amp;BJ$2,Data!$H:$H,"&gt;="&amp;BJ$2)</f>
        <v>0</v>
      </c>
      <c r="BK49" s="21">
        <f>SUMIFS(Data!$I:$I,Data!$B:$B,$B49,Data!$G:$G,"&lt;="&amp;BK$2,Data!$H:$H,"&gt;="&amp;BK$2)</f>
        <v>0</v>
      </c>
      <c r="BL49" s="21">
        <f>SUMIFS(Data!$I:$I,Data!$B:$B,$B49,Data!$G:$G,"&lt;="&amp;BL$2,Data!$H:$H,"&gt;="&amp;BL$2)</f>
        <v>0</v>
      </c>
      <c r="BM49" s="21">
        <f>SUMIFS(Data!$I:$I,Data!$B:$B,$B49,Data!$G:$G,"&lt;="&amp;BM$2,Data!$H:$H,"&gt;="&amp;BM$2)</f>
        <v>0</v>
      </c>
      <c r="BN49" s="21">
        <f>SUMIFS(Data!$I:$I,Data!$B:$B,$B49,Data!$G:$G,"&lt;="&amp;BN$2,Data!$H:$H,"&gt;="&amp;BN$2)</f>
        <v>0</v>
      </c>
      <c r="BO49" s="21">
        <f>SUMIFS(Data!$I:$I,Data!$B:$B,$B49,Data!$G:$G,"&lt;="&amp;BO$2,Data!$H:$H,"&gt;="&amp;BO$2)</f>
        <v>0</v>
      </c>
      <c r="BP49" s="21">
        <f>SUMIFS(Data!$I:$I,Data!$B:$B,$B49,Data!$G:$G,"&lt;="&amp;BP$2,Data!$H:$H,"&gt;="&amp;BP$2)</f>
        <v>0</v>
      </c>
      <c r="BQ49" s="21">
        <f>SUMIFS(Data!$I:$I,Data!$B:$B,$B49,Data!$G:$G,"&lt;="&amp;BQ$2,Data!$H:$H,"&gt;="&amp;BQ$2)</f>
        <v>0</v>
      </c>
      <c r="BR49" s="21">
        <f>SUMIFS(Data!$I:$I,Data!$B:$B,$B49,Data!$G:$G,"&lt;="&amp;BR$2,Data!$H:$H,"&gt;="&amp;BR$2)</f>
        <v>0</v>
      </c>
      <c r="BS49" s="21">
        <f>SUMIFS(Data!$I:$I,Data!$B:$B,$B49,Data!$G:$G,"&lt;="&amp;BS$2,Data!$H:$H,"&gt;="&amp;BS$2)</f>
        <v>0</v>
      </c>
      <c r="BT49" s="21">
        <f>SUMIFS(Data!$I:$I,Data!$B:$B,$B49,Data!$G:$G,"&lt;="&amp;BT$2,Data!$H:$H,"&gt;="&amp;BT$2)</f>
        <v>0</v>
      </c>
      <c r="BU49" s="21">
        <f>SUMIFS(Data!$I:$I,Data!$B:$B,$B49,Data!$G:$G,"&lt;="&amp;BU$2,Data!$H:$H,"&gt;="&amp;BU$2)</f>
        <v>0</v>
      </c>
      <c r="BV49" s="21">
        <f>SUMIFS(Data!$I:$I,Data!$B:$B,$B49,Data!$G:$G,"&lt;="&amp;BV$2,Data!$H:$H,"&gt;="&amp;BV$2)</f>
        <v>0</v>
      </c>
      <c r="BW49" s="21">
        <f>SUMIFS(Data!$I:$I,Data!$B:$B,$B49,Data!$G:$G,"&lt;="&amp;BW$2,Data!$H:$H,"&gt;="&amp;BW$2)</f>
        <v>0</v>
      </c>
      <c r="BX49" s="21">
        <f>SUMIFS(Data!$I:$I,Data!$B:$B,$B49,Data!$G:$G,"&lt;="&amp;BX$2,Data!$H:$H,"&gt;="&amp;BX$2)</f>
        <v>0</v>
      </c>
      <c r="BY49" s="21">
        <f>SUMIFS(Data!$I:$I,Data!$B:$B,$B49,Data!$G:$G,"&lt;="&amp;BY$2,Data!$H:$H,"&gt;="&amp;BY$2)</f>
        <v>0</v>
      </c>
      <c r="BZ49" s="21">
        <f>SUMIFS(Data!$I:$I,Data!$B:$B,$B49,Data!$G:$G,"&lt;="&amp;BZ$2,Data!$H:$H,"&gt;="&amp;BZ$2)</f>
        <v>0</v>
      </c>
      <c r="CA49" s="22">
        <f t="shared" ref="CA49:CA62" si="130">SUM(D49:BZ49)</f>
        <v>200000</v>
      </c>
    </row>
    <row r="50" spans="2:79" x14ac:dyDescent="0.25">
      <c r="B50" s="11" t="s">
        <v>117</v>
      </c>
      <c r="C50" s="11" t="str">
        <f>VLOOKUP(B50,Data!B:C,2,FALSE)</f>
        <v>Legacy</v>
      </c>
      <c r="D50" s="21">
        <f>SUMIFS(Data!$I:$I,Data!$B:$B,$B50,Data!$G:$G,"&lt;="&amp;D$2,Data!$H:$H,"&gt;="&amp;D$2)</f>
        <v>0</v>
      </c>
      <c r="E50" s="21">
        <f>SUMIFS(Data!$I:$I,Data!$B:$B,$B50,Data!$G:$G,"&lt;="&amp;E$2,Data!$H:$H,"&gt;="&amp;E$2)</f>
        <v>0</v>
      </c>
      <c r="F50" s="21">
        <f>SUMIFS(Data!$I:$I,Data!$B:$B,$B50,Data!$G:$G,"&lt;="&amp;F$2,Data!$H:$H,"&gt;="&amp;F$2)</f>
        <v>0</v>
      </c>
      <c r="G50" s="21">
        <f>SUMIFS(Data!$I:$I,Data!$B:$B,$B50,Data!$G:$G,"&lt;="&amp;G$2,Data!$H:$H,"&gt;="&amp;G$2)</f>
        <v>2500</v>
      </c>
      <c r="H50" s="21">
        <f>SUMIFS(Data!$I:$I,Data!$B:$B,$B50,Data!$G:$G,"&lt;="&amp;H$2,Data!$H:$H,"&gt;="&amp;H$2)</f>
        <v>2500</v>
      </c>
      <c r="I50" s="21">
        <f>SUMIFS(Data!$I:$I,Data!$B:$B,$B50,Data!$G:$G,"&lt;="&amp;I$2,Data!$H:$H,"&gt;="&amp;I$2)</f>
        <v>2500</v>
      </c>
      <c r="J50" s="21">
        <f>SUMIFS(Data!$I:$I,Data!$B:$B,$B50,Data!$G:$G,"&lt;="&amp;J$2,Data!$H:$H,"&gt;="&amp;J$2)</f>
        <v>6666.666666666667</v>
      </c>
      <c r="K50" s="21">
        <f>SUMIFS(Data!$I:$I,Data!$B:$B,$B50,Data!$G:$G,"&lt;="&amp;K$2,Data!$H:$H,"&gt;="&amp;K$2)</f>
        <v>6666.666666666667</v>
      </c>
      <c r="L50" s="21">
        <f>SUMIFS(Data!$I:$I,Data!$B:$B,$B50,Data!$G:$G,"&lt;="&amp;L$2,Data!$H:$H,"&gt;="&amp;L$2)</f>
        <v>6666.666666666667</v>
      </c>
      <c r="M50" s="21">
        <f>SUMIFS(Data!$I:$I,Data!$B:$B,$B50,Data!$G:$G,"&lt;="&amp;M$2,Data!$H:$H,"&gt;="&amp;M$2)</f>
        <v>7333.3333333333339</v>
      </c>
      <c r="N50" s="21">
        <f>SUMIFS(Data!$I:$I,Data!$B:$B,$B50,Data!$G:$G,"&lt;="&amp;N$2,Data!$H:$H,"&gt;="&amp;N$2)</f>
        <v>7333.3333333333339</v>
      </c>
      <c r="O50" s="21">
        <f>SUMIFS(Data!$I:$I,Data!$B:$B,$B50,Data!$G:$G,"&lt;="&amp;O$2,Data!$H:$H,"&gt;="&amp;O$2)</f>
        <v>7333.3333333333339</v>
      </c>
      <c r="P50" s="21">
        <f>SUMIFS(Data!$I:$I,Data!$B:$B,$B50,Data!$G:$G,"&lt;="&amp;P$2,Data!$H:$H,"&gt;="&amp;P$2)</f>
        <v>0</v>
      </c>
      <c r="Q50" s="21">
        <f>SUMIFS(Data!$I:$I,Data!$B:$B,$B50,Data!$G:$G,"&lt;="&amp;Q$2,Data!$H:$H,"&gt;="&amp;Q$2)</f>
        <v>0</v>
      </c>
      <c r="R50" s="21">
        <f>SUMIFS(Data!$I:$I,Data!$B:$B,$B50,Data!$G:$G,"&lt;="&amp;R$2,Data!$H:$H,"&gt;="&amp;R$2)</f>
        <v>0</v>
      </c>
      <c r="S50" s="21">
        <f>SUMIFS(Data!$I:$I,Data!$B:$B,$B50,Data!$G:$G,"&lt;="&amp;S$2,Data!$H:$H,"&gt;="&amp;S$2)</f>
        <v>16666.666666666668</v>
      </c>
      <c r="T50" s="21">
        <f>SUMIFS(Data!$I:$I,Data!$B:$B,$B50,Data!$G:$G,"&lt;="&amp;T$2,Data!$H:$H,"&gt;="&amp;T$2)</f>
        <v>16666.666666666668</v>
      </c>
      <c r="U50" s="21">
        <f>SUMIFS(Data!$I:$I,Data!$B:$B,$B50,Data!$G:$G,"&lt;="&amp;U$2,Data!$H:$H,"&gt;="&amp;U$2)</f>
        <v>16666.666666666668</v>
      </c>
      <c r="V50" s="21">
        <f>SUMIFS(Data!$I:$I,Data!$B:$B,$B50,Data!$G:$G,"&lt;="&amp;V$2,Data!$H:$H,"&gt;="&amp;V$2)</f>
        <v>0</v>
      </c>
      <c r="W50" s="21">
        <f>SUMIFS(Data!$I:$I,Data!$B:$B,$B50,Data!$G:$G,"&lt;="&amp;W$2,Data!$H:$H,"&gt;="&amp;W$2)</f>
        <v>0</v>
      </c>
      <c r="X50" s="21">
        <f>SUMIFS(Data!$I:$I,Data!$B:$B,$B50,Data!$G:$G,"&lt;="&amp;X$2,Data!$H:$H,"&gt;="&amp;X$2)</f>
        <v>0</v>
      </c>
      <c r="Y50" s="21">
        <f>SUMIFS(Data!$I:$I,Data!$B:$B,$B50,Data!$G:$G,"&lt;="&amp;Y$2,Data!$H:$H,"&gt;="&amp;Y$2)</f>
        <v>0</v>
      </c>
      <c r="Z50" s="21">
        <f>SUMIFS(Data!$I:$I,Data!$B:$B,$B50,Data!$G:$G,"&lt;="&amp;Z$2,Data!$H:$H,"&gt;="&amp;Z$2)</f>
        <v>0</v>
      </c>
      <c r="AA50" s="21">
        <f>SUMIFS(Data!$I:$I,Data!$B:$B,$B50,Data!$G:$G,"&lt;="&amp;AA$2,Data!$H:$H,"&gt;="&amp;AA$2)</f>
        <v>0</v>
      </c>
      <c r="AB50" s="21">
        <f>SUMIFS(Data!$I:$I,Data!$B:$B,$B50,Data!$G:$G,"&lt;="&amp;AB$2,Data!$H:$H,"&gt;="&amp;AB$2)</f>
        <v>0</v>
      </c>
      <c r="AC50" s="21">
        <f>SUMIFS(Data!$I:$I,Data!$B:$B,$B50,Data!$G:$G,"&lt;="&amp;AC$2,Data!$H:$H,"&gt;="&amp;AC$2)</f>
        <v>0</v>
      </c>
      <c r="AD50" s="21">
        <f>SUMIFS(Data!$I:$I,Data!$B:$B,$B50,Data!$G:$G,"&lt;="&amp;AD$2,Data!$H:$H,"&gt;="&amp;AD$2)</f>
        <v>0</v>
      </c>
      <c r="AE50" s="21">
        <f>SUMIFS(Data!$I:$I,Data!$B:$B,$B50,Data!$G:$G,"&lt;="&amp;AE$2,Data!$H:$H,"&gt;="&amp;AE$2)</f>
        <v>0</v>
      </c>
      <c r="AF50" s="21">
        <f>SUMIFS(Data!$I:$I,Data!$B:$B,$B50,Data!$G:$G,"&lt;="&amp;AF$2,Data!$H:$H,"&gt;="&amp;AF$2)</f>
        <v>0</v>
      </c>
      <c r="AG50" s="21">
        <f>SUMIFS(Data!$I:$I,Data!$B:$B,$B50,Data!$G:$G,"&lt;="&amp;AG$2,Data!$H:$H,"&gt;="&amp;AG$2)</f>
        <v>0</v>
      </c>
      <c r="AH50" s="21">
        <f>SUMIFS(Data!$I:$I,Data!$B:$B,$B50,Data!$G:$G,"&lt;="&amp;AH$2,Data!$H:$H,"&gt;="&amp;AH$2)</f>
        <v>0</v>
      </c>
      <c r="AI50" s="21">
        <f>SUMIFS(Data!$I:$I,Data!$B:$B,$B50,Data!$G:$G,"&lt;="&amp;AI$2,Data!$H:$H,"&gt;="&amp;AI$2)</f>
        <v>0</v>
      </c>
      <c r="AJ50" s="21">
        <f>SUMIFS(Data!$I:$I,Data!$B:$B,$B50,Data!$G:$G,"&lt;="&amp;AJ$2,Data!$H:$H,"&gt;="&amp;AJ$2)</f>
        <v>0</v>
      </c>
      <c r="AK50" s="21">
        <f>SUMIFS(Data!$I:$I,Data!$B:$B,$B50,Data!$G:$G,"&lt;="&amp;AK$2,Data!$H:$H,"&gt;="&amp;AK$2)</f>
        <v>0</v>
      </c>
      <c r="AL50" s="21">
        <f>SUMIFS(Data!$I:$I,Data!$B:$B,$B50,Data!$G:$G,"&lt;="&amp;AL$2,Data!$H:$H,"&gt;="&amp;AL$2)</f>
        <v>0</v>
      </c>
      <c r="AM50" s="21">
        <f>SUMIFS(Data!$I:$I,Data!$B:$B,$B50,Data!$G:$G,"&lt;="&amp;AM$2,Data!$H:$H,"&gt;="&amp;AM$2)</f>
        <v>0</v>
      </c>
      <c r="AN50" s="21">
        <f>SUMIFS(Data!$I:$I,Data!$B:$B,$B50,Data!$G:$G,"&lt;="&amp;AN$2,Data!$H:$H,"&gt;="&amp;AN$2)</f>
        <v>0</v>
      </c>
      <c r="AO50" s="21">
        <f>SUMIFS(Data!$I:$I,Data!$B:$B,$B50,Data!$G:$G,"&lt;="&amp;AO$2,Data!$H:$H,"&gt;="&amp;AO$2)</f>
        <v>0</v>
      </c>
      <c r="AP50" s="21">
        <f>SUMIFS(Data!$I:$I,Data!$B:$B,$B50,Data!$G:$G,"&lt;="&amp;AP$2,Data!$H:$H,"&gt;="&amp;AP$2)</f>
        <v>0</v>
      </c>
      <c r="AQ50" s="21">
        <f>SUMIFS(Data!$I:$I,Data!$B:$B,$B50,Data!$G:$G,"&lt;="&amp;AQ$2,Data!$H:$H,"&gt;="&amp;AQ$2)</f>
        <v>0</v>
      </c>
      <c r="AR50" s="21">
        <f>SUMIFS(Data!$I:$I,Data!$B:$B,$B50,Data!$G:$G,"&lt;="&amp;AR$2,Data!$H:$H,"&gt;="&amp;AR$2)</f>
        <v>0</v>
      </c>
      <c r="AS50" s="21">
        <f>SUMIFS(Data!$I:$I,Data!$B:$B,$B50,Data!$G:$G,"&lt;="&amp;AS$2,Data!$H:$H,"&gt;="&amp;AS$2)</f>
        <v>0</v>
      </c>
      <c r="AT50" s="21">
        <f>SUMIFS(Data!$I:$I,Data!$B:$B,$B50,Data!$G:$G,"&lt;="&amp;AT$2,Data!$H:$H,"&gt;="&amp;AT$2)</f>
        <v>0</v>
      </c>
      <c r="AU50" s="21">
        <f>SUMIFS(Data!$I:$I,Data!$B:$B,$B50,Data!$G:$G,"&lt;="&amp;AU$2,Data!$H:$H,"&gt;="&amp;AU$2)</f>
        <v>0</v>
      </c>
      <c r="AV50" s="21">
        <f>SUMIFS(Data!$I:$I,Data!$B:$B,$B50,Data!$G:$G,"&lt;="&amp;AV$2,Data!$H:$H,"&gt;="&amp;AV$2)</f>
        <v>0</v>
      </c>
      <c r="AW50" s="21">
        <f>SUMIFS(Data!$I:$I,Data!$B:$B,$B50,Data!$G:$G,"&lt;="&amp;AW$2,Data!$H:$H,"&gt;="&amp;AW$2)</f>
        <v>0</v>
      </c>
      <c r="AX50" s="21">
        <f>SUMIFS(Data!$I:$I,Data!$B:$B,$B50,Data!$G:$G,"&lt;="&amp;AX$2,Data!$H:$H,"&gt;="&amp;AX$2)</f>
        <v>0</v>
      </c>
      <c r="AY50" s="21">
        <f>SUMIFS(Data!$I:$I,Data!$B:$B,$B50,Data!$G:$G,"&lt;="&amp;AY$2,Data!$H:$H,"&gt;="&amp;AY$2)</f>
        <v>0</v>
      </c>
      <c r="AZ50" s="21">
        <f>SUMIFS(Data!$I:$I,Data!$B:$B,$B50,Data!$G:$G,"&lt;="&amp;AZ$2,Data!$H:$H,"&gt;="&amp;AZ$2)</f>
        <v>0</v>
      </c>
      <c r="BA50" s="21">
        <f>SUMIFS(Data!$I:$I,Data!$B:$B,$B50,Data!$G:$G,"&lt;="&amp;BA$2,Data!$H:$H,"&gt;="&amp;BA$2)</f>
        <v>0</v>
      </c>
      <c r="BB50" s="21">
        <f>SUMIFS(Data!$I:$I,Data!$B:$B,$B50,Data!$G:$G,"&lt;="&amp;BB$2,Data!$H:$H,"&gt;="&amp;BB$2)</f>
        <v>0</v>
      </c>
      <c r="BC50" s="21">
        <f>SUMIFS(Data!$I:$I,Data!$B:$B,$B50,Data!$G:$G,"&lt;="&amp;BC$2,Data!$H:$H,"&gt;="&amp;BC$2)</f>
        <v>0</v>
      </c>
      <c r="BD50" s="21">
        <f>SUMIFS(Data!$I:$I,Data!$B:$B,$B50,Data!$G:$G,"&lt;="&amp;BD$2,Data!$H:$H,"&gt;="&amp;BD$2)</f>
        <v>0</v>
      </c>
      <c r="BE50" s="21">
        <f>SUMIFS(Data!$I:$I,Data!$B:$B,$B50,Data!$G:$G,"&lt;="&amp;BE$2,Data!$H:$H,"&gt;="&amp;BE$2)</f>
        <v>0</v>
      </c>
      <c r="BF50" s="21">
        <f>SUMIFS(Data!$I:$I,Data!$B:$B,$B50,Data!$G:$G,"&lt;="&amp;BF$2,Data!$H:$H,"&gt;="&amp;BF$2)</f>
        <v>0</v>
      </c>
      <c r="BG50" s="21">
        <f>SUMIFS(Data!$I:$I,Data!$B:$B,$B50,Data!$G:$G,"&lt;="&amp;BG$2,Data!$H:$H,"&gt;="&amp;BG$2)</f>
        <v>0</v>
      </c>
      <c r="BH50" s="21">
        <f>SUMIFS(Data!$I:$I,Data!$B:$B,$B50,Data!$G:$G,"&lt;="&amp;BH$2,Data!$H:$H,"&gt;="&amp;BH$2)</f>
        <v>0</v>
      </c>
      <c r="BI50" s="21">
        <f>SUMIFS(Data!$I:$I,Data!$B:$B,$B50,Data!$G:$G,"&lt;="&amp;BI$2,Data!$H:$H,"&gt;="&amp;BI$2)</f>
        <v>0</v>
      </c>
      <c r="BJ50" s="21">
        <f>SUMIFS(Data!$I:$I,Data!$B:$B,$B50,Data!$G:$G,"&lt;="&amp;BJ$2,Data!$H:$H,"&gt;="&amp;BJ$2)</f>
        <v>0</v>
      </c>
      <c r="BK50" s="21">
        <f>SUMIFS(Data!$I:$I,Data!$B:$B,$B50,Data!$G:$G,"&lt;="&amp;BK$2,Data!$H:$H,"&gt;="&amp;BK$2)</f>
        <v>0</v>
      </c>
      <c r="BL50" s="21">
        <f>SUMIFS(Data!$I:$I,Data!$B:$B,$B50,Data!$G:$G,"&lt;="&amp;BL$2,Data!$H:$H,"&gt;="&amp;BL$2)</f>
        <v>0</v>
      </c>
      <c r="BM50" s="21">
        <f>SUMIFS(Data!$I:$I,Data!$B:$B,$B50,Data!$G:$G,"&lt;="&amp;BM$2,Data!$H:$H,"&gt;="&amp;BM$2)</f>
        <v>0</v>
      </c>
      <c r="BN50" s="21">
        <f>SUMIFS(Data!$I:$I,Data!$B:$B,$B50,Data!$G:$G,"&lt;="&amp;BN$2,Data!$H:$H,"&gt;="&amp;BN$2)</f>
        <v>0</v>
      </c>
      <c r="BO50" s="21">
        <f>SUMIFS(Data!$I:$I,Data!$B:$B,$B50,Data!$G:$G,"&lt;="&amp;BO$2,Data!$H:$H,"&gt;="&amp;BO$2)</f>
        <v>0</v>
      </c>
      <c r="BP50" s="21">
        <f>SUMIFS(Data!$I:$I,Data!$B:$B,$B50,Data!$G:$G,"&lt;="&amp;BP$2,Data!$H:$H,"&gt;="&amp;BP$2)</f>
        <v>0</v>
      </c>
      <c r="BQ50" s="21">
        <f>SUMIFS(Data!$I:$I,Data!$B:$B,$B50,Data!$G:$G,"&lt;="&amp;BQ$2,Data!$H:$H,"&gt;="&amp;BQ$2)</f>
        <v>0</v>
      </c>
      <c r="BR50" s="21">
        <f>SUMIFS(Data!$I:$I,Data!$B:$B,$B50,Data!$G:$G,"&lt;="&amp;BR$2,Data!$H:$H,"&gt;="&amp;BR$2)</f>
        <v>0</v>
      </c>
      <c r="BS50" s="21">
        <f>SUMIFS(Data!$I:$I,Data!$B:$B,$B50,Data!$G:$G,"&lt;="&amp;BS$2,Data!$H:$H,"&gt;="&amp;BS$2)</f>
        <v>0</v>
      </c>
      <c r="BT50" s="21">
        <f>SUMIFS(Data!$I:$I,Data!$B:$B,$B50,Data!$G:$G,"&lt;="&amp;BT$2,Data!$H:$H,"&gt;="&amp;BT$2)</f>
        <v>0</v>
      </c>
      <c r="BU50" s="21">
        <f>SUMIFS(Data!$I:$I,Data!$B:$B,$B50,Data!$G:$G,"&lt;="&amp;BU$2,Data!$H:$H,"&gt;="&amp;BU$2)</f>
        <v>0</v>
      </c>
      <c r="BV50" s="21">
        <f>SUMIFS(Data!$I:$I,Data!$B:$B,$B50,Data!$G:$G,"&lt;="&amp;BV$2,Data!$H:$H,"&gt;="&amp;BV$2)</f>
        <v>0</v>
      </c>
      <c r="BW50" s="21">
        <f>SUMIFS(Data!$I:$I,Data!$B:$B,$B50,Data!$G:$G,"&lt;="&amp;BW$2,Data!$H:$H,"&gt;="&amp;BW$2)</f>
        <v>0</v>
      </c>
      <c r="BX50" s="21">
        <f>SUMIFS(Data!$I:$I,Data!$B:$B,$B50,Data!$G:$G,"&lt;="&amp;BX$2,Data!$H:$H,"&gt;="&amp;BX$2)</f>
        <v>0</v>
      </c>
      <c r="BY50" s="21">
        <f>SUMIFS(Data!$I:$I,Data!$B:$B,$B50,Data!$G:$G,"&lt;="&amp;BY$2,Data!$H:$H,"&gt;="&amp;BY$2)</f>
        <v>0</v>
      </c>
      <c r="BZ50" s="21">
        <f>SUMIFS(Data!$I:$I,Data!$B:$B,$B50,Data!$G:$G,"&lt;="&amp;BZ$2,Data!$H:$H,"&gt;="&amp;BZ$2)</f>
        <v>0</v>
      </c>
      <c r="CA50" s="22">
        <f t="shared" si="130"/>
        <v>99500.000000000015</v>
      </c>
    </row>
    <row r="51" spans="2:79" x14ac:dyDescent="0.25">
      <c r="B51" s="11" t="s">
        <v>119</v>
      </c>
      <c r="C51" s="11" t="str">
        <f>VLOOKUP(B51,Data!B:C,2,FALSE)</f>
        <v>Legacy</v>
      </c>
      <c r="D51" s="21">
        <f>SUMIFS(Data!$I:$I,Data!$B:$B,$B51,Data!$G:$G,"&lt;="&amp;D$2,Data!$H:$H,"&gt;="&amp;D$2)</f>
        <v>0</v>
      </c>
      <c r="E51" s="21">
        <f>SUMIFS(Data!$I:$I,Data!$B:$B,$B51,Data!$G:$G,"&lt;="&amp;E$2,Data!$H:$H,"&gt;="&amp;E$2)</f>
        <v>0</v>
      </c>
      <c r="F51" s="21">
        <f>SUMIFS(Data!$I:$I,Data!$B:$B,$B51,Data!$G:$G,"&lt;="&amp;F$2,Data!$H:$H,"&gt;="&amp;F$2)</f>
        <v>0</v>
      </c>
      <c r="G51" s="21">
        <f>SUMIFS(Data!$I:$I,Data!$B:$B,$B51,Data!$G:$G,"&lt;="&amp;G$2,Data!$H:$H,"&gt;="&amp;G$2)</f>
        <v>3333.3333333333335</v>
      </c>
      <c r="H51" s="21">
        <f>SUMIFS(Data!$I:$I,Data!$B:$B,$B51,Data!$G:$G,"&lt;="&amp;H$2,Data!$H:$H,"&gt;="&amp;H$2)</f>
        <v>3333.3333333333335</v>
      </c>
      <c r="I51" s="21">
        <f>SUMIFS(Data!$I:$I,Data!$B:$B,$B51,Data!$G:$G,"&lt;="&amp;I$2,Data!$H:$H,"&gt;="&amp;I$2)</f>
        <v>3333.3333333333335</v>
      </c>
      <c r="J51" s="21">
        <f>SUMIFS(Data!$I:$I,Data!$B:$B,$B51,Data!$G:$G,"&lt;="&amp;J$2,Data!$H:$H,"&gt;="&amp;J$2)</f>
        <v>3333.3333333333335</v>
      </c>
      <c r="K51" s="21">
        <f>SUMIFS(Data!$I:$I,Data!$B:$B,$B51,Data!$G:$G,"&lt;="&amp;K$2,Data!$H:$H,"&gt;="&amp;K$2)</f>
        <v>3333.3333333333335</v>
      </c>
      <c r="L51" s="21">
        <f>SUMIFS(Data!$I:$I,Data!$B:$B,$B51,Data!$G:$G,"&lt;="&amp;L$2,Data!$H:$H,"&gt;="&amp;L$2)</f>
        <v>3333.3333333333335</v>
      </c>
      <c r="M51" s="21">
        <f>SUMIFS(Data!$I:$I,Data!$B:$B,$B51,Data!$G:$G,"&lt;="&amp;M$2,Data!$H:$H,"&gt;="&amp;M$2)</f>
        <v>2500</v>
      </c>
      <c r="N51" s="21">
        <f>SUMIFS(Data!$I:$I,Data!$B:$B,$B51,Data!$G:$G,"&lt;="&amp;N$2,Data!$H:$H,"&gt;="&amp;N$2)</f>
        <v>2500</v>
      </c>
      <c r="O51" s="21">
        <f>SUMIFS(Data!$I:$I,Data!$B:$B,$B51,Data!$G:$G,"&lt;="&amp;O$2,Data!$H:$H,"&gt;="&amp;O$2)</f>
        <v>2500</v>
      </c>
      <c r="P51" s="21">
        <f>SUMIFS(Data!$I:$I,Data!$B:$B,$B51,Data!$G:$G,"&lt;="&amp;P$2,Data!$H:$H,"&gt;="&amp;P$2)</f>
        <v>0</v>
      </c>
      <c r="Q51" s="21">
        <f>SUMIFS(Data!$I:$I,Data!$B:$B,$B51,Data!$G:$G,"&lt;="&amp;Q$2,Data!$H:$H,"&gt;="&amp;Q$2)</f>
        <v>0</v>
      </c>
      <c r="R51" s="21">
        <f>SUMIFS(Data!$I:$I,Data!$B:$B,$B51,Data!$G:$G,"&lt;="&amp;R$2,Data!$H:$H,"&gt;="&amp;R$2)</f>
        <v>0</v>
      </c>
      <c r="S51" s="21">
        <f>SUMIFS(Data!$I:$I,Data!$B:$B,$B51,Data!$G:$G,"&lt;="&amp;S$2,Data!$H:$H,"&gt;="&amp;S$2)</f>
        <v>0</v>
      </c>
      <c r="T51" s="21">
        <f>SUMIFS(Data!$I:$I,Data!$B:$B,$B51,Data!$G:$G,"&lt;="&amp;T$2,Data!$H:$H,"&gt;="&amp;T$2)</f>
        <v>0</v>
      </c>
      <c r="U51" s="21">
        <f>SUMIFS(Data!$I:$I,Data!$B:$B,$B51,Data!$G:$G,"&lt;="&amp;U$2,Data!$H:$H,"&gt;="&amp;U$2)</f>
        <v>0</v>
      </c>
      <c r="V51" s="21">
        <f>SUMIFS(Data!$I:$I,Data!$B:$B,$B51,Data!$G:$G,"&lt;="&amp;V$2,Data!$H:$H,"&gt;="&amp;V$2)</f>
        <v>0</v>
      </c>
      <c r="W51" s="21">
        <f>SUMIFS(Data!$I:$I,Data!$B:$B,$B51,Data!$G:$G,"&lt;="&amp;W$2,Data!$H:$H,"&gt;="&amp;W$2)</f>
        <v>0</v>
      </c>
      <c r="X51" s="21">
        <f>SUMIFS(Data!$I:$I,Data!$B:$B,$B51,Data!$G:$G,"&lt;="&amp;X$2,Data!$H:$H,"&gt;="&amp;X$2)</f>
        <v>0</v>
      </c>
      <c r="Y51" s="21">
        <f>SUMIFS(Data!$I:$I,Data!$B:$B,$B51,Data!$G:$G,"&lt;="&amp;Y$2,Data!$H:$H,"&gt;="&amp;Y$2)</f>
        <v>0</v>
      </c>
      <c r="Z51" s="21">
        <f>SUMIFS(Data!$I:$I,Data!$B:$B,$B51,Data!$G:$G,"&lt;="&amp;Z$2,Data!$H:$H,"&gt;="&amp;Z$2)</f>
        <v>0</v>
      </c>
      <c r="AA51" s="21">
        <f>SUMIFS(Data!$I:$I,Data!$B:$B,$B51,Data!$G:$G,"&lt;="&amp;AA$2,Data!$H:$H,"&gt;="&amp;AA$2)</f>
        <v>0</v>
      </c>
      <c r="AB51" s="21">
        <f>SUMIFS(Data!$I:$I,Data!$B:$B,$B51,Data!$G:$G,"&lt;="&amp;AB$2,Data!$H:$H,"&gt;="&amp;AB$2)</f>
        <v>0</v>
      </c>
      <c r="AC51" s="21">
        <f>SUMIFS(Data!$I:$I,Data!$B:$B,$B51,Data!$G:$G,"&lt;="&amp;AC$2,Data!$H:$H,"&gt;="&amp;AC$2)</f>
        <v>0</v>
      </c>
      <c r="AD51" s="21">
        <f>SUMIFS(Data!$I:$I,Data!$B:$B,$B51,Data!$G:$G,"&lt;="&amp;AD$2,Data!$H:$H,"&gt;="&amp;AD$2)</f>
        <v>0</v>
      </c>
      <c r="AE51" s="21">
        <f>SUMIFS(Data!$I:$I,Data!$B:$B,$B51,Data!$G:$G,"&lt;="&amp;AE$2,Data!$H:$H,"&gt;="&amp;AE$2)</f>
        <v>0</v>
      </c>
      <c r="AF51" s="21">
        <f>SUMIFS(Data!$I:$I,Data!$B:$B,$B51,Data!$G:$G,"&lt;="&amp;AF$2,Data!$H:$H,"&gt;="&amp;AF$2)</f>
        <v>0</v>
      </c>
      <c r="AG51" s="21">
        <f>SUMIFS(Data!$I:$I,Data!$B:$B,$B51,Data!$G:$G,"&lt;="&amp;AG$2,Data!$H:$H,"&gt;="&amp;AG$2)</f>
        <v>0</v>
      </c>
      <c r="AH51" s="21">
        <f>SUMIFS(Data!$I:$I,Data!$B:$B,$B51,Data!$G:$G,"&lt;="&amp;AH$2,Data!$H:$H,"&gt;="&amp;AH$2)</f>
        <v>0</v>
      </c>
      <c r="AI51" s="21">
        <f>SUMIFS(Data!$I:$I,Data!$B:$B,$B51,Data!$G:$G,"&lt;="&amp;AI$2,Data!$H:$H,"&gt;="&amp;AI$2)</f>
        <v>0</v>
      </c>
      <c r="AJ51" s="21">
        <f>SUMIFS(Data!$I:$I,Data!$B:$B,$B51,Data!$G:$G,"&lt;="&amp;AJ$2,Data!$H:$H,"&gt;="&amp;AJ$2)</f>
        <v>0</v>
      </c>
      <c r="AK51" s="21">
        <f>SUMIFS(Data!$I:$I,Data!$B:$B,$B51,Data!$G:$G,"&lt;="&amp;AK$2,Data!$H:$H,"&gt;="&amp;AK$2)</f>
        <v>0</v>
      </c>
      <c r="AL51" s="21">
        <f>SUMIFS(Data!$I:$I,Data!$B:$B,$B51,Data!$G:$G,"&lt;="&amp;AL$2,Data!$H:$H,"&gt;="&amp;AL$2)</f>
        <v>0</v>
      </c>
      <c r="AM51" s="21">
        <f>SUMIFS(Data!$I:$I,Data!$B:$B,$B51,Data!$G:$G,"&lt;="&amp;AM$2,Data!$H:$H,"&gt;="&amp;AM$2)</f>
        <v>0</v>
      </c>
      <c r="AN51" s="21">
        <f>SUMIFS(Data!$I:$I,Data!$B:$B,$B51,Data!$G:$G,"&lt;="&amp;AN$2,Data!$H:$H,"&gt;="&amp;AN$2)</f>
        <v>0</v>
      </c>
      <c r="AO51" s="21">
        <f>SUMIFS(Data!$I:$I,Data!$B:$B,$B51,Data!$G:$G,"&lt;="&amp;AO$2,Data!$H:$H,"&gt;="&amp;AO$2)</f>
        <v>0</v>
      </c>
      <c r="AP51" s="21">
        <f>SUMIFS(Data!$I:$I,Data!$B:$B,$B51,Data!$G:$G,"&lt;="&amp;AP$2,Data!$H:$H,"&gt;="&amp;AP$2)</f>
        <v>0</v>
      </c>
      <c r="AQ51" s="21">
        <f>SUMIFS(Data!$I:$I,Data!$B:$B,$B51,Data!$G:$G,"&lt;="&amp;AQ$2,Data!$H:$H,"&gt;="&amp;AQ$2)</f>
        <v>0</v>
      </c>
      <c r="AR51" s="21">
        <f>SUMIFS(Data!$I:$I,Data!$B:$B,$B51,Data!$G:$G,"&lt;="&amp;AR$2,Data!$H:$H,"&gt;="&amp;AR$2)</f>
        <v>0</v>
      </c>
      <c r="AS51" s="21">
        <f>SUMIFS(Data!$I:$I,Data!$B:$B,$B51,Data!$G:$G,"&lt;="&amp;AS$2,Data!$H:$H,"&gt;="&amp;AS$2)</f>
        <v>0</v>
      </c>
      <c r="AT51" s="21">
        <f>SUMIFS(Data!$I:$I,Data!$B:$B,$B51,Data!$G:$G,"&lt;="&amp;AT$2,Data!$H:$H,"&gt;="&amp;AT$2)</f>
        <v>0</v>
      </c>
      <c r="AU51" s="21">
        <f>SUMIFS(Data!$I:$I,Data!$B:$B,$B51,Data!$G:$G,"&lt;="&amp;AU$2,Data!$H:$H,"&gt;="&amp;AU$2)</f>
        <v>0</v>
      </c>
      <c r="AV51" s="21">
        <f>SUMIFS(Data!$I:$I,Data!$B:$B,$B51,Data!$G:$G,"&lt;="&amp;AV$2,Data!$H:$H,"&gt;="&amp;AV$2)</f>
        <v>0</v>
      </c>
      <c r="AW51" s="21">
        <f>SUMIFS(Data!$I:$I,Data!$B:$B,$B51,Data!$G:$G,"&lt;="&amp;AW$2,Data!$H:$H,"&gt;="&amp;AW$2)</f>
        <v>0</v>
      </c>
      <c r="AX51" s="21">
        <f>SUMIFS(Data!$I:$I,Data!$B:$B,$B51,Data!$G:$G,"&lt;="&amp;AX$2,Data!$H:$H,"&gt;="&amp;AX$2)</f>
        <v>0</v>
      </c>
      <c r="AY51" s="21">
        <f>SUMIFS(Data!$I:$I,Data!$B:$B,$B51,Data!$G:$G,"&lt;="&amp;AY$2,Data!$H:$H,"&gt;="&amp;AY$2)</f>
        <v>0</v>
      </c>
      <c r="AZ51" s="21">
        <f>SUMIFS(Data!$I:$I,Data!$B:$B,$B51,Data!$G:$G,"&lt;="&amp;AZ$2,Data!$H:$H,"&gt;="&amp;AZ$2)</f>
        <v>0</v>
      </c>
      <c r="BA51" s="21">
        <f>SUMIFS(Data!$I:$I,Data!$B:$B,$B51,Data!$G:$G,"&lt;="&amp;BA$2,Data!$H:$H,"&gt;="&amp;BA$2)</f>
        <v>0</v>
      </c>
      <c r="BB51" s="21">
        <f>SUMIFS(Data!$I:$I,Data!$B:$B,$B51,Data!$G:$G,"&lt;="&amp;BB$2,Data!$H:$H,"&gt;="&amp;BB$2)</f>
        <v>0</v>
      </c>
      <c r="BC51" s="21">
        <f>SUMIFS(Data!$I:$I,Data!$B:$B,$B51,Data!$G:$G,"&lt;="&amp;BC$2,Data!$H:$H,"&gt;="&amp;BC$2)</f>
        <v>0</v>
      </c>
      <c r="BD51" s="21">
        <f>SUMIFS(Data!$I:$I,Data!$B:$B,$B51,Data!$G:$G,"&lt;="&amp;BD$2,Data!$H:$H,"&gt;="&amp;BD$2)</f>
        <v>0</v>
      </c>
      <c r="BE51" s="21">
        <f>SUMIFS(Data!$I:$I,Data!$B:$B,$B51,Data!$G:$G,"&lt;="&amp;BE$2,Data!$H:$H,"&gt;="&amp;BE$2)</f>
        <v>0</v>
      </c>
      <c r="BF51" s="21">
        <f>SUMIFS(Data!$I:$I,Data!$B:$B,$B51,Data!$G:$G,"&lt;="&amp;BF$2,Data!$H:$H,"&gt;="&amp;BF$2)</f>
        <v>0</v>
      </c>
      <c r="BG51" s="21">
        <f>SUMIFS(Data!$I:$I,Data!$B:$B,$B51,Data!$G:$G,"&lt;="&amp;BG$2,Data!$H:$H,"&gt;="&amp;BG$2)</f>
        <v>0</v>
      </c>
      <c r="BH51" s="21">
        <f>SUMIFS(Data!$I:$I,Data!$B:$B,$B51,Data!$G:$G,"&lt;="&amp;BH$2,Data!$H:$H,"&gt;="&amp;BH$2)</f>
        <v>0</v>
      </c>
      <c r="BI51" s="21">
        <f>SUMIFS(Data!$I:$I,Data!$B:$B,$B51,Data!$G:$G,"&lt;="&amp;BI$2,Data!$H:$H,"&gt;="&amp;BI$2)</f>
        <v>0</v>
      </c>
      <c r="BJ51" s="21">
        <f>SUMIFS(Data!$I:$I,Data!$B:$B,$B51,Data!$G:$G,"&lt;="&amp;BJ$2,Data!$H:$H,"&gt;="&amp;BJ$2)</f>
        <v>0</v>
      </c>
      <c r="BK51" s="21">
        <f>SUMIFS(Data!$I:$I,Data!$B:$B,$B51,Data!$G:$G,"&lt;="&amp;BK$2,Data!$H:$H,"&gt;="&amp;BK$2)</f>
        <v>0</v>
      </c>
      <c r="BL51" s="21">
        <f>SUMIFS(Data!$I:$I,Data!$B:$B,$B51,Data!$G:$G,"&lt;="&amp;BL$2,Data!$H:$H,"&gt;="&amp;BL$2)</f>
        <v>0</v>
      </c>
      <c r="BM51" s="21">
        <f>SUMIFS(Data!$I:$I,Data!$B:$B,$B51,Data!$G:$G,"&lt;="&amp;BM$2,Data!$H:$H,"&gt;="&amp;BM$2)</f>
        <v>0</v>
      </c>
      <c r="BN51" s="21">
        <f>SUMIFS(Data!$I:$I,Data!$B:$B,$B51,Data!$G:$G,"&lt;="&amp;BN$2,Data!$H:$H,"&gt;="&amp;BN$2)</f>
        <v>0</v>
      </c>
      <c r="BO51" s="21">
        <f>SUMIFS(Data!$I:$I,Data!$B:$B,$B51,Data!$G:$G,"&lt;="&amp;BO$2,Data!$H:$H,"&gt;="&amp;BO$2)</f>
        <v>0</v>
      </c>
      <c r="BP51" s="21">
        <f>SUMIFS(Data!$I:$I,Data!$B:$B,$B51,Data!$G:$G,"&lt;="&amp;BP$2,Data!$H:$H,"&gt;="&amp;BP$2)</f>
        <v>0</v>
      </c>
      <c r="BQ51" s="21">
        <f>SUMIFS(Data!$I:$I,Data!$B:$B,$B51,Data!$G:$G,"&lt;="&amp;BQ$2,Data!$H:$H,"&gt;="&amp;BQ$2)</f>
        <v>0</v>
      </c>
      <c r="BR51" s="21">
        <f>SUMIFS(Data!$I:$I,Data!$B:$B,$B51,Data!$G:$G,"&lt;="&amp;BR$2,Data!$H:$H,"&gt;="&amp;BR$2)</f>
        <v>0</v>
      </c>
      <c r="BS51" s="21">
        <f>SUMIFS(Data!$I:$I,Data!$B:$B,$B51,Data!$G:$G,"&lt;="&amp;BS$2,Data!$H:$H,"&gt;="&amp;BS$2)</f>
        <v>0</v>
      </c>
      <c r="BT51" s="21">
        <f>SUMIFS(Data!$I:$I,Data!$B:$B,$B51,Data!$G:$G,"&lt;="&amp;BT$2,Data!$H:$H,"&gt;="&amp;BT$2)</f>
        <v>0</v>
      </c>
      <c r="BU51" s="21">
        <f>SUMIFS(Data!$I:$I,Data!$B:$B,$B51,Data!$G:$G,"&lt;="&amp;BU$2,Data!$H:$H,"&gt;="&amp;BU$2)</f>
        <v>0</v>
      </c>
      <c r="BV51" s="21">
        <f>SUMIFS(Data!$I:$I,Data!$B:$B,$B51,Data!$G:$G,"&lt;="&amp;BV$2,Data!$H:$H,"&gt;="&amp;BV$2)</f>
        <v>0</v>
      </c>
      <c r="BW51" s="21">
        <f>SUMIFS(Data!$I:$I,Data!$B:$B,$B51,Data!$G:$G,"&lt;="&amp;BW$2,Data!$H:$H,"&gt;="&amp;BW$2)</f>
        <v>0</v>
      </c>
      <c r="BX51" s="21">
        <f>SUMIFS(Data!$I:$I,Data!$B:$B,$B51,Data!$G:$G,"&lt;="&amp;BX$2,Data!$H:$H,"&gt;="&amp;BX$2)</f>
        <v>0</v>
      </c>
      <c r="BY51" s="21">
        <f>SUMIFS(Data!$I:$I,Data!$B:$B,$B51,Data!$G:$G,"&lt;="&amp;BY$2,Data!$H:$H,"&gt;="&amp;BY$2)</f>
        <v>0</v>
      </c>
      <c r="BZ51" s="21">
        <f>SUMIFS(Data!$I:$I,Data!$B:$B,$B51,Data!$G:$G,"&lt;="&amp;BZ$2,Data!$H:$H,"&gt;="&amp;BZ$2)</f>
        <v>0</v>
      </c>
      <c r="CA51" s="22">
        <f t="shared" si="130"/>
        <v>27500</v>
      </c>
    </row>
    <row r="52" spans="2:79" x14ac:dyDescent="0.25">
      <c r="B52" s="11" t="s">
        <v>121</v>
      </c>
      <c r="C52" s="11" t="str">
        <f>VLOOKUP(B52,Data!B:C,2,FALSE)</f>
        <v>Legacy</v>
      </c>
      <c r="D52" s="21">
        <f>SUMIFS(Data!$I:$I,Data!$B:$B,$B52,Data!$G:$G,"&lt;="&amp;D$2,Data!$H:$H,"&gt;="&amp;D$2)</f>
        <v>0</v>
      </c>
      <c r="E52" s="21">
        <f>SUMIFS(Data!$I:$I,Data!$B:$B,$B52,Data!$G:$G,"&lt;="&amp;E$2,Data!$H:$H,"&gt;="&amp;E$2)</f>
        <v>0</v>
      </c>
      <c r="F52" s="21">
        <f>SUMIFS(Data!$I:$I,Data!$B:$B,$B52,Data!$G:$G,"&lt;="&amp;F$2,Data!$H:$H,"&gt;="&amp;F$2)</f>
        <v>0</v>
      </c>
      <c r="G52" s="21">
        <f>SUMIFS(Data!$I:$I,Data!$B:$B,$B52,Data!$G:$G,"&lt;="&amp;G$2,Data!$H:$H,"&gt;="&amp;G$2)</f>
        <v>2500</v>
      </c>
      <c r="H52" s="21">
        <f>SUMIFS(Data!$I:$I,Data!$B:$B,$B52,Data!$G:$G,"&lt;="&amp;H$2,Data!$H:$H,"&gt;="&amp;H$2)</f>
        <v>2500</v>
      </c>
      <c r="I52" s="21">
        <f>SUMIFS(Data!$I:$I,Data!$B:$B,$B52,Data!$G:$G,"&lt;="&amp;I$2,Data!$H:$H,"&gt;="&amp;I$2)</f>
        <v>2500</v>
      </c>
      <c r="J52" s="21">
        <f>SUMIFS(Data!$I:$I,Data!$B:$B,$B52,Data!$G:$G,"&lt;="&amp;J$2,Data!$H:$H,"&gt;="&amp;J$2)</f>
        <v>5000</v>
      </c>
      <c r="K52" s="21">
        <f>SUMIFS(Data!$I:$I,Data!$B:$B,$B52,Data!$G:$G,"&lt;="&amp;K$2,Data!$H:$H,"&gt;="&amp;K$2)</f>
        <v>5000</v>
      </c>
      <c r="L52" s="21">
        <f>SUMIFS(Data!$I:$I,Data!$B:$B,$B52,Data!$G:$G,"&lt;="&amp;L$2,Data!$H:$H,"&gt;="&amp;L$2)</f>
        <v>5000</v>
      </c>
      <c r="M52" s="21">
        <f>SUMIFS(Data!$I:$I,Data!$B:$B,$B52,Data!$G:$G,"&lt;="&amp;M$2,Data!$H:$H,"&gt;="&amp;M$2)</f>
        <v>0</v>
      </c>
      <c r="N52" s="21">
        <f>SUMIFS(Data!$I:$I,Data!$B:$B,$B52,Data!$G:$G,"&lt;="&amp;N$2,Data!$H:$H,"&gt;="&amp;N$2)</f>
        <v>0</v>
      </c>
      <c r="O52" s="21">
        <f>SUMIFS(Data!$I:$I,Data!$B:$B,$B52,Data!$G:$G,"&lt;="&amp;O$2,Data!$H:$H,"&gt;="&amp;O$2)</f>
        <v>0</v>
      </c>
      <c r="P52" s="21">
        <f>SUMIFS(Data!$I:$I,Data!$B:$B,$B52,Data!$G:$G,"&lt;="&amp;P$2,Data!$H:$H,"&gt;="&amp;P$2)</f>
        <v>0</v>
      </c>
      <c r="Q52" s="21">
        <f>SUMIFS(Data!$I:$I,Data!$B:$B,$B52,Data!$G:$G,"&lt;="&amp;Q$2,Data!$H:$H,"&gt;="&amp;Q$2)</f>
        <v>0</v>
      </c>
      <c r="R52" s="21">
        <f>SUMIFS(Data!$I:$I,Data!$B:$B,$B52,Data!$G:$G,"&lt;="&amp;R$2,Data!$H:$H,"&gt;="&amp;R$2)</f>
        <v>0</v>
      </c>
      <c r="S52" s="21">
        <f>SUMIFS(Data!$I:$I,Data!$B:$B,$B52,Data!$G:$G,"&lt;="&amp;S$2,Data!$H:$H,"&gt;="&amp;S$2)</f>
        <v>0</v>
      </c>
      <c r="T52" s="21">
        <f>SUMIFS(Data!$I:$I,Data!$B:$B,$B52,Data!$G:$G,"&lt;="&amp;T$2,Data!$H:$H,"&gt;="&amp;T$2)</f>
        <v>0</v>
      </c>
      <c r="U52" s="21">
        <f>SUMIFS(Data!$I:$I,Data!$B:$B,$B52,Data!$G:$G,"&lt;="&amp;U$2,Data!$H:$H,"&gt;="&amp;U$2)</f>
        <v>0</v>
      </c>
      <c r="V52" s="21">
        <f>SUMIFS(Data!$I:$I,Data!$B:$B,$B52,Data!$G:$G,"&lt;="&amp;V$2,Data!$H:$H,"&gt;="&amp;V$2)</f>
        <v>0</v>
      </c>
      <c r="W52" s="21">
        <f>SUMIFS(Data!$I:$I,Data!$B:$B,$B52,Data!$G:$G,"&lt;="&amp;W$2,Data!$H:$H,"&gt;="&amp;W$2)</f>
        <v>0</v>
      </c>
      <c r="X52" s="21">
        <f>SUMIFS(Data!$I:$I,Data!$B:$B,$B52,Data!$G:$G,"&lt;="&amp;X$2,Data!$H:$H,"&gt;="&amp;X$2)</f>
        <v>0</v>
      </c>
      <c r="Y52" s="21">
        <f>SUMIFS(Data!$I:$I,Data!$B:$B,$B52,Data!$G:$G,"&lt;="&amp;Y$2,Data!$H:$H,"&gt;="&amp;Y$2)</f>
        <v>0</v>
      </c>
      <c r="Z52" s="21">
        <f>SUMIFS(Data!$I:$I,Data!$B:$B,$B52,Data!$G:$G,"&lt;="&amp;Z$2,Data!$H:$H,"&gt;="&amp;Z$2)</f>
        <v>0</v>
      </c>
      <c r="AA52" s="21">
        <f>SUMIFS(Data!$I:$I,Data!$B:$B,$B52,Data!$G:$G,"&lt;="&amp;AA$2,Data!$H:$H,"&gt;="&amp;AA$2)</f>
        <v>0</v>
      </c>
      <c r="AB52" s="21">
        <f>SUMIFS(Data!$I:$I,Data!$B:$B,$B52,Data!$G:$G,"&lt;="&amp;AB$2,Data!$H:$H,"&gt;="&amp;AB$2)</f>
        <v>0</v>
      </c>
      <c r="AC52" s="21">
        <f>SUMIFS(Data!$I:$I,Data!$B:$B,$B52,Data!$G:$G,"&lt;="&amp;AC$2,Data!$H:$H,"&gt;="&amp;AC$2)</f>
        <v>0</v>
      </c>
      <c r="AD52" s="21">
        <f>SUMIFS(Data!$I:$I,Data!$B:$B,$B52,Data!$G:$G,"&lt;="&amp;AD$2,Data!$H:$H,"&gt;="&amp;AD$2)</f>
        <v>0</v>
      </c>
      <c r="AE52" s="21">
        <f>SUMIFS(Data!$I:$I,Data!$B:$B,$B52,Data!$G:$G,"&lt;="&amp;AE$2,Data!$H:$H,"&gt;="&amp;AE$2)</f>
        <v>0</v>
      </c>
      <c r="AF52" s="21">
        <f>SUMIFS(Data!$I:$I,Data!$B:$B,$B52,Data!$G:$G,"&lt;="&amp;AF$2,Data!$H:$H,"&gt;="&amp;AF$2)</f>
        <v>0</v>
      </c>
      <c r="AG52" s="21">
        <f>SUMIFS(Data!$I:$I,Data!$B:$B,$B52,Data!$G:$G,"&lt;="&amp;AG$2,Data!$H:$H,"&gt;="&amp;AG$2)</f>
        <v>0</v>
      </c>
      <c r="AH52" s="21">
        <f>SUMIFS(Data!$I:$I,Data!$B:$B,$B52,Data!$G:$G,"&lt;="&amp;AH$2,Data!$H:$H,"&gt;="&amp;AH$2)</f>
        <v>0</v>
      </c>
      <c r="AI52" s="21">
        <f>SUMIFS(Data!$I:$I,Data!$B:$B,$B52,Data!$G:$G,"&lt;="&amp;AI$2,Data!$H:$H,"&gt;="&amp;AI$2)</f>
        <v>0</v>
      </c>
      <c r="AJ52" s="21">
        <f>SUMIFS(Data!$I:$I,Data!$B:$B,$B52,Data!$G:$G,"&lt;="&amp;AJ$2,Data!$H:$H,"&gt;="&amp;AJ$2)</f>
        <v>0</v>
      </c>
      <c r="AK52" s="21">
        <f>SUMIFS(Data!$I:$I,Data!$B:$B,$B52,Data!$G:$G,"&lt;="&amp;AK$2,Data!$H:$H,"&gt;="&amp;AK$2)</f>
        <v>0</v>
      </c>
      <c r="AL52" s="21">
        <f>SUMIFS(Data!$I:$I,Data!$B:$B,$B52,Data!$G:$G,"&lt;="&amp;AL$2,Data!$H:$H,"&gt;="&amp;AL$2)</f>
        <v>0</v>
      </c>
      <c r="AM52" s="21">
        <f>SUMIFS(Data!$I:$I,Data!$B:$B,$B52,Data!$G:$G,"&lt;="&amp;AM$2,Data!$H:$H,"&gt;="&amp;AM$2)</f>
        <v>0</v>
      </c>
      <c r="AN52" s="21">
        <f>SUMIFS(Data!$I:$I,Data!$B:$B,$B52,Data!$G:$G,"&lt;="&amp;AN$2,Data!$H:$H,"&gt;="&amp;AN$2)</f>
        <v>0</v>
      </c>
      <c r="AO52" s="21">
        <f>SUMIFS(Data!$I:$I,Data!$B:$B,$B52,Data!$G:$G,"&lt;="&amp;AO$2,Data!$H:$H,"&gt;="&amp;AO$2)</f>
        <v>0</v>
      </c>
      <c r="AP52" s="21">
        <f>SUMIFS(Data!$I:$I,Data!$B:$B,$B52,Data!$G:$G,"&lt;="&amp;AP$2,Data!$H:$H,"&gt;="&amp;AP$2)</f>
        <v>0</v>
      </c>
      <c r="AQ52" s="21">
        <f>SUMIFS(Data!$I:$I,Data!$B:$B,$B52,Data!$G:$G,"&lt;="&amp;AQ$2,Data!$H:$H,"&gt;="&amp;AQ$2)</f>
        <v>0</v>
      </c>
      <c r="AR52" s="21">
        <f>SUMIFS(Data!$I:$I,Data!$B:$B,$B52,Data!$G:$G,"&lt;="&amp;AR$2,Data!$H:$H,"&gt;="&amp;AR$2)</f>
        <v>0</v>
      </c>
      <c r="AS52" s="21">
        <f>SUMIFS(Data!$I:$I,Data!$B:$B,$B52,Data!$G:$G,"&lt;="&amp;AS$2,Data!$H:$H,"&gt;="&amp;AS$2)</f>
        <v>0</v>
      </c>
      <c r="AT52" s="21">
        <f>SUMIFS(Data!$I:$I,Data!$B:$B,$B52,Data!$G:$G,"&lt;="&amp;AT$2,Data!$H:$H,"&gt;="&amp;AT$2)</f>
        <v>0</v>
      </c>
      <c r="AU52" s="21">
        <f>SUMIFS(Data!$I:$I,Data!$B:$B,$B52,Data!$G:$G,"&lt;="&amp;AU$2,Data!$H:$H,"&gt;="&amp;AU$2)</f>
        <v>0</v>
      </c>
      <c r="AV52" s="21">
        <f>SUMIFS(Data!$I:$I,Data!$B:$B,$B52,Data!$G:$G,"&lt;="&amp;AV$2,Data!$H:$H,"&gt;="&amp;AV$2)</f>
        <v>0</v>
      </c>
      <c r="AW52" s="21">
        <f>SUMIFS(Data!$I:$I,Data!$B:$B,$B52,Data!$G:$G,"&lt;="&amp;AW$2,Data!$H:$H,"&gt;="&amp;AW$2)</f>
        <v>0</v>
      </c>
      <c r="AX52" s="21">
        <f>SUMIFS(Data!$I:$I,Data!$B:$B,$B52,Data!$G:$G,"&lt;="&amp;AX$2,Data!$H:$H,"&gt;="&amp;AX$2)</f>
        <v>0</v>
      </c>
      <c r="AY52" s="21">
        <f>SUMIFS(Data!$I:$I,Data!$B:$B,$B52,Data!$G:$G,"&lt;="&amp;AY$2,Data!$H:$H,"&gt;="&amp;AY$2)</f>
        <v>0</v>
      </c>
      <c r="AZ52" s="21">
        <f>SUMIFS(Data!$I:$I,Data!$B:$B,$B52,Data!$G:$G,"&lt;="&amp;AZ$2,Data!$H:$H,"&gt;="&amp;AZ$2)</f>
        <v>0</v>
      </c>
      <c r="BA52" s="21">
        <f>SUMIFS(Data!$I:$I,Data!$B:$B,$B52,Data!$G:$G,"&lt;="&amp;BA$2,Data!$H:$H,"&gt;="&amp;BA$2)</f>
        <v>0</v>
      </c>
      <c r="BB52" s="21">
        <f>SUMIFS(Data!$I:$I,Data!$B:$B,$B52,Data!$G:$G,"&lt;="&amp;BB$2,Data!$H:$H,"&gt;="&amp;BB$2)</f>
        <v>0</v>
      </c>
      <c r="BC52" s="21">
        <f>SUMIFS(Data!$I:$I,Data!$B:$B,$B52,Data!$G:$G,"&lt;="&amp;BC$2,Data!$H:$H,"&gt;="&amp;BC$2)</f>
        <v>0</v>
      </c>
      <c r="BD52" s="21">
        <f>SUMIFS(Data!$I:$I,Data!$B:$B,$B52,Data!$G:$G,"&lt;="&amp;BD$2,Data!$H:$H,"&gt;="&amp;BD$2)</f>
        <v>0</v>
      </c>
      <c r="BE52" s="21">
        <f>SUMIFS(Data!$I:$I,Data!$B:$B,$B52,Data!$G:$G,"&lt;="&amp;BE$2,Data!$H:$H,"&gt;="&amp;BE$2)</f>
        <v>0</v>
      </c>
      <c r="BF52" s="21">
        <f>SUMIFS(Data!$I:$I,Data!$B:$B,$B52,Data!$G:$G,"&lt;="&amp;BF$2,Data!$H:$H,"&gt;="&amp;BF$2)</f>
        <v>0</v>
      </c>
      <c r="BG52" s="21">
        <f>SUMIFS(Data!$I:$I,Data!$B:$B,$B52,Data!$G:$G,"&lt;="&amp;BG$2,Data!$H:$H,"&gt;="&amp;BG$2)</f>
        <v>0</v>
      </c>
      <c r="BH52" s="21">
        <f>SUMIFS(Data!$I:$I,Data!$B:$B,$B52,Data!$G:$G,"&lt;="&amp;BH$2,Data!$H:$H,"&gt;="&amp;BH$2)</f>
        <v>0</v>
      </c>
      <c r="BI52" s="21">
        <f>SUMIFS(Data!$I:$I,Data!$B:$B,$B52,Data!$G:$G,"&lt;="&amp;BI$2,Data!$H:$H,"&gt;="&amp;BI$2)</f>
        <v>0</v>
      </c>
      <c r="BJ52" s="21">
        <f>SUMIFS(Data!$I:$I,Data!$B:$B,$B52,Data!$G:$G,"&lt;="&amp;BJ$2,Data!$H:$H,"&gt;="&amp;BJ$2)</f>
        <v>0</v>
      </c>
      <c r="BK52" s="21">
        <f>SUMIFS(Data!$I:$I,Data!$B:$B,$B52,Data!$G:$G,"&lt;="&amp;BK$2,Data!$H:$H,"&gt;="&amp;BK$2)</f>
        <v>0</v>
      </c>
      <c r="BL52" s="21">
        <f>SUMIFS(Data!$I:$I,Data!$B:$B,$B52,Data!$G:$G,"&lt;="&amp;BL$2,Data!$H:$H,"&gt;="&amp;BL$2)</f>
        <v>0</v>
      </c>
      <c r="BM52" s="21">
        <f>SUMIFS(Data!$I:$I,Data!$B:$B,$B52,Data!$G:$G,"&lt;="&amp;BM$2,Data!$H:$H,"&gt;="&amp;BM$2)</f>
        <v>0</v>
      </c>
      <c r="BN52" s="21">
        <f>SUMIFS(Data!$I:$I,Data!$B:$B,$B52,Data!$G:$G,"&lt;="&amp;BN$2,Data!$H:$H,"&gt;="&amp;BN$2)</f>
        <v>0</v>
      </c>
      <c r="BO52" s="21">
        <f>SUMIFS(Data!$I:$I,Data!$B:$B,$B52,Data!$G:$G,"&lt;="&amp;BO$2,Data!$H:$H,"&gt;="&amp;BO$2)</f>
        <v>0</v>
      </c>
      <c r="BP52" s="21">
        <f>SUMIFS(Data!$I:$I,Data!$B:$B,$B52,Data!$G:$G,"&lt;="&amp;BP$2,Data!$H:$H,"&gt;="&amp;BP$2)</f>
        <v>0</v>
      </c>
      <c r="BQ52" s="21">
        <f>SUMIFS(Data!$I:$I,Data!$B:$B,$B52,Data!$G:$G,"&lt;="&amp;BQ$2,Data!$H:$H,"&gt;="&amp;BQ$2)</f>
        <v>0</v>
      </c>
      <c r="BR52" s="21">
        <f>SUMIFS(Data!$I:$I,Data!$B:$B,$B52,Data!$G:$G,"&lt;="&amp;BR$2,Data!$H:$H,"&gt;="&amp;BR$2)</f>
        <v>0</v>
      </c>
      <c r="BS52" s="21">
        <f>SUMIFS(Data!$I:$I,Data!$B:$B,$B52,Data!$G:$G,"&lt;="&amp;BS$2,Data!$H:$H,"&gt;="&amp;BS$2)</f>
        <v>0</v>
      </c>
      <c r="BT52" s="21">
        <f>SUMIFS(Data!$I:$I,Data!$B:$B,$B52,Data!$G:$G,"&lt;="&amp;BT$2,Data!$H:$H,"&gt;="&amp;BT$2)</f>
        <v>0</v>
      </c>
      <c r="BU52" s="21">
        <f>SUMIFS(Data!$I:$I,Data!$B:$B,$B52,Data!$G:$G,"&lt;="&amp;BU$2,Data!$H:$H,"&gt;="&amp;BU$2)</f>
        <v>0</v>
      </c>
      <c r="BV52" s="21">
        <f>SUMIFS(Data!$I:$I,Data!$B:$B,$B52,Data!$G:$G,"&lt;="&amp;BV$2,Data!$H:$H,"&gt;="&amp;BV$2)</f>
        <v>0</v>
      </c>
      <c r="BW52" s="21">
        <f>SUMIFS(Data!$I:$I,Data!$B:$B,$B52,Data!$G:$G,"&lt;="&amp;BW$2,Data!$H:$H,"&gt;="&amp;BW$2)</f>
        <v>0</v>
      </c>
      <c r="BX52" s="21">
        <f>SUMIFS(Data!$I:$I,Data!$B:$B,$B52,Data!$G:$G,"&lt;="&amp;BX$2,Data!$H:$H,"&gt;="&amp;BX$2)</f>
        <v>0</v>
      </c>
      <c r="BY52" s="21">
        <f>SUMIFS(Data!$I:$I,Data!$B:$B,$B52,Data!$G:$G,"&lt;="&amp;BY$2,Data!$H:$H,"&gt;="&amp;BY$2)</f>
        <v>0</v>
      </c>
      <c r="BZ52" s="21">
        <f>SUMIFS(Data!$I:$I,Data!$B:$B,$B52,Data!$G:$G,"&lt;="&amp;BZ$2,Data!$H:$H,"&gt;="&amp;BZ$2)</f>
        <v>0</v>
      </c>
      <c r="CA52" s="22">
        <f t="shared" si="130"/>
        <v>22500</v>
      </c>
    </row>
    <row r="53" spans="2:79" x14ac:dyDescent="0.25">
      <c r="B53" s="11" t="s">
        <v>167</v>
      </c>
      <c r="C53" s="11" t="str">
        <f>VLOOKUP(B53,Data!B:C,2,FALSE)</f>
        <v>Legacy</v>
      </c>
      <c r="D53" s="21">
        <f>SUMIFS(Data!$I:$I,Data!$B:$B,$B53,Data!$G:$G,"&lt;="&amp;D$2,Data!$H:$H,"&gt;="&amp;D$2)</f>
        <v>0</v>
      </c>
      <c r="E53" s="21">
        <f>SUMIFS(Data!$I:$I,Data!$B:$B,$B53,Data!$G:$G,"&lt;="&amp;E$2,Data!$H:$H,"&gt;="&amp;E$2)</f>
        <v>0</v>
      </c>
      <c r="F53" s="21">
        <f>SUMIFS(Data!$I:$I,Data!$B:$B,$B53,Data!$G:$G,"&lt;="&amp;F$2,Data!$H:$H,"&gt;="&amp;F$2)</f>
        <v>0</v>
      </c>
      <c r="G53" s="21">
        <f>SUMIFS(Data!$I:$I,Data!$B:$B,$B53,Data!$G:$G,"&lt;="&amp;G$2,Data!$H:$H,"&gt;="&amp;G$2)</f>
        <v>0</v>
      </c>
      <c r="H53" s="21">
        <f>SUMIFS(Data!$I:$I,Data!$B:$B,$B53,Data!$G:$G,"&lt;="&amp;H$2,Data!$H:$H,"&gt;="&amp;H$2)</f>
        <v>0</v>
      </c>
      <c r="I53" s="21">
        <f>SUMIFS(Data!$I:$I,Data!$B:$B,$B53,Data!$G:$G,"&lt;="&amp;I$2,Data!$H:$H,"&gt;="&amp;I$2)</f>
        <v>0</v>
      </c>
      <c r="J53" s="21">
        <f>SUMIFS(Data!$I:$I,Data!$B:$B,$B53,Data!$G:$G,"&lt;="&amp;J$2,Data!$H:$H,"&gt;="&amp;J$2)</f>
        <v>0</v>
      </c>
      <c r="K53" s="21">
        <f>SUMIFS(Data!$I:$I,Data!$B:$B,$B53,Data!$G:$G,"&lt;="&amp;K$2,Data!$H:$H,"&gt;="&amp;K$2)</f>
        <v>0</v>
      </c>
      <c r="L53" s="21">
        <f>SUMIFS(Data!$I:$I,Data!$B:$B,$B53,Data!$G:$G,"&lt;="&amp;L$2,Data!$H:$H,"&gt;="&amp;L$2)</f>
        <v>6666.666666666667</v>
      </c>
      <c r="M53" s="21">
        <f>SUMIFS(Data!$I:$I,Data!$B:$B,$B53,Data!$G:$G,"&lt;="&amp;M$2,Data!$H:$H,"&gt;="&amp;M$2)</f>
        <v>6666.666666666667</v>
      </c>
      <c r="N53" s="21">
        <f>SUMIFS(Data!$I:$I,Data!$B:$B,$B53,Data!$G:$G,"&lt;="&amp;N$2,Data!$H:$H,"&gt;="&amp;N$2)</f>
        <v>6666.666666666667</v>
      </c>
      <c r="O53" s="21">
        <f>SUMIFS(Data!$I:$I,Data!$B:$B,$B53,Data!$G:$G,"&lt;="&amp;O$2,Data!$H:$H,"&gt;="&amp;O$2)</f>
        <v>0</v>
      </c>
      <c r="P53" s="21">
        <f>SUMIFS(Data!$I:$I,Data!$B:$B,$B53,Data!$G:$G,"&lt;="&amp;P$2,Data!$H:$H,"&gt;="&amp;P$2)</f>
        <v>0</v>
      </c>
      <c r="Q53" s="21">
        <f>SUMIFS(Data!$I:$I,Data!$B:$B,$B53,Data!$G:$G,"&lt;="&amp;Q$2,Data!$H:$H,"&gt;="&amp;Q$2)</f>
        <v>0</v>
      </c>
      <c r="R53" s="21">
        <f>SUMIFS(Data!$I:$I,Data!$B:$B,$B53,Data!$G:$G,"&lt;="&amp;R$2,Data!$H:$H,"&gt;="&amp;R$2)</f>
        <v>0</v>
      </c>
      <c r="S53" s="21">
        <f>SUMIFS(Data!$I:$I,Data!$B:$B,$B53,Data!$G:$G,"&lt;="&amp;S$2,Data!$H:$H,"&gt;="&amp;S$2)</f>
        <v>0</v>
      </c>
      <c r="T53" s="21">
        <f>SUMIFS(Data!$I:$I,Data!$B:$B,$B53,Data!$G:$G,"&lt;="&amp;T$2,Data!$H:$H,"&gt;="&amp;T$2)</f>
        <v>0</v>
      </c>
      <c r="U53" s="21">
        <f>SUMIFS(Data!$I:$I,Data!$B:$B,$B53,Data!$G:$G,"&lt;="&amp;U$2,Data!$H:$H,"&gt;="&amp;U$2)</f>
        <v>0</v>
      </c>
      <c r="V53" s="21">
        <f>SUMIFS(Data!$I:$I,Data!$B:$B,$B53,Data!$G:$G,"&lt;="&amp;V$2,Data!$H:$H,"&gt;="&amp;V$2)</f>
        <v>0</v>
      </c>
      <c r="W53" s="21">
        <f>SUMIFS(Data!$I:$I,Data!$B:$B,$B53,Data!$G:$G,"&lt;="&amp;W$2,Data!$H:$H,"&gt;="&amp;W$2)</f>
        <v>0</v>
      </c>
      <c r="X53" s="21">
        <f>SUMIFS(Data!$I:$I,Data!$B:$B,$B53,Data!$G:$G,"&lt;="&amp;X$2,Data!$H:$H,"&gt;="&amp;X$2)</f>
        <v>0</v>
      </c>
      <c r="Y53" s="21">
        <f>SUMIFS(Data!$I:$I,Data!$B:$B,$B53,Data!$G:$G,"&lt;="&amp;Y$2,Data!$H:$H,"&gt;="&amp;Y$2)</f>
        <v>0</v>
      </c>
      <c r="Z53" s="21">
        <f>SUMIFS(Data!$I:$I,Data!$B:$B,$B53,Data!$G:$G,"&lt;="&amp;Z$2,Data!$H:$H,"&gt;="&amp;Z$2)</f>
        <v>0</v>
      </c>
      <c r="AA53" s="21">
        <f>SUMIFS(Data!$I:$I,Data!$B:$B,$B53,Data!$G:$G,"&lt;="&amp;AA$2,Data!$H:$H,"&gt;="&amp;AA$2)</f>
        <v>0</v>
      </c>
      <c r="AB53" s="21">
        <f>SUMIFS(Data!$I:$I,Data!$B:$B,$B53,Data!$G:$G,"&lt;="&amp;AB$2,Data!$H:$H,"&gt;="&amp;AB$2)</f>
        <v>0</v>
      </c>
      <c r="AC53" s="21">
        <f>SUMIFS(Data!$I:$I,Data!$B:$B,$B53,Data!$G:$G,"&lt;="&amp;AC$2,Data!$H:$H,"&gt;="&amp;AC$2)</f>
        <v>0</v>
      </c>
      <c r="AD53" s="21">
        <f>SUMIFS(Data!$I:$I,Data!$B:$B,$B53,Data!$G:$G,"&lt;="&amp;AD$2,Data!$H:$H,"&gt;="&amp;AD$2)</f>
        <v>0</v>
      </c>
      <c r="AE53" s="21">
        <f>SUMIFS(Data!$I:$I,Data!$B:$B,$B53,Data!$G:$G,"&lt;="&amp;AE$2,Data!$H:$H,"&gt;="&amp;AE$2)</f>
        <v>0</v>
      </c>
      <c r="AF53" s="21">
        <f>SUMIFS(Data!$I:$I,Data!$B:$B,$B53,Data!$G:$G,"&lt;="&amp;AF$2,Data!$H:$H,"&gt;="&amp;AF$2)</f>
        <v>0</v>
      </c>
      <c r="AG53" s="21">
        <f>SUMIFS(Data!$I:$I,Data!$B:$B,$B53,Data!$G:$G,"&lt;="&amp;AG$2,Data!$H:$H,"&gt;="&amp;AG$2)</f>
        <v>0</v>
      </c>
      <c r="AH53" s="21">
        <f>SUMIFS(Data!$I:$I,Data!$B:$B,$B53,Data!$G:$G,"&lt;="&amp;AH$2,Data!$H:$H,"&gt;="&amp;AH$2)</f>
        <v>0</v>
      </c>
      <c r="AI53" s="21">
        <f>SUMIFS(Data!$I:$I,Data!$B:$B,$B53,Data!$G:$G,"&lt;="&amp;AI$2,Data!$H:$H,"&gt;="&amp;AI$2)</f>
        <v>0</v>
      </c>
      <c r="AJ53" s="21">
        <f>SUMIFS(Data!$I:$I,Data!$B:$B,$B53,Data!$G:$G,"&lt;="&amp;AJ$2,Data!$H:$H,"&gt;="&amp;AJ$2)</f>
        <v>0</v>
      </c>
      <c r="AK53" s="21">
        <f>SUMIFS(Data!$I:$I,Data!$B:$B,$B53,Data!$G:$G,"&lt;="&amp;AK$2,Data!$H:$H,"&gt;="&amp;AK$2)</f>
        <v>0</v>
      </c>
      <c r="AL53" s="21">
        <f>SUMIFS(Data!$I:$I,Data!$B:$B,$B53,Data!$G:$G,"&lt;="&amp;AL$2,Data!$H:$H,"&gt;="&amp;AL$2)</f>
        <v>0</v>
      </c>
      <c r="AM53" s="21">
        <f>SUMIFS(Data!$I:$I,Data!$B:$B,$B53,Data!$G:$G,"&lt;="&amp;AM$2,Data!$H:$H,"&gt;="&amp;AM$2)</f>
        <v>0</v>
      </c>
      <c r="AN53" s="21">
        <f>SUMIFS(Data!$I:$I,Data!$B:$B,$B53,Data!$G:$G,"&lt;="&amp;AN$2,Data!$H:$H,"&gt;="&amp;AN$2)</f>
        <v>0</v>
      </c>
      <c r="AO53" s="21">
        <f>SUMIFS(Data!$I:$I,Data!$B:$B,$B53,Data!$G:$G,"&lt;="&amp;AO$2,Data!$H:$H,"&gt;="&amp;AO$2)</f>
        <v>0</v>
      </c>
      <c r="AP53" s="21">
        <f>SUMIFS(Data!$I:$I,Data!$B:$B,$B53,Data!$G:$G,"&lt;="&amp;AP$2,Data!$H:$H,"&gt;="&amp;AP$2)</f>
        <v>0</v>
      </c>
      <c r="AQ53" s="21">
        <f>SUMIFS(Data!$I:$I,Data!$B:$B,$B53,Data!$G:$G,"&lt;="&amp;AQ$2,Data!$H:$H,"&gt;="&amp;AQ$2)</f>
        <v>0</v>
      </c>
      <c r="AR53" s="21">
        <f>SUMIFS(Data!$I:$I,Data!$B:$B,$B53,Data!$G:$G,"&lt;="&amp;AR$2,Data!$H:$H,"&gt;="&amp;AR$2)</f>
        <v>0</v>
      </c>
      <c r="AS53" s="21">
        <f>SUMIFS(Data!$I:$I,Data!$B:$B,$B53,Data!$G:$G,"&lt;="&amp;AS$2,Data!$H:$H,"&gt;="&amp;AS$2)</f>
        <v>0</v>
      </c>
      <c r="AT53" s="21">
        <f>SUMIFS(Data!$I:$I,Data!$B:$B,$B53,Data!$G:$G,"&lt;="&amp;AT$2,Data!$H:$H,"&gt;="&amp;AT$2)</f>
        <v>0</v>
      </c>
      <c r="AU53" s="21">
        <f>SUMIFS(Data!$I:$I,Data!$B:$B,$B53,Data!$G:$G,"&lt;="&amp;AU$2,Data!$H:$H,"&gt;="&amp;AU$2)</f>
        <v>0</v>
      </c>
      <c r="AV53" s="21">
        <f>SUMIFS(Data!$I:$I,Data!$B:$B,$B53,Data!$G:$G,"&lt;="&amp;AV$2,Data!$H:$H,"&gt;="&amp;AV$2)</f>
        <v>0</v>
      </c>
      <c r="AW53" s="21">
        <f>SUMIFS(Data!$I:$I,Data!$B:$B,$B53,Data!$G:$G,"&lt;="&amp;AW$2,Data!$H:$H,"&gt;="&amp;AW$2)</f>
        <v>0</v>
      </c>
      <c r="AX53" s="21">
        <f>SUMIFS(Data!$I:$I,Data!$B:$B,$B53,Data!$G:$G,"&lt;="&amp;AX$2,Data!$H:$H,"&gt;="&amp;AX$2)</f>
        <v>0</v>
      </c>
      <c r="AY53" s="21">
        <f>SUMIFS(Data!$I:$I,Data!$B:$B,$B53,Data!$G:$G,"&lt;="&amp;AY$2,Data!$H:$H,"&gt;="&amp;AY$2)</f>
        <v>0</v>
      </c>
      <c r="AZ53" s="21">
        <f>SUMIFS(Data!$I:$I,Data!$B:$B,$B53,Data!$G:$G,"&lt;="&amp;AZ$2,Data!$H:$H,"&gt;="&amp;AZ$2)</f>
        <v>0</v>
      </c>
      <c r="BA53" s="21">
        <f>SUMIFS(Data!$I:$I,Data!$B:$B,$B53,Data!$G:$G,"&lt;="&amp;BA$2,Data!$H:$H,"&gt;="&amp;BA$2)</f>
        <v>0</v>
      </c>
      <c r="BB53" s="21">
        <f>SUMIFS(Data!$I:$I,Data!$B:$B,$B53,Data!$G:$G,"&lt;="&amp;BB$2,Data!$H:$H,"&gt;="&amp;BB$2)</f>
        <v>0</v>
      </c>
      <c r="BC53" s="21">
        <f>SUMIFS(Data!$I:$I,Data!$B:$B,$B53,Data!$G:$G,"&lt;="&amp;BC$2,Data!$H:$H,"&gt;="&amp;BC$2)</f>
        <v>0</v>
      </c>
      <c r="BD53" s="21">
        <f>SUMIFS(Data!$I:$I,Data!$B:$B,$B53,Data!$G:$G,"&lt;="&amp;BD$2,Data!$H:$H,"&gt;="&amp;BD$2)</f>
        <v>0</v>
      </c>
      <c r="BE53" s="21">
        <f>SUMIFS(Data!$I:$I,Data!$B:$B,$B53,Data!$G:$G,"&lt;="&amp;BE$2,Data!$H:$H,"&gt;="&amp;BE$2)</f>
        <v>0</v>
      </c>
      <c r="BF53" s="21">
        <f>SUMIFS(Data!$I:$I,Data!$B:$B,$B53,Data!$G:$G,"&lt;="&amp;BF$2,Data!$H:$H,"&gt;="&amp;BF$2)</f>
        <v>0</v>
      </c>
      <c r="BG53" s="21">
        <f>SUMIFS(Data!$I:$I,Data!$B:$B,$B53,Data!$G:$G,"&lt;="&amp;BG$2,Data!$H:$H,"&gt;="&amp;BG$2)</f>
        <v>0</v>
      </c>
      <c r="BH53" s="21">
        <f>SUMIFS(Data!$I:$I,Data!$B:$B,$B53,Data!$G:$G,"&lt;="&amp;BH$2,Data!$H:$H,"&gt;="&amp;BH$2)</f>
        <v>0</v>
      </c>
      <c r="BI53" s="21">
        <f>SUMIFS(Data!$I:$I,Data!$B:$B,$B53,Data!$G:$G,"&lt;="&amp;BI$2,Data!$H:$H,"&gt;="&amp;BI$2)</f>
        <v>0</v>
      </c>
      <c r="BJ53" s="21">
        <f>SUMIFS(Data!$I:$I,Data!$B:$B,$B53,Data!$G:$G,"&lt;="&amp;BJ$2,Data!$H:$H,"&gt;="&amp;BJ$2)</f>
        <v>0</v>
      </c>
      <c r="BK53" s="21">
        <f>SUMIFS(Data!$I:$I,Data!$B:$B,$B53,Data!$G:$G,"&lt;="&amp;BK$2,Data!$H:$H,"&gt;="&amp;BK$2)</f>
        <v>0</v>
      </c>
      <c r="BL53" s="21">
        <f>SUMIFS(Data!$I:$I,Data!$B:$B,$B53,Data!$G:$G,"&lt;="&amp;BL$2,Data!$H:$H,"&gt;="&amp;BL$2)</f>
        <v>0</v>
      </c>
      <c r="BM53" s="21">
        <f>SUMIFS(Data!$I:$I,Data!$B:$B,$B53,Data!$G:$G,"&lt;="&amp;BM$2,Data!$H:$H,"&gt;="&amp;BM$2)</f>
        <v>0</v>
      </c>
      <c r="BN53" s="21">
        <f>SUMIFS(Data!$I:$I,Data!$B:$B,$B53,Data!$G:$G,"&lt;="&amp;BN$2,Data!$H:$H,"&gt;="&amp;BN$2)</f>
        <v>0</v>
      </c>
      <c r="BO53" s="21">
        <f>SUMIFS(Data!$I:$I,Data!$B:$B,$B53,Data!$G:$G,"&lt;="&amp;BO$2,Data!$H:$H,"&gt;="&amp;BO$2)</f>
        <v>0</v>
      </c>
      <c r="BP53" s="21">
        <f>SUMIFS(Data!$I:$I,Data!$B:$B,$B53,Data!$G:$G,"&lt;="&amp;BP$2,Data!$H:$H,"&gt;="&amp;BP$2)</f>
        <v>0</v>
      </c>
      <c r="BQ53" s="21">
        <f>SUMIFS(Data!$I:$I,Data!$B:$B,$B53,Data!$G:$G,"&lt;="&amp;BQ$2,Data!$H:$H,"&gt;="&amp;BQ$2)</f>
        <v>0</v>
      </c>
      <c r="BR53" s="21">
        <f>SUMIFS(Data!$I:$I,Data!$B:$B,$B53,Data!$G:$G,"&lt;="&amp;BR$2,Data!$H:$H,"&gt;="&amp;BR$2)</f>
        <v>0</v>
      </c>
      <c r="BS53" s="21">
        <f>SUMIFS(Data!$I:$I,Data!$B:$B,$B53,Data!$G:$G,"&lt;="&amp;BS$2,Data!$H:$H,"&gt;="&amp;BS$2)</f>
        <v>0</v>
      </c>
      <c r="BT53" s="21">
        <f>SUMIFS(Data!$I:$I,Data!$B:$B,$B53,Data!$G:$G,"&lt;="&amp;BT$2,Data!$H:$H,"&gt;="&amp;BT$2)</f>
        <v>0</v>
      </c>
      <c r="BU53" s="21">
        <f>SUMIFS(Data!$I:$I,Data!$B:$B,$B53,Data!$G:$G,"&lt;="&amp;BU$2,Data!$H:$H,"&gt;="&amp;BU$2)</f>
        <v>0</v>
      </c>
      <c r="BV53" s="21">
        <f>SUMIFS(Data!$I:$I,Data!$B:$B,$B53,Data!$G:$G,"&lt;="&amp;BV$2,Data!$H:$H,"&gt;="&amp;BV$2)</f>
        <v>0</v>
      </c>
      <c r="BW53" s="21">
        <f>SUMIFS(Data!$I:$I,Data!$B:$B,$B53,Data!$G:$G,"&lt;="&amp;BW$2,Data!$H:$H,"&gt;="&amp;BW$2)</f>
        <v>0</v>
      </c>
      <c r="BX53" s="21">
        <f>SUMIFS(Data!$I:$I,Data!$B:$B,$B53,Data!$G:$G,"&lt;="&amp;BX$2,Data!$H:$H,"&gt;="&amp;BX$2)</f>
        <v>0</v>
      </c>
      <c r="BY53" s="21">
        <f>SUMIFS(Data!$I:$I,Data!$B:$B,$B53,Data!$G:$G,"&lt;="&amp;BY$2,Data!$H:$H,"&gt;="&amp;BY$2)</f>
        <v>0</v>
      </c>
      <c r="BZ53" s="21">
        <f>SUMIFS(Data!$I:$I,Data!$B:$B,$B53,Data!$G:$G,"&lt;="&amp;BZ$2,Data!$H:$H,"&gt;="&amp;BZ$2)</f>
        <v>0</v>
      </c>
      <c r="CA53" s="22">
        <f t="shared" si="130"/>
        <v>20000</v>
      </c>
    </row>
    <row r="54" spans="2:79" x14ac:dyDescent="0.25">
      <c r="B54" s="11" t="s">
        <v>122</v>
      </c>
      <c r="C54" s="11" t="str">
        <f>VLOOKUP(B54,Data!B:C,2,FALSE)</f>
        <v>Legacy</v>
      </c>
      <c r="D54" s="21">
        <f>SUMIFS(Data!$I:$I,Data!$B:$B,$B54,Data!$G:$G,"&lt;="&amp;D$2,Data!$H:$H,"&gt;="&amp;D$2)</f>
        <v>0</v>
      </c>
      <c r="E54" s="21">
        <f>SUMIFS(Data!$I:$I,Data!$B:$B,$B54,Data!$G:$G,"&lt;="&amp;E$2,Data!$H:$H,"&gt;="&amp;E$2)</f>
        <v>0</v>
      </c>
      <c r="F54" s="21">
        <f>SUMIFS(Data!$I:$I,Data!$B:$B,$B54,Data!$G:$G,"&lt;="&amp;F$2,Data!$H:$H,"&gt;="&amp;F$2)</f>
        <v>0</v>
      </c>
      <c r="G54" s="21">
        <f>SUMIFS(Data!$I:$I,Data!$B:$B,$B54,Data!$G:$G,"&lt;="&amp;G$2,Data!$H:$H,"&gt;="&amp;G$2)</f>
        <v>19166.666666666668</v>
      </c>
      <c r="H54" s="21">
        <f>SUMIFS(Data!$I:$I,Data!$B:$B,$B54,Data!$G:$G,"&lt;="&amp;H$2,Data!$H:$H,"&gt;="&amp;H$2)</f>
        <v>19166.666666666668</v>
      </c>
      <c r="I54" s="21">
        <f>SUMIFS(Data!$I:$I,Data!$B:$B,$B54,Data!$G:$G,"&lt;="&amp;I$2,Data!$H:$H,"&gt;="&amp;I$2)</f>
        <v>19166.666666666668</v>
      </c>
      <c r="J54" s="21">
        <f>SUMIFS(Data!$I:$I,Data!$B:$B,$B54,Data!$G:$G,"&lt;="&amp;J$2,Data!$H:$H,"&gt;="&amp;J$2)</f>
        <v>1666.6666666666667</v>
      </c>
      <c r="K54" s="21">
        <f>SUMIFS(Data!$I:$I,Data!$B:$B,$B54,Data!$G:$G,"&lt;="&amp;K$2,Data!$H:$H,"&gt;="&amp;K$2)</f>
        <v>1666.6666666666667</v>
      </c>
      <c r="L54" s="21">
        <f>SUMIFS(Data!$I:$I,Data!$B:$B,$B54,Data!$G:$G,"&lt;="&amp;L$2,Data!$H:$H,"&gt;="&amp;L$2)</f>
        <v>1666.6666666666667</v>
      </c>
      <c r="M54" s="21">
        <f>SUMIFS(Data!$I:$I,Data!$B:$B,$B54,Data!$G:$G,"&lt;="&amp;M$2,Data!$H:$H,"&gt;="&amp;M$2)</f>
        <v>6000</v>
      </c>
      <c r="N54" s="21">
        <f>SUMIFS(Data!$I:$I,Data!$B:$B,$B54,Data!$G:$G,"&lt;="&amp;N$2,Data!$H:$H,"&gt;="&amp;N$2)</f>
        <v>6000</v>
      </c>
      <c r="O54" s="21">
        <f>SUMIFS(Data!$I:$I,Data!$B:$B,$B54,Data!$G:$G,"&lt;="&amp;O$2,Data!$H:$H,"&gt;="&amp;O$2)</f>
        <v>6000</v>
      </c>
      <c r="P54" s="21">
        <f>SUMIFS(Data!$I:$I,Data!$B:$B,$B54,Data!$G:$G,"&lt;="&amp;P$2,Data!$H:$H,"&gt;="&amp;P$2)</f>
        <v>0</v>
      </c>
      <c r="Q54" s="21">
        <f>SUMIFS(Data!$I:$I,Data!$B:$B,$B54,Data!$G:$G,"&lt;="&amp;Q$2,Data!$H:$H,"&gt;="&amp;Q$2)</f>
        <v>0</v>
      </c>
      <c r="R54" s="21">
        <f>SUMIFS(Data!$I:$I,Data!$B:$B,$B54,Data!$G:$G,"&lt;="&amp;R$2,Data!$H:$H,"&gt;="&amp;R$2)</f>
        <v>0</v>
      </c>
      <c r="S54" s="21">
        <f>SUMIFS(Data!$I:$I,Data!$B:$B,$B54,Data!$G:$G,"&lt;="&amp;S$2,Data!$H:$H,"&gt;="&amp;S$2)</f>
        <v>0</v>
      </c>
      <c r="T54" s="21">
        <f>SUMIFS(Data!$I:$I,Data!$B:$B,$B54,Data!$G:$G,"&lt;="&amp;T$2,Data!$H:$H,"&gt;="&amp;T$2)</f>
        <v>0</v>
      </c>
      <c r="U54" s="21">
        <f>SUMIFS(Data!$I:$I,Data!$B:$B,$B54,Data!$G:$G,"&lt;="&amp;U$2,Data!$H:$H,"&gt;="&amp;U$2)</f>
        <v>0</v>
      </c>
      <c r="V54" s="21">
        <f>SUMIFS(Data!$I:$I,Data!$B:$B,$B54,Data!$G:$G,"&lt;="&amp;V$2,Data!$H:$H,"&gt;="&amp;V$2)</f>
        <v>0</v>
      </c>
      <c r="W54" s="21">
        <f>SUMIFS(Data!$I:$I,Data!$B:$B,$B54,Data!$G:$G,"&lt;="&amp;W$2,Data!$H:$H,"&gt;="&amp;W$2)</f>
        <v>0</v>
      </c>
      <c r="X54" s="21">
        <f>SUMIFS(Data!$I:$I,Data!$B:$B,$B54,Data!$G:$G,"&lt;="&amp;X$2,Data!$H:$H,"&gt;="&amp;X$2)</f>
        <v>0</v>
      </c>
      <c r="Y54" s="21">
        <f>SUMIFS(Data!$I:$I,Data!$B:$B,$B54,Data!$G:$G,"&lt;="&amp;Y$2,Data!$H:$H,"&gt;="&amp;Y$2)</f>
        <v>0</v>
      </c>
      <c r="Z54" s="21">
        <f>SUMIFS(Data!$I:$I,Data!$B:$B,$B54,Data!$G:$G,"&lt;="&amp;Z$2,Data!$H:$H,"&gt;="&amp;Z$2)</f>
        <v>0</v>
      </c>
      <c r="AA54" s="21">
        <f>SUMIFS(Data!$I:$I,Data!$B:$B,$B54,Data!$G:$G,"&lt;="&amp;AA$2,Data!$H:$H,"&gt;="&amp;AA$2)</f>
        <v>0</v>
      </c>
      <c r="AB54" s="21">
        <f>SUMIFS(Data!$I:$I,Data!$B:$B,$B54,Data!$G:$G,"&lt;="&amp;AB$2,Data!$H:$H,"&gt;="&amp;AB$2)</f>
        <v>0</v>
      </c>
      <c r="AC54" s="21">
        <f>SUMIFS(Data!$I:$I,Data!$B:$B,$B54,Data!$G:$G,"&lt;="&amp;AC$2,Data!$H:$H,"&gt;="&amp;AC$2)</f>
        <v>0</v>
      </c>
      <c r="AD54" s="21">
        <f>SUMIFS(Data!$I:$I,Data!$B:$B,$B54,Data!$G:$G,"&lt;="&amp;AD$2,Data!$H:$H,"&gt;="&amp;AD$2)</f>
        <v>0</v>
      </c>
      <c r="AE54" s="21">
        <f>SUMIFS(Data!$I:$I,Data!$B:$B,$B54,Data!$G:$G,"&lt;="&amp;AE$2,Data!$H:$H,"&gt;="&amp;AE$2)</f>
        <v>0</v>
      </c>
      <c r="AF54" s="21">
        <f>SUMIFS(Data!$I:$I,Data!$B:$B,$B54,Data!$G:$G,"&lt;="&amp;AF$2,Data!$H:$H,"&gt;="&amp;AF$2)</f>
        <v>0</v>
      </c>
      <c r="AG54" s="21">
        <f>SUMIFS(Data!$I:$I,Data!$B:$B,$B54,Data!$G:$G,"&lt;="&amp;AG$2,Data!$H:$H,"&gt;="&amp;AG$2)</f>
        <v>0</v>
      </c>
      <c r="AH54" s="21">
        <f>SUMIFS(Data!$I:$I,Data!$B:$B,$B54,Data!$G:$G,"&lt;="&amp;AH$2,Data!$H:$H,"&gt;="&amp;AH$2)</f>
        <v>0</v>
      </c>
      <c r="AI54" s="21">
        <f>SUMIFS(Data!$I:$I,Data!$B:$B,$B54,Data!$G:$G,"&lt;="&amp;AI$2,Data!$H:$H,"&gt;="&amp;AI$2)</f>
        <v>0</v>
      </c>
      <c r="AJ54" s="21">
        <f>SUMIFS(Data!$I:$I,Data!$B:$B,$B54,Data!$G:$G,"&lt;="&amp;AJ$2,Data!$H:$H,"&gt;="&amp;AJ$2)</f>
        <v>0</v>
      </c>
      <c r="AK54" s="21">
        <f>SUMIFS(Data!$I:$I,Data!$B:$B,$B54,Data!$G:$G,"&lt;="&amp;AK$2,Data!$H:$H,"&gt;="&amp;AK$2)</f>
        <v>0</v>
      </c>
      <c r="AL54" s="21">
        <f>SUMIFS(Data!$I:$I,Data!$B:$B,$B54,Data!$G:$G,"&lt;="&amp;AL$2,Data!$H:$H,"&gt;="&amp;AL$2)</f>
        <v>0</v>
      </c>
      <c r="AM54" s="21">
        <f>SUMIFS(Data!$I:$I,Data!$B:$B,$B54,Data!$G:$G,"&lt;="&amp;AM$2,Data!$H:$H,"&gt;="&amp;AM$2)</f>
        <v>0</v>
      </c>
      <c r="AN54" s="21">
        <f>SUMIFS(Data!$I:$I,Data!$B:$B,$B54,Data!$G:$G,"&lt;="&amp;AN$2,Data!$H:$H,"&gt;="&amp;AN$2)</f>
        <v>0</v>
      </c>
      <c r="AO54" s="21">
        <f>SUMIFS(Data!$I:$I,Data!$B:$B,$B54,Data!$G:$G,"&lt;="&amp;AO$2,Data!$H:$H,"&gt;="&amp;AO$2)</f>
        <v>0</v>
      </c>
      <c r="AP54" s="21">
        <f>SUMIFS(Data!$I:$I,Data!$B:$B,$B54,Data!$G:$G,"&lt;="&amp;AP$2,Data!$H:$H,"&gt;="&amp;AP$2)</f>
        <v>0</v>
      </c>
      <c r="AQ54" s="21">
        <f>SUMIFS(Data!$I:$I,Data!$B:$B,$B54,Data!$G:$G,"&lt;="&amp;AQ$2,Data!$H:$H,"&gt;="&amp;AQ$2)</f>
        <v>0</v>
      </c>
      <c r="AR54" s="21">
        <f>SUMIFS(Data!$I:$I,Data!$B:$B,$B54,Data!$G:$G,"&lt;="&amp;AR$2,Data!$H:$H,"&gt;="&amp;AR$2)</f>
        <v>0</v>
      </c>
      <c r="AS54" s="21">
        <f>SUMIFS(Data!$I:$I,Data!$B:$B,$B54,Data!$G:$G,"&lt;="&amp;AS$2,Data!$H:$H,"&gt;="&amp;AS$2)</f>
        <v>0</v>
      </c>
      <c r="AT54" s="21">
        <f>SUMIFS(Data!$I:$I,Data!$B:$B,$B54,Data!$G:$G,"&lt;="&amp;AT$2,Data!$H:$H,"&gt;="&amp;AT$2)</f>
        <v>0</v>
      </c>
      <c r="AU54" s="21">
        <f>SUMIFS(Data!$I:$I,Data!$B:$B,$B54,Data!$G:$G,"&lt;="&amp;AU$2,Data!$H:$H,"&gt;="&amp;AU$2)</f>
        <v>0</v>
      </c>
      <c r="AV54" s="21">
        <f>SUMIFS(Data!$I:$I,Data!$B:$B,$B54,Data!$G:$G,"&lt;="&amp;AV$2,Data!$H:$H,"&gt;="&amp;AV$2)</f>
        <v>0</v>
      </c>
      <c r="AW54" s="21">
        <f>SUMIFS(Data!$I:$I,Data!$B:$B,$B54,Data!$G:$G,"&lt;="&amp;AW$2,Data!$H:$H,"&gt;="&amp;AW$2)</f>
        <v>0</v>
      </c>
      <c r="AX54" s="21">
        <f>SUMIFS(Data!$I:$I,Data!$B:$B,$B54,Data!$G:$G,"&lt;="&amp;AX$2,Data!$H:$H,"&gt;="&amp;AX$2)</f>
        <v>0</v>
      </c>
      <c r="AY54" s="21">
        <f>SUMIFS(Data!$I:$I,Data!$B:$B,$B54,Data!$G:$G,"&lt;="&amp;AY$2,Data!$H:$H,"&gt;="&amp;AY$2)</f>
        <v>0</v>
      </c>
      <c r="AZ54" s="21">
        <f>SUMIFS(Data!$I:$I,Data!$B:$B,$B54,Data!$G:$G,"&lt;="&amp;AZ$2,Data!$H:$H,"&gt;="&amp;AZ$2)</f>
        <v>0</v>
      </c>
      <c r="BA54" s="21">
        <f>SUMIFS(Data!$I:$I,Data!$B:$B,$B54,Data!$G:$G,"&lt;="&amp;BA$2,Data!$H:$H,"&gt;="&amp;BA$2)</f>
        <v>0</v>
      </c>
      <c r="BB54" s="21">
        <f>SUMIFS(Data!$I:$I,Data!$B:$B,$B54,Data!$G:$G,"&lt;="&amp;BB$2,Data!$H:$H,"&gt;="&amp;BB$2)</f>
        <v>0</v>
      </c>
      <c r="BC54" s="21">
        <f>SUMIFS(Data!$I:$I,Data!$B:$B,$B54,Data!$G:$G,"&lt;="&amp;BC$2,Data!$H:$H,"&gt;="&amp;BC$2)</f>
        <v>0</v>
      </c>
      <c r="BD54" s="21">
        <f>SUMIFS(Data!$I:$I,Data!$B:$B,$B54,Data!$G:$G,"&lt;="&amp;BD$2,Data!$H:$H,"&gt;="&amp;BD$2)</f>
        <v>0</v>
      </c>
      <c r="BE54" s="21">
        <f>SUMIFS(Data!$I:$I,Data!$B:$B,$B54,Data!$G:$G,"&lt;="&amp;BE$2,Data!$H:$H,"&gt;="&amp;BE$2)</f>
        <v>0</v>
      </c>
      <c r="BF54" s="21">
        <f>SUMIFS(Data!$I:$I,Data!$B:$B,$B54,Data!$G:$G,"&lt;="&amp;BF$2,Data!$H:$H,"&gt;="&amp;BF$2)</f>
        <v>0</v>
      </c>
      <c r="BG54" s="21">
        <f>SUMIFS(Data!$I:$I,Data!$B:$B,$B54,Data!$G:$G,"&lt;="&amp;BG$2,Data!$H:$H,"&gt;="&amp;BG$2)</f>
        <v>0</v>
      </c>
      <c r="BH54" s="21">
        <f>SUMIFS(Data!$I:$I,Data!$B:$B,$B54,Data!$G:$G,"&lt;="&amp;BH$2,Data!$H:$H,"&gt;="&amp;BH$2)</f>
        <v>0</v>
      </c>
      <c r="BI54" s="21">
        <f>SUMIFS(Data!$I:$I,Data!$B:$B,$B54,Data!$G:$G,"&lt;="&amp;BI$2,Data!$H:$H,"&gt;="&amp;BI$2)</f>
        <v>0</v>
      </c>
      <c r="BJ54" s="21">
        <f>SUMIFS(Data!$I:$I,Data!$B:$B,$B54,Data!$G:$G,"&lt;="&amp;BJ$2,Data!$H:$H,"&gt;="&amp;BJ$2)</f>
        <v>0</v>
      </c>
      <c r="BK54" s="21">
        <f>SUMIFS(Data!$I:$I,Data!$B:$B,$B54,Data!$G:$G,"&lt;="&amp;BK$2,Data!$H:$H,"&gt;="&amp;BK$2)</f>
        <v>0</v>
      </c>
      <c r="BL54" s="21">
        <f>SUMIFS(Data!$I:$I,Data!$B:$B,$B54,Data!$G:$G,"&lt;="&amp;BL$2,Data!$H:$H,"&gt;="&amp;BL$2)</f>
        <v>0</v>
      </c>
      <c r="BM54" s="21">
        <f>SUMIFS(Data!$I:$I,Data!$B:$B,$B54,Data!$G:$G,"&lt;="&amp;BM$2,Data!$H:$H,"&gt;="&amp;BM$2)</f>
        <v>0</v>
      </c>
      <c r="BN54" s="21">
        <f>SUMIFS(Data!$I:$I,Data!$B:$B,$B54,Data!$G:$G,"&lt;="&amp;BN$2,Data!$H:$H,"&gt;="&amp;BN$2)</f>
        <v>0</v>
      </c>
      <c r="BO54" s="21">
        <f>SUMIFS(Data!$I:$I,Data!$B:$B,$B54,Data!$G:$G,"&lt;="&amp;BO$2,Data!$H:$H,"&gt;="&amp;BO$2)</f>
        <v>0</v>
      </c>
      <c r="BP54" s="21">
        <f>SUMIFS(Data!$I:$I,Data!$B:$B,$B54,Data!$G:$G,"&lt;="&amp;BP$2,Data!$H:$H,"&gt;="&amp;BP$2)</f>
        <v>0</v>
      </c>
      <c r="BQ54" s="21">
        <f>SUMIFS(Data!$I:$I,Data!$B:$B,$B54,Data!$G:$G,"&lt;="&amp;BQ$2,Data!$H:$H,"&gt;="&amp;BQ$2)</f>
        <v>0</v>
      </c>
      <c r="BR54" s="21">
        <f>SUMIFS(Data!$I:$I,Data!$B:$B,$B54,Data!$G:$G,"&lt;="&amp;BR$2,Data!$H:$H,"&gt;="&amp;BR$2)</f>
        <v>0</v>
      </c>
      <c r="BS54" s="21">
        <f>SUMIFS(Data!$I:$I,Data!$B:$B,$B54,Data!$G:$G,"&lt;="&amp;BS$2,Data!$H:$H,"&gt;="&amp;BS$2)</f>
        <v>0</v>
      </c>
      <c r="BT54" s="21">
        <f>SUMIFS(Data!$I:$I,Data!$B:$B,$B54,Data!$G:$G,"&lt;="&amp;BT$2,Data!$H:$H,"&gt;="&amp;BT$2)</f>
        <v>0</v>
      </c>
      <c r="BU54" s="21">
        <f>SUMIFS(Data!$I:$I,Data!$B:$B,$B54,Data!$G:$G,"&lt;="&amp;BU$2,Data!$H:$H,"&gt;="&amp;BU$2)</f>
        <v>0</v>
      </c>
      <c r="BV54" s="21">
        <f>SUMIFS(Data!$I:$I,Data!$B:$B,$B54,Data!$G:$G,"&lt;="&amp;BV$2,Data!$H:$H,"&gt;="&amp;BV$2)</f>
        <v>0</v>
      </c>
      <c r="BW54" s="21">
        <f>SUMIFS(Data!$I:$I,Data!$B:$B,$B54,Data!$G:$G,"&lt;="&amp;BW$2,Data!$H:$H,"&gt;="&amp;BW$2)</f>
        <v>0</v>
      </c>
      <c r="BX54" s="21">
        <f>SUMIFS(Data!$I:$I,Data!$B:$B,$B54,Data!$G:$G,"&lt;="&amp;BX$2,Data!$H:$H,"&gt;="&amp;BX$2)</f>
        <v>0</v>
      </c>
      <c r="BY54" s="21">
        <f>SUMIFS(Data!$I:$I,Data!$B:$B,$B54,Data!$G:$G,"&lt;="&amp;BY$2,Data!$H:$H,"&gt;="&amp;BY$2)</f>
        <v>0</v>
      </c>
      <c r="BZ54" s="21">
        <f>SUMIFS(Data!$I:$I,Data!$B:$B,$B54,Data!$G:$G,"&lt;="&amp;BZ$2,Data!$H:$H,"&gt;="&amp;BZ$2)</f>
        <v>0</v>
      </c>
      <c r="CA54" s="22">
        <f t="shared" si="130"/>
        <v>80500</v>
      </c>
    </row>
    <row r="55" spans="2:79" x14ac:dyDescent="0.25">
      <c r="B55" s="11" t="s">
        <v>114</v>
      </c>
      <c r="C55" s="11" t="str">
        <f>VLOOKUP(B55,Data!B:C,2,FALSE)</f>
        <v>Legacy</v>
      </c>
      <c r="D55" s="21">
        <f>SUMIFS(Data!$I:$I,Data!$B:$B,$B55,Data!$G:$G,"&lt;="&amp;D$2,Data!$H:$H,"&gt;="&amp;D$2)</f>
        <v>0</v>
      </c>
      <c r="E55" s="21">
        <f>SUMIFS(Data!$I:$I,Data!$B:$B,$B55,Data!$G:$G,"&lt;="&amp;E$2,Data!$H:$H,"&gt;="&amp;E$2)</f>
        <v>0</v>
      </c>
      <c r="F55" s="21">
        <f>SUMIFS(Data!$I:$I,Data!$B:$B,$B55,Data!$G:$G,"&lt;="&amp;F$2,Data!$H:$H,"&gt;="&amp;F$2)</f>
        <v>0</v>
      </c>
      <c r="G55" s="21">
        <f>SUMIFS(Data!$I:$I,Data!$B:$B,$B55,Data!$G:$G,"&lt;="&amp;G$2,Data!$H:$H,"&gt;="&amp;G$2)</f>
        <v>10000</v>
      </c>
      <c r="H55" s="21">
        <f>SUMIFS(Data!$I:$I,Data!$B:$B,$B55,Data!$G:$G,"&lt;="&amp;H$2,Data!$H:$H,"&gt;="&amp;H$2)</f>
        <v>10000</v>
      </c>
      <c r="I55" s="21">
        <f>SUMIFS(Data!$I:$I,Data!$B:$B,$B55,Data!$G:$G,"&lt;="&amp;I$2,Data!$H:$H,"&gt;="&amp;I$2)</f>
        <v>10000</v>
      </c>
      <c r="J55" s="21">
        <f>SUMIFS(Data!$I:$I,Data!$B:$B,$B55,Data!$G:$G,"&lt;="&amp;J$2,Data!$H:$H,"&gt;="&amp;J$2)</f>
        <v>0</v>
      </c>
      <c r="K55" s="21">
        <f>SUMIFS(Data!$I:$I,Data!$B:$B,$B55,Data!$G:$G,"&lt;="&amp;K$2,Data!$H:$H,"&gt;="&amp;K$2)</f>
        <v>0</v>
      </c>
      <c r="L55" s="21">
        <f>SUMIFS(Data!$I:$I,Data!$B:$B,$B55,Data!$G:$G,"&lt;="&amp;L$2,Data!$H:$H,"&gt;="&amp;L$2)</f>
        <v>0</v>
      </c>
      <c r="M55" s="21">
        <f>SUMIFS(Data!$I:$I,Data!$B:$B,$B55,Data!$G:$G,"&lt;="&amp;M$2,Data!$H:$H,"&gt;="&amp;M$2)</f>
        <v>0</v>
      </c>
      <c r="N55" s="21">
        <f>SUMIFS(Data!$I:$I,Data!$B:$B,$B55,Data!$G:$G,"&lt;="&amp;N$2,Data!$H:$H,"&gt;="&amp;N$2)</f>
        <v>0</v>
      </c>
      <c r="O55" s="21">
        <f>SUMIFS(Data!$I:$I,Data!$B:$B,$B55,Data!$G:$G,"&lt;="&amp;O$2,Data!$H:$H,"&gt;="&amp;O$2)</f>
        <v>0</v>
      </c>
      <c r="P55" s="21">
        <f>SUMIFS(Data!$I:$I,Data!$B:$B,$B55,Data!$G:$G,"&lt;="&amp;P$2,Data!$H:$H,"&gt;="&amp;P$2)</f>
        <v>0</v>
      </c>
      <c r="Q55" s="21">
        <f>SUMIFS(Data!$I:$I,Data!$B:$B,$B55,Data!$G:$G,"&lt;="&amp;Q$2,Data!$H:$H,"&gt;="&amp;Q$2)</f>
        <v>0</v>
      </c>
      <c r="R55" s="21">
        <f>SUMIFS(Data!$I:$I,Data!$B:$B,$B55,Data!$G:$G,"&lt;="&amp;R$2,Data!$H:$H,"&gt;="&amp;R$2)</f>
        <v>0</v>
      </c>
      <c r="S55" s="21">
        <f>SUMIFS(Data!$I:$I,Data!$B:$B,$B55,Data!$G:$G,"&lt;="&amp;S$2,Data!$H:$H,"&gt;="&amp;S$2)</f>
        <v>0</v>
      </c>
      <c r="T55" s="21">
        <f>SUMIFS(Data!$I:$I,Data!$B:$B,$B55,Data!$G:$G,"&lt;="&amp;T$2,Data!$H:$H,"&gt;="&amp;T$2)</f>
        <v>0</v>
      </c>
      <c r="U55" s="21">
        <f>SUMIFS(Data!$I:$I,Data!$B:$B,$B55,Data!$G:$G,"&lt;="&amp;U$2,Data!$H:$H,"&gt;="&amp;U$2)</f>
        <v>0</v>
      </c>
      <c r="V55" s="21">
        <f>SUMIFS(Data!$I:$I,Data!$B:$B,$B55,Data!$G:$G,"&lt;="&amp;V$2,Data!$H:$H,"&gt;="&amp;V$2)</f>
        <v>0</v>
      </c>
      <c r="W55" s="21">
        <f>SUMIFS(Data!$I:$I,Data!$B:$B,$B55,Data!$G:$G,"&lt;="&amp;W$2,Data!$H:$H,"&gt;="&amp;W$2)</f>
        <v>0</v>
      </c>
      <c r="X55" s="21">
        <f>SUMIFS(Data!$I:$I,Data!$B:$B,$B55,Data!$G:$G,"&lt;="&amp;X$2,Data!$H:$H,"&gt;="&amp;X$2)</f>
        <v>0</v>
      </c>
      <c r="Y55" s="21">
        <f>SUMIFS(Data!$I:$I,Data!$B:$B,$B55,Data!$G:$G,"&lt;="&amp;Y$2,Data!$H:$H,"&gt;="&amp;Y$2)</f>
        <v>0</v>
      </c>
      <c r="Z55" s="21">
        <f>SUMIFS(Data!$I:$I,Data!$B:$B,$B55,Data!$G:$G,"&lt;="&amp;Z$2,Data!$H:$H,"&gt;="&amp;Z$2)</f>
        <v>0</v>
      </c>
      <c r="AA55" s="21">
        <f>SUMIFS(Data!$I:$I,Data!$B:$B,$B55,Data!$G:$G,"&lt;="&amp;AA$2,Data!$H:$H,"&gt;="&amp;AA$2)</f>
        <v>0</v>
      </c>
      <c r="AB55" s="21">
        <f>SUMIFS(Data!$I:$I,Data!$B:$B,$B55,Data!$G:$G,"&lt;="&amp;AB$2,Data!$H:$H,"&gt;="&amp;AB$2)</f>
        <v>0</v>
      </c>
      <c r="AC55" s="21">
        <f>SUMIFS(Data!$I:$I,Data!$B:$B,$B55,Data!$G:$G,"&lt;="&amp;AC$2,Data!$H:$H,"&gt;="&amp;AC$2)</f>
        <v>0</v>
      </c>
      <c r="AD55" s="21">
        <f>SUMIFS(Data!$I:$I,Data!$B:$B,$B55,Data!$G:$G,"&lt;="&amp;AD$2,Data!$H:$H,"&gt;="&amp;AD$2)</f>
        <v>0</v>
      </c>
      <c r="AE55" s="21">
        <f>SUMIFS(Data!$I:$I,Data!$B:$B,$B55,Data!$G:$G,"&lt;="&amp;AE$2,Data!$H:$H,"&gt;="&amp;AE$2)</f>
        <v>0</v>
      </c>
      <c r="AF55" s="21">
        <f>SUMIFS(Data!$I:$I,Data!$B:$B,$B55,Data!$G:$G,"&lt;="&amp;AF$2,Data!$H:$H,"&gt;="&amp;AF$2)</f>
        <v>0</v>
      </c>
      <c r="AG55" s="21">
        <f>SUMIFS(Data!$I:$I,Data!$B:$B,$B55,Data!$G:$G,"&lt;="&amp;AG$2,Data!$H:$H,"&gt;="&amp;AG$2)</f>
        <v>0</v>
      </c>
      <c r="AH55" s="21">
        <f>SUMIFS(Data!$I:$I,Data!$B:$B,$B55,Data!$G:$G,"&lt;="&amp;AH$2,Data!$H:$H,"&gt;="&amp;AH$2)</f>
        <v>0</v>
      </c>
      <c r="AI55" s="21">
        <f>SUMIFS(Data!$I:$I,Data!$B:$B,$B55,Data!$G:$G,"&lt;="&amp;AI$2,Data!$H:$H,"&gt;="&amp;AI$2)</f>
        <v>0</v>
      </c>
      <c r="AJ55" s="21">
        <f>SUMIFS(Data!$I:$I,Data!$B:$B,$B55,Data!$G:$G,"&lt;="&amp;AJ$2,Data!$H:$H,"&gt;="&amp;AJ$2)</f>
        <v>0</v>
      </c>
      <c r="AK55" s="21">
        <f>SUMIFS(Data!$I:$I,Data!$B:$B,$B55,Data!$G:$G,"&lt;="&amp;AK$2,Data!$H:$H,"&gt;="&amp;AK$2)</f>
        <v>0</v>
      </c>
      <c r="AL55" s="21">
        <f>SUMIFS(Data!$I:$I,Data!$B:$B,$B55,Data!$G:$G,"&lt;="&amp;AL$2,Data!$H:$H,"&gt;="&amp;AL$2)</f>
        <v>0</v>
      </c>
      <c r="AM55" s="21">
        <f>SUMIFS(Data!$I:$I,Data!$B:$B,$B55,Data!$G:$G,"&lt;="&amp;AM$2,Data!$H:$H,"&gt;="&amp;AM$2)</f>
        <v>0</v>
      </c>
      <c r="AN55" s="21">
        <f>SUMIFS(Data!$I:$I,Data!$B:$B,$B55,Data!$G:$G,"&lt;="&amp;AN$2,Data!$H:$H,"&gt;="&amp;AN$2)</f>
        <v>0</v>
      </c>
      <c r="AO55" s="21">
        <f>SUMIFS(Data!$I:$I,Data!$B:$B,$B55,Data!$G:$G,"&lt;="&amp;AO$2,Data!$H:$H,"&gt;="&amp;AO$2)</f>
        <v>0</v>
      </c>
      <c r="AP55" s="21">
        <f>SUMIFS(Data!$I:$I,Data!$B:$B,$B55,Data!$G:$G,"&lt;="&amp;AP$2,Data!$H:$H,"&gt;="&amp;AP$2)</f>
        <v>0</v>
      </c>
      <c r="AQ55" s="21">
        <f>SUMIFS(Data!$I:$I,Data!$B:$B,$B55,Data!$G:$G,"&lt;="&amp;AQ$2,Data!$H:$H,"&gt;="&amp;AQ$2)</f>
        <v>0</v>
      </c>
      <c r="AR55" s="21">
        <f>SUMIFS(Data!$I:$I,Data!$B:$B,$B55,Data!$G:$G,"&lt;="&amp;AR$2,Data!$H:$H,"&gt;="&amp;AR$2)</f>
        <v>0</v>
      </c>
      <c r="AS55" s="21">
        <f>SUMIFS(Data!$I:$I,Data!$B:$B,$B55,Data!$G:$G,"&lt;="&amp;AS$2,Data!$H:$H,"&gt;="&amp;AS$2)</f>
        <v>0</v>
      </c>
      <c r="AT55" s="21">
        <f>SUMIFS(Data!$I:$I,Data!$B:$B,$B55,Data!$G:$G,"&lt;="&amp;AT$2,Data!$H:$H,"&gt;="&amp;AT$2)</f>
        <v>0</v>
      </c>
      <c r="AU55" s="21">
        <f>SUMIFS(Data!$I:$I,Data!$B:$B,$B55,Data!$G:$G,"&lt;="&amp;AU$2,Data!$H:$H,"&gt;="&amp;AU$2)</f>
        <v>0</v>
      </c>
      <c r="AV55" s="21">
        <f>SUMIFS(Data!$I:$I,Data!$B:$B,$B55,Data!$G:$G,"&lt;="&amp;AV$2,Data!$H:$H,"&gt;="&amp;AV$2)</f>
        <v>0</v>
      </c>
      <c r="AW55" s="21">
        <f>SUMIFS(Data!$I:$I,Data!$B:$B,$B55,Data!$G:$G,"&lt;="&amp;AW$2,Data!$H:$H,"&gt;="&amp;AW$2)</f>
        <v>0</v>
      </c>
      <c r="AX55" s="21">
        <f>SUMIFS(Data!$I:$I,Data!$B:$B,$B55,Data!$G:$G,"&lt;="&amp;AX$2,Data!$H:$H,"&gt;="&amp;AX$2)</f>
        <v>0</v>
      </c>
      <c r="AY55" s="21">
        <f>SUMIFS(Data!$I:$I,Data!$B:$B,$B55,Data!$G:$G,"&lt;="&amp;AY$2,Data!$H:$H,"&gt;="&amp;AY$2)</f>
        <v>0</v>
      </c>
      <c r="AZ55" s="21">
        <f>SUMIFS(Data!$I:$I,Data!$B:$B,$B55,Data!$G:$G,"&lt;="&amp;AZ$2,Data!$H:$H,"&gt;="&amp;AZ$2)</f>
        <v>0</v>
      </c>
      <c r="BA55" s="21">
        <f>SUMIFS(Data!$I:$I,Data!$B:$B,$B55,Data!$G:$G,"&lt;="&amp;BA$2,Data!$H:$H,"&gt;="&amp;BA$2)</f>
        <v>0</v>
      </c>
      <c r="BB55" s="21">
        <f>SUMIFS(Data!$I:$I,Data!$B:$B,$B55,Data!$G:$G,"&lt;="&amp;BB$2,Data!$H:$H,"&gt;="&amp;BB$2)</f>
        <v>0</v>
      </c>
      <c r="BC55" s="21">
        <f>SUMIFS(Data!$I:$I,Data!$B:$B,$B55,Data!$G:$G,"&lt;="&amp;BC$2,Data!$H:$H,"&gt;="&amp;BC$2)</f>
        <v>0</v>
      </c>
      <c r="BD55" s="21">
        <f>SUMIFS(Data!$I:$I,Data!$B:$B,$B55,Data!$G:$G,"&lt;="&amp;BD$2,Data!$H:$H,"&gt;="&amp;BD$2)</f>
        <v>0</v>
      </c>
      <c r="BE55" s="21">
        <f>SUMIFS(Data!$I:$I,Data!$B:$B,$B55,Data!$G:$G,"&lt;="&amp;BE$2,Data!$H:$H,"&gt;="&amp;BE$2)</f>
        <v>0</v>
      </c>
      <c r="BF55" s="21">
        <f>SUMIFS(Data!$I:$I,Data!$B:$B,$B55,Data!$G:$G,"&lt;="&amp;BF$2,Data!$H:$H,"&gt;="&amp;BF$2)</f>
        <v>0</v>
      </c>
      <c r="BG55" s="21">
        <f>SUMIFS(Data!$I:$I,Data!$B:$B,$B55,Data!$G:$G,"&lt;="&amp;BG$2,Data!$H:$H,"&gt;="&amp;BG$2)</f>
        <v>0</v>
      </c>
      <c r="BH55" s="21">
        <f>SUMIFS(Data!$I:$I,Data!$B:$B,$B55,Data!$G:$G,"&lt;="&amp;BH$2,Data!$H:$H,"&gt;="&amp;BH$2)</f>
        <v>0</v>
      </c>
      <c r="BI55" s="21">
        <f>SUMIFS(Data!$I:$I,Data!$B:$B,$B55,Data!$G:$G,"&lt;="&amp;BI$2,Data!$H:$H,"&gt;="&amp;BI$2)</f>
        <v>0</v>
      </c>
      <c r="BJ55" s="21">
        <f>SUMIFS(Data!$I:$I,Data!$B:$B,$B55,Data!$G:$G,"&lt;="&amp;BJ$2,Data!$H:$H,"&gt;="&amp;BJ$2)</f>
        <v>0</v>
      </c>
      <c r="BK55" s="21">
        <f>SUMIFS(Data!$I:$I,Data!$B:$B,$B55,Data!$G:$G,"&lt;="&amp;BK$2,Data!$H:$H,"&gt;="&amp;BK$2)</f>
        <v>0</v>
      </c>
      <c r="BL55" s="21">
        <f>SUMIFS(Data!$I:$I,Data!$B:$B,$B55,Data!$G:$G,"&lt;="&amp;BL$2,Data!$H:$H,"&gt;="&amp;BL$2)</f>
        <v>0</v>
      </c>
      <c r="BM55" s="21">
        <f>SUMIFS(Data!$I:$I,Data!$B:$B,$B55,Data!$G:$G,"&lt;="&amp;BM$2,Data!$H:$H,"&gt;="&amp;BM$2)</f>
        <v>0</v>
      </c>
      <c r="BN55" s="21">
        <f>SUMIFS(Data!$I:$I,Data!$B:$B,$B55,Data!$G:$G,"&lt;="&amp;BN$2,Data!$H:$H,"&gt;="&amp;BN$2)</f>
        <v>0</v>
      </c>
      <c r="BO55" s="21">
        <f>SUMIFS(Data!$I:$I,Data!$B:$B,$B55,Data!$G:$G,"&lt;="&amp;BO$2,Data!$H:$H,"&gt;="&amp;BO$2)</f>
        <v>0</v>
      </c>
      <c r="BP55" s="21">
        <f>SUMIFS(Data!$I:$I,Data!$B:$B,$B55,Data!$G:$G,"&lt;="&amp;BP$2,Data!$H:$H,"&gt;="&amp;BP$2)</f>
        <v>0</v>
      </c>
      <c r="BQ55" s="21">
        <f>SUMIFS(Data!$I:$I,Data!$B:$B,$B55,Data!$G:$G,"&lt;="&amp;BQ$2,Data!$H:$H,"&gt;="&amp;BQ$2)</f>
        <v>0</v>
      </c>
      <c r="BR55" s="21">
        <f>SUMIFS(Data!$I:$I,Data!$B:$B,$B55,Data!$G:$G,"&lt;="&amp;BR$2,Data!$H:$H,"&gt;="&amp;BR$2)</f>
        <v>0</v>
      </c>
      <c r="BS55" s="21">
        <f>SUMIFS(Data!$I:$I,Data!$B:$B,$B55,Data!$G:$G,"&lt;="&amp;BS$2,Data!$H:$H,"&gt;="&amp;BS$2)</f>
        <v>0</v>
      </c>
      <c r="BT55" s="21">
        <f>SUMIFS(Data!$I:$I,Data!$B:$B,$B55,Data!$G:$G,"&lt;="&amp;BT$2,Data!$H:$H,"&gt;="&amp;BT$2)</f>
        <v>0</v>
      </c>
      <c r="BU55" s="21">
        <f>SUMIFS(Data!$I:$I,Data!$B:$B,$B55,Data!$G:$G,"&lt;="&amp;BU$2,Data!$H:$H,"&gt;="&amp;BU$2)</f>
        <v>0</v>
      </c>
      <c r="BV55" s="21">
        <f>SUMIFS(Data!$I:$I,Data!$B:$B,$B55,Data!$G:$G,"&lt;="&amp;BV$2,Data!$H:$H,"&gt;="&amp;BV$2)</f>
        <v>0</v>
      </c>
      <c r="BW55" s="21">
        <f>SUMIFS(Data!$I:$I,Data!$B:$B,$B55,Data!$G:$G,"&lt;="&amp;BW$2,Data!$H:$H,"&gt;="&amp;BW$2)</f>
        <v>0</v>
      </c>
      <c r="BX55" s="21">
        <f>SUMIFS(Data!$I:$I,Data!$B:$B,$B55,Data!$G:$G,"&lt;="&amp;BX$2,Data!$H:$H,"&gt;="&amp;BX$2)</f>
        <v>0</v>
      </c>
      <c r="BY55" s="21">
        <f>SUMIFS(Data!$I:$I,Data!$B:$B,$B55,Data!$G:$G,"&lt;="&amp;BY$2,Data!$H:$H,"&gt;="&amp;BY$2)</f>
        <v>0</v>
      </c>
      <c r="BZ55" s="21">
        <f>SUMIFS(Data!$I:$I,Data!$B:$B,$B55,Data!$G:$G,"&lt;="&amp;BZ$2,Data!$H:$H,"&gt;="&amp;BZ$2)</f>
        <v>0</v>
      </c>
      <c r="CA55" s="22">
        <f t="shared" si="130"/>
        <v>30000</v>
      </c>
    </row>
    <row r="56" spans="2:79" x14ac:dyDescent="0.25">
      <c r="B56" s="11" t="s">
        <v>125</v>
      </c>
      <c r="C56" s="11" t="str">
        <f>VLOOKUP(B56,Data!B:C,2,FALSE)</f>
        <v>Legacy</v>
      </c>
      <c r="D56" s="21">
        <f>SUMIFS(Data!$I:$I,Data!$B:$B,$B56,Data!$G:$G,"&lt;="&amp;D$2,Data!$H:$H,"&gt;="&amp;D$2)</f>
        <v>0</v>
      </c>
      <c r="E56" s="21">
        <f>SUMIFS(Data!$I:$I,Data!$B:$B,$B56,Data!$G:$G,"&lt;="&amp;E$2,Data!$H:$H,"&gt;="&amp;E$2)</f>
        <v>0</v>
      </c>
      <c r="F56" s="21">
        <f>SUMIFS(Data!$I:$I,Data!$B:$B,$B56,Data!$G:$G,"&lt;="&amp;F$2,Data!$H:$H,"&gt;="&amp;F$2)</f>
        <v>0</v>
      </c>
      <c r="G56" s="21">
        <f>SUMIFS(Data!$I:$I,Data!$B:$B,$B56,Data!$G:$G,"&lt;="&amp;G$2,Data!$H:$H,"&gt;="&amp;G$2)</f>
        <v>500</v>
      </c>
      <c r="H56" s="21">
        <f>SUMIFS(Data!$I:$I,Data!$B:$B,$B56,Data!$G:$G,"&lt;="&amp;H$2,Data!$H:$H,"&gt;="&amp;H$2)</f>
        <v>500</v>
      </c>
      <c r="I56" s="21">
        <f>SUMIFS(Data!$I:$I,Data!$B:$B,$B56,Data!$G:$G,"&lt;="&amp;I$2,Data!$H:$H,"&gt;="&amp;I$2)</f>
        <v>500</v>
      </c>
      <c r="J56" s="21">
        <f>SUMIFS(Data!$I:$I,Data!$B:$B,$B56,Data!$G:$G,"&lt;="&amp;J$2,Data!$H:$H,"&gt;="&amp;J$2)</f>
        <v>0</v>
      </c>
      <c r="K56" s="21">
        <f>SUMIFS(Data!$I:$I,Data!$B:$B,$B56,Data!$G:$G,"&lt;="&amp;K$2,Data!$H:$H,"&gt;="&amp;K$2)</f>
        <v>0</v>
      </c>
      <c r="L56" s="21">
        <f>SUMIFS(Data!$I:$I,Data!$B:$B,$B56,Data!$G:$G,"&lt;="&amp;L$2,Data!$H:$H,"&gt;="&amp;L$2)</f>
        <v>0</v>
      </c>
      <c r="M56" s="21">
        <f>SUMIFS(Data!$I:$I,Data!$B:$B,$B56,Data!$G:$G,"&lt;="&amp;M$2,Data!$H:$H,"&gt;="&amp;M$2)</f>
        <v>17000</v>
      </c>
      <c r="N56" s="21">
        <f>SUMIFS(Data!$I:$I,Data!$B:$B,$B56,Data!$G:$G,"&lt;="&amp;N$2,Data!$H:$H,"&gt;="&amp;N$2)</f>
        <v>17000</v>
      </c>
      <c r="O56" s="21">
        <f>SUMIFS(Data!$I:$I,Data!$B:$B,$B56,Data!$G:$G,"&lt;="&amp;O$2,Data!$H:$H,"&gt;="&amp;O$2)</f>
        <v>17000</v>
      </c>
      <c r="P56" s="21">
        <f>SUMIFS(Data!$I:$I,Data!$B:$B,$B56,Data!$G:$G,"&lt;="&amp;P$2,Data!$H:$H,"&gt;="&amp;P$2)</f>
        <v>0</v>
      </c>
      <c r="Q56" s="21">
        <f>SUMIFS(Data!$I:$I,Data!$B:$B,$B56,Data!$G:$G,"&lt;="&amp;Q$2,Data!$H:$H,"&gt;="&amp;Q$2)</f>
        <v>0</v>
      </c>
      <c r="R56" s="21">
        <f>SUMIFS(Data!$I:$I,Data!$B:$B,$B56,Data!$G:$G,"&lt;="&amp;R$2,Data!$H:$H,"&gt;="&amp;R$2)</f>
        <v>0</v>
      </c>
      <c r="S56" s="21">
        <f>SUMIFS(Data!$I:$I,Data!$B:$B,$B56,Data!$G:$G,"&lt;="&amp;S$2,Data!$H:$H,"&gt;="&amp;S$2)</f>
        <v>0</v>
      </c>
      <c r="T56" s="21">
        <f>SUMIFS(Data!$I:$I,Data!$B:$B,$B56,Data!$G:$G,"&lt;="&amp;T$2,Data!$H:$H,"&gt;="&amp;T$2)</f>
        <v>0</v>
      </c>
      <c r="U56" s="21">
        <f>SUMIFS(Data!$I:$I,Data!$B:$B,$B56,Data!$G:$G,"&lt;="&amp;U$2,Data!$H:$H,"&gt;="&amp;U$2)</f>
        <v>40000</v>
      </c>
      <c r="V56" s="21">
        <f>SUMIFS(Data!$I:$I,Data!$B:$B,$B56,Data!$G:$G,"&lt;="&amp;V$2,Data!$H:$H,"&gt;="&amp;V$2)</f>
        <v>40000</v>
      </c>
      <c r="W56" s="21">
        <f>SUMIFS(Data!$I:$I,Data!$B:$B,$B56,Data!$G:$G,"&lt;="&amp;W$2,Data!$H:$H,"&gt;="&amp;W$2)</f>
        <v>40000</v>
      </c>
      <c r="X56" s="21">
        <f>SUMIFS(Data!$I:$I,Data!$B:$B,$B56,Data!$G:$G,"&lt;="&amp;X$2,Data!$H:$H,"&gt;="&amp;X$2)</f>
        <v>0</v>
      </c>
      <c r="Y56" s="21">
        <f>SUMIFS(Data!$I:$I,Data!$B:$B,$B56,Data!$G:$G,"&lt;="&amp;Y$2,Data!$H:$H,"&gt;="&amp;Y$2)</f>
        <v>0</v>
      </c>
      <c r="Z56" s="21">
        <f>SUMIFS(Data!$I:$I,Data!$B:$B,$B56,Data!$G:$G,"&lt;="&amp;Z$2,Data!$H:$H,"&gt;="&amp;Z$2)</f>
        <v>0</v>
      </c>
      <c r="AA56" s="21">
        <f>SUMIFS(Data!$I:$I,Data!$B:$B,$B56,Data!$G:$G,"&lt;="&amp;AA$2,Data!$H:$H,"&gt;="&amp;AA$2)</f>
        <v>0</v>
      </c>
      <c r="AB56" s="21">
        <f>SUMIFS(Data!$I:$I,Data!$B:$B,$B56,Data!$G:$G,"&lt;="&amp;AB$2,Data!$H:$H,"&gt;="&amp;AB$2)</f>
        <v>0</v>
      </c>
      <c r="AC56" s="21">
        <f>SUMIFS(Data!$I:$I,Data!$B:$B,$B56,Data!$G:$G,"&lt;="&amp;AC$2,Data!$H:$H,"&gt;="&amp;AC$2)</f>
        <v>0</v>
      </c>
      <c r="AD56" s="21">
        <f>SUMIFS(Data!$I:$I,Data!$B:$B,$B56,Data!$G:$G,"&lt;="&amp;AD$2,Data!$H:$H,"&gt;="&amp;AD$2)</f>
        <v>0</v>
      </c>
      <c r="AE56" s="21">
        <f>SUMIFS(Data!$I:$I,Data!$B:$B,$B56,Data!$G:$G,"&lt;="&amp;AE$2,Data!$H:$H,"&gt;="&amp;AE$2)</f>
        <v>0</v>
      </c>
      <c r="AF56" s="21">
        <f>SUMIFS(Data!$I:$I,Data!$B:$B,$B56,Data!$G:$G,"&lt;="&amp;AF$2,Data!$H:$H,"&gt;="&amp;AF$2)</f>
        <v>0</v>
      </c>
      <c r="AG56" s="21">
        <f>SUMIFS(Data!$I:$I,Data!$B:$B,$B56,Data!$G:$G,"&lt;="&amp;AG$2,Data!$H:$H,"&gt;="&amp;AG$2)</f>
        <v>0</v>
      </c>
      <c r="AH56" s="21">
        <f>SUMIFS(Data!$I:$I,Data!$B:$B,$B56,Data!$G:$G,"&lt;="&amp;AH$2,Data!$H:$H,"&gt;="&amp;AH$2)</f>
        <v>0</v>
      </c>
      <c r="AI56" s="21">
        <f>SUMIFS(Data!$I:$I,Data!$B:$B,$B56,Data!$G:$G,"&lt;="&amp;AI$2,Data!$H:$H,"&gt;="&amp;AI$2)</f>
        <v>0</v>
      </c>
      <c r="AJ56" s="21">
        <f>SUMIFS(Data!$I:$I,Data!$B:$B,$B56,Data!$G:$G,"&lt;="&amp;AJ$2,Data!$H:$H,"&gt;="&amp;AJ$2)</f>
        <v>0</v>
      </c>
      <c r="AK56" s="21">
        <f>SUMIFS(Data!$I:$I,Data!$B:$B,$B56,Data!$G:$G,"&lt;="&amp;AK$2,Data!$H:$H,"&gt;="&amp;AK$2)</f>
        <v>0</v>
      </c>
      <c r="AL56" s="21">
        <f>SUMIFS(Data!$I:$I,Data!$B:$B,$B56,Data!$G:$G,"&lt;="&amp;AL$2,Data!$H:$H,"&gt;="&amp;AL$2)</f>
        <v>0</v>
      </c>
      <c r="AM56" s="21">
        <f>SUMIFS(Data!$I:$I,Data!$B:$B,$B56,Data!$G:$G,"&lt;="&amp;AM$2,Data!$H:$H,"&gt;="&amp;AM$2)</f>
        <v>0</v>
      </c>
      <c r="AN56" s="21">
        <f>SUMIFS(Data!$I:$I,Data!$B:$B,$B56,Data!$G:$G,"&lt;="&amp;AN$2,Data!$H:$H,"&gt;="&amp;AN$2)</f>
        <v>0</v>
      </c>
      <c r="AO56" s="21">
        <f>SUMIFS(Data!$I:$I,Data!$B:$B,$B56,Data!$G:$G,"&lt;="&amp;AO$2,Data!$H:$H,"&gt;="&amp;AO$2)</f>
        <v>0</v>
      </c>
      <c r="AP56" s="21">
        <f>SUMIFS(Data!$I:$I,Data!$B:$B,$B56,Data!$G:$G,"&lt;="&amp;AP$2,Data!$H:$H,"&gt;="&amp;AP$2)</f>
        <v>0</v>
      </c>
      <c r="AQ56" s="21">
        <f>SUMIFS(Data!$I:$I,Data!$B:$B,$B56,Data!$G:$G,"&lt;="&amp;AQ$2,Data!$H:$H,"&gt;="&amp;AQ$2)</f>
        <v>0</v>
      </c>
      <c r="AR56" s="21">
        <f>SUMIFS(Data!$I:$I,Data!$B:$B,$B56,Data!$G:$G,"&lt;="&amp;AR$2,Data!$H:$H,"&gt;="&amp;AR$2)</f>
        <v>0</v>
      </c>
      <c r="AS56" s="21">
        <f>SUMIFS(Data!$I:$I,Data!$B:$B,$B56,Data!$G:$G,"&lt;="&amp;AS$2,Data!$H:$H,"&gt;="&amp;AS$2)</f>
        <v>0</v>
      </c>
      <c r="AT56" s="21">
        <f>SUMIFS(Data!$I:$I,Data!$B:$B,$B56,Data!$G:$G,"&lt;="&amp;AT$2,Data!$H:$H,"&gt;="&amp;AT$2)</f>
        <v>0</v>
      </c>
      <c r="AU56" s="21">
        <f>SUMIFS(Data!$I:$I,Data!$B:$B,$B56,Data!$G:$G,"&lt;="&amp;AU$2,Data!$H:$H,"&gt;="&amp;AU$2)</f>
        <v>0</v>
      </c>
      <c r="AV56" s="21">
        <f>SUMIFS(Data!$I:$I,Data!$B:$B,$B56,Data!$G:$G,"&lt;="&amp;AV$2,Data!$H:$H,"&gt;="&amp;AV$2)</f>
        <v>0</v>
      </c>
      <c r="AW56" s="21">
        <f>SUMIFS(Data!$I:$I,Data!$B:$B,$B56,Data!$G:$G,"&lt;="&amp;AW$2,Data!$H:$H,"&gt;="&amp;AW$2)</f>
        <v>0</v>
      </c>
      <c r="AX56" s="21">
        <f>SUMIFS(Data!$I:$I,Data!$B:$B,$B56,Data!$G:$G,"&lt;="&amp;AX$2,Data!$H:$H,"&gt;="&amp;AX$2)</f>
        <v>0</v>
      </c>
      <c r="AY56" s="21">
        <f>SUMIFS(Data!$I:$I,Data!$B:$B,$B56,Data!$G:$G,"&lt;="&amp;AY$2,Data!$H:$H,"&gt;="&amp;AY$2)</f>
        <v>0</v>
      </c>
      <c r="AZ56" s="21">
        <f>SUMIFS(Data!$I:$I,Data!$B:$B,$B56,Data!$G:$G,"&lt;="&amp;AZ$2,Data!$H:$H,"&gt;="&amp;AZ$2)</f>
        <v>0</v>
      </c>
      <c r="BA56" s="21">
        <f>SUMIFS(Data!$I:$I,Data!$B:$B,$B56,Data!$G:$G,"&lt;="&amp;BA$2,Data!$H:$H,"&gt;="&amp;BA$2)</f>
        <v>0</v>
      </c>
      <c r="BB56" s="21">
        <f>SUMIFS(Data!$I:$I,Data!$B:$B,$B56,Data!$G:$G,"&lt;="&amp;BB$2,Data!$H:$H,"&gt;="&amp;BB$2)</f>
        <v>0</v>
      </c>
      <c r="BC56" s="21">
        <f>SUMIFS(Data!$I:$I,Data!$B:$B,$B56,Data!$G:$G,"&lt;="&amp;BC$2,Data!$H:$H,"&gt;="&amp;BC$2)</f>
        <v>0</v>
      </c>
      <c r="BD56" s="21">
        <f>SUMIFS(Data!$I:$I,Data!$B:$B,$B56,Data!$G:$G,"&lt;="&amp;BD$2,Data!$H:$H,"&gt;="&amp;BD$2)</f>
        <v>0</v>
      </c>
      <c r="BE56" s="21">
        <f>SUMIFS(Data!$I:$I,Data!$B:$B,$B56,Data!$G:$G,"&lt;="&amp;BE$2,Data!$H:$H,"&gt;="&amp;BE$2)</f>
        <v>0</v>
      </c>
      <c r="BF56" s="21">
        <f>SUMIFS(Data!$I:$I,Data!$B:$B,$B56,Data!$G:$G,"&lt;="&amp;BF$2,Data!$H:$H,"&gt;="&amp;BF$2)</f>
        <v>0</v>
      </c>
      <c r="BG56" s="21">
        <f>SUMIFS(Data!$I:$I,Data!$B:$B,$B56,Data!$G:$G,"&lt;="&amp;BG$2,Data!$H:$H,"&gt;="&amp;BG$2)</f>
        <v>0</v>
      </c>
      <c r="BH56" s="21">
        <f>SUMIFS(Data!$I:$I,Data!$B:$B,$B56,Data!$G:$G,"&lt;="&amp;BH$2,Data!$H:$H,"&gt;="&amp;BH$2)</f>
        <v>0</v>
      </c>
      <c r="BI56" s="21">
        <f>SUMIFS(Data!$I:$I,Data!$B:$B,$B56,Data!$G:$G,"&lt;="&amp;BI$2,Data!$H:$H,"&gt;="&amp;BI$2)</f>
        <v>0</v>
      </c>
      <c r="BJ56" s="21">
        <f>SUMIFS(Data!$I:$I,Data!$B:$B,$B56,Data!$G:$G,"&lt;="&amp;BJ$2,Data!$H:$H,"&gt;="&amp;BJ$2)</f>
        <v>0</v>
      </c>
      <c r="BK56" s="21">
        <f>SUMIFS(Data!$I:$I,Data!$B:$B,$B56,Data!$G:$G,"&lt;="&amp;BK$2,Data!$H:$H,"&gt;="&amp;BK$2)</f>
        <v>0</v>
      </c>
      <c r="BL56" s="21">
        <f>SUMIFS(Data!$I:$I,Data!$B:$B,$B56,Data!$G:$G,"&lt;="&amp;BL$2,Data!$H:$H,"&gt;="&amp;BL$2)</f>
        <v>0</v>
      </c>
      <c r="BM56" s="21">
        <f>SUMIFS(Data!$I:$I,Data!$B:$B,$B56,Data!$G:$G,"&lt;="&amp;BM$2,Data!$H:$H,"&gt;="&amp;BM$2)</f>
        <v>0</v>
      </c>
      <c r="BN56" s="21">
        <f>SUMIFS(Data!$I:$I,Data!$B:$B,$B56,Data!$G:$G,"&lt;="&amp;BN$2,Data!$H:$H,"&gt;="&amp;BN$2)</f>
        <v>0</v>
      </c>
      <c r="BO56" s="21">
        <f>SUMIFS(Data!$I:$I,Data!$B:$B,$B56,Data!$G:$G,"&lt;="&amp;BO$2,Data!$H:$H,"&gt;="&amp;BO$2)</f>
        <v>0</v>
      </c>
      <c r="BP56" s="21">
        <f>SUMIFS(Data!$I:$I,Data!$B:$B,$B56,Data!$G:$G,"&lt;="&amp;BP$2,Data!$H:$H,"&gt;="&amp;BP$2)</f>
        <v>0</v>
      </c>
      <c r="BQ56" s="21">
        <f>SUMIFS(Data!$I:$I,Data!$B:$B,$B56,Data!$G:$G,"&lt;="&amp;BQ$2,Data!$H:$H,"&gt;="&amp;BQ$2)</f>
        <v>0</v>
      </c>
      <c r="BR56" s="21">
        <f>SUMIFS(Data!$I:$I,Data!$B:$B,$B56,Data!$G:$G,"&lt;="&amp;BR$2,Data!$H:$H,"&gt;="&amp;BR$2)</f>
        <v>0</v>
      </c>
      <c r="BS56" s="21">
        <f>SUMIFS(Data!$I:$I,Data!$B:$B,$B56,Data!$G:$G,"&lt;="&amp;BS$2,Data!$H:$H,"&gt;="&amp;BS$2)</f>
        <v>0</v>
      </c>
      <c r="BT56" s="21">
        <f>SUMIFS(Data!$I:$I,Data!$B:$B,$B56,Data!$G:$G,"&lt;="&amp;BT$2,Data!$H:$H,"&gt;="&amp;BT$2)</f>
        <v>0</v>
      </c>
      <c r="BU56" s="21">
        <f>SUMIFS(Data!$I:$I,Data!$B:$B,$B56,Data!$G:$G,"&lt;="&amp;BU$2,Data!$H:$H,"&gt;="&amp;BU$2)</f>
        <v>0</v>
      </c>
      <c r="BV56" s="21">
        <f>SUMIFS(Data!$I:$I,Data!$B:$B,$B56,Data!$G:$G,"&lt;="&amp;BV$2,Data!$H:$H,"&gt;="&amp;BV$2)</f>
        <v>0</v>
      </c>
      <c r="BW56" s="21">
        <f>SUMIFS(Data!$I:$I,Data!$B:$B,$B56,Data!$G:$G,"&lt;="&amp;BW$2,Data!$H:$H,"&gt;="&amp;BW$2)</f>
        <v>0</v>
      </c>
      <c r="BX56" s="21">
        <f>SUMIFS(Data!$I:$I,Data!$B:$B,$B56,Data!$G:$G,"&lt;="&amp;BX$2,Data!$H:$H,"&gt;="&amp;BX$2)</f>
        <v>0</v>
      </c>
      <c r="BY56" s="21">
        <f>SUMIFS(Data!$I:$I,Data!$B:$B,$B56,Data!$G:$G,"&lt;="&amp;BY$2,Data!$H:$H,"&gt;="&amp;BY$2)</f>
        <v>0</v>
      </c>
      <c r="BZ56" s="21">
        <f>SUMIFS(Data!$I:$I,Data!$B:$B,$B56,Data!$G:$G,"&lt;="&amp;BZ$2,Data!$H:$H,"&gt;="&amp;BZ$2)</f>
        <v>0</v>
      </c>
      <c r="CA56" s="22">
        <f t="shared" si="130"/>
        <v>172500</v>
      </c>
    </row>
    <row r="57" spans="2:79" x14ac:dyDescent="0.25">
      <c r="B57" s="11" t="s">
        <v>217</v>
      </c>
      <c r="C57" s="11" t="str">
        <f>VLOOKUP(B57,Data!B:C,2,FALSE)</f>
        <v>Legacy</v>
      </c>
      <c r="D57" s="21">
        <f>SUMIFS(Data!$I:$I,Data!$B:$B,$B57,Data!$G:$G,"&lt;="&amp;D$2,Data!$H:$H,"&gt;="&amp;D$2)</f>
        <v>0</v>
      </c>
      <c r="E57" s="21">
        <f>SUMIFS(Data!$I:$I,Data!$B:$B,$B57,Data!$G:$G,"&lt;="&amp;E$2,Data!$H:$H,"&gt;="&amp;E$2)</f>
        <v>0</v>
      </c>
      <c r="F57" s="21">
        <f>SUMIFS(Data!$I:$I,Data!$B:$B,$B57,Data!$G:$G,"&lt;="&amp;F$2,Data!$H:$H,"&gt;="&amp;F$2)</f>
        <v>0</v>
      </c>
      <c r="G57" s="21">
        <f>SUMIFS(Data!$I:$I,Data!$B:$B,$B57,Data!$G:$G,"&lt;="&amp;G$2,Data!$H:$H,"&gt;="&amp;G$2)</f>
        <v>0</v>
      </c>
      <c r="H57" s="21">
        <f>SUMIFS(Data!$I:$I,Data!$B:$B,$B57,Data!$G:$G,"&lt;="&amp;H$2,Data!$H:$H,"&gt;="&amp;H$2)</f>
        <v>0</v>
      </c>
      <c r="I57" s="21">
        <f>SUMIFS(Data!$I:$I,Data!$B:$B,$B57,Data!$G:$G,"&lt;="&amp;I$2,Data!$H:$H,"&gt;="&amp;I$2)</f>
        <v>0</v>
      </c>
      <c r="J57" s="21">
        <f>SUMIFS(Data!$I:$I,Data!$B:$B,$B57,Data!$G:$G,"&lt;="&amp;J$2,Data!$H:$H,"&gt;="&amp;J$2)</f>
        <v>0</v>
      </c>
      <c r="K57" s="21">
        <f>SUMIFS(Data!$I:$I,Data!$B:$B,$B57,Data!$G:$G,"&lt;="&amp;K$2,Data!$H:$H,"&gt;="&amp;K$2)</f>
        <v>0</v>
      </c>
      <c r="L57" s="21">
        <f>SUMIFS(Data!$I:$I,Data!$B:$B,$B57,Data!$G:$G,"&lt;="&amp;L$2,Data!$H:$H,"&gt;="&amp;L$2)</f>
        <v>0</v>
      </c>
      <c r="M57" s="21">
        <f>SUMIFS(Data!$I:$I,Data!$B:$B,$B57,Data!$G:$G,"&lt;="&amp;M$2,Data!$H:$H,"&gt;="&amp;M$2)</f>
        <v>0</v>
      </c>
      <c r="N57" s="21">
        <f>SUMIFS(Data!$I:$I,Data!$B:$B,$B57,Data!$G:$G,"&lt;="&amp;N$2,Data!$H:$H,"&gt;="&amp;N$2)</f>
        <v>0</v>
      </c>
      <c r="O57" s="21">
        <f>SUMIFS(Data!$I:$I,Data!$B:$B,$B57,Data!$G:$G,"&lt;="&amp;O$2,Data!$H:$H,"&gt;="&amp;O$2)</f>
        <v>8333.3333333333339</v>
      </c>
      <c r="P57" s="21">
        <f>SUMIFS(Data!$I:$I,Data!$B:$B,$B57,Data!$G:$G,"&lt;="&amp;P$2,Data!$H:$H,"&gt;="&amp;P$2)</f>
        <v>8333.3333333333339</v>
      </c>
      <c r="Q57" s="21">
        <f>SUMIFS(Data!$I:$I,Data!$B:$B,$B57,Data!$G:$G,"&lt;="&amp;Q$2,Data!$H:$H,"&gt;="&amp;Q$2)</f>
        <v>8333.3333333333339</v>
      </c>
      <c r="R57" s="21">
        <f>SUMIFS(Data!$I:$I,Data!$B:$B,$B57,Data!$G:$G,"&lt;="&amp;R$2,Data!$H:$H,"&gt;="&amp;R$2)</f>
        <v>0</v>
      </c>
      <c r="S57" s="21">
        <f>SUMIFS(Data!$I:$I,Data!$B:$B,$B57,Data!$G:$G,"&lt;="&amp;S$2,Data!$H:$H,"&gt;="&amp;S$2)</f>
        <v>0</v>
      </c>
      <c r="T57" s="21">
        <f>SUMIFS(Data!$I:$I,Data!$B:$B,$B57,Data!$G:$G,"&lt;="&amp;T$2,Data!$H:$H,"&gt;="&amp;T$2)</f>
        <v>0</v>
      </c>
      <c r="U57" s="21">
        <f>SUMIFS(Data!$I:$I,Data!$B:$B,$B57,Data!$G:$G,"&lt;="&amp;U$2,Data!$H:$H,"&gt;="&amp;U$2)</f>
        <v>0</v>
      </c>
      <c r="V57" s="21">
        <f>SUMIFS(Data!$I:$I,Data!$B:$B,$B57,Data!$G:$G,"&lt;="&amp;V$2,Data!$H:$H,"&gt;="&amp;V$2)</f>
        <v>0</v>
      </c>
      <c r="W57" s="21">
        <f>SUMIFS(Data!$I:$I,Data!$B:$B,$B57,Data!$G:$G,"&lt;="&amp;W$2,Data!$H:$H,"&gt;="&amp;W$2)</f>
        <v>0</v>
      </c>
      <c r="X57" s="21">
        <f>SUMIFS(Data!$I:$I,Data!$B:$B,$B57,Data!$G:$G,"&lt;="&amp;X$2,Data!$H:$H,"&gt;="&amp;X$2)</f>
        <v>0</v>
      </c>
      <c r="Y57" s="21">
        <f>SUMIFS(Data!$I:$I,Data!$B:$B,$B57,Data!$G:$G,"&lt;="&amp;Y$2,Data!$H:$H,"&gt;="&amp;Y$2)</f>
        <v>0</v>
      </c>
      <c r="Z57" s="21">
        <f>SUMIFS(Data!$I:$I,Data!$B:$B,$B57,Data!$G:$G,"&lt;="&amp;Z$2,Data!$H:$H,"&gt;="&amp;Z$2)</f>
        <v>0</v>
      </c>
      <c r="AA57" s="21">
        <f>SUMIFS(Data!$I:$I,Data!$B:$B,$B57,Data!$G:$G,"&lt;="&amp;AA$2,Data!$H:$H,"&gt;="&amp;AA$2)</f>
        <v>0</v>
      </c>
      <c r="AB57" s="21">
        <f>SUMIFS(Data!$I:$I,Data!$B:$B,$B57,Data!$G:$G,"&lt;="&amp;AB$2,Data!$H:$H,"&gt;="&amp;AB$2)</f>
        <v>0</v>
      </c>
      <c r="AC57" s="21">
        <f>SUMIFS(Data!$I:$I,Data!$B:$B,$B57,Data!$G:$G,"&lt;="&amp;AC$2,Data!$H:$H,"&gt;="&amp;AC$2)</f>
        <v>0</v>
      </c>
      <c r="AD57" s="21">
        <f>SUMIFS(Data!$I:$I,Data!$B:$B,$B57,Data!$G:$G,"&lt;="&amp;AD$2,Data!$H:$H,"&gt;="&amp;AD$2)</f>
        <v>0</v>
      </c>
      <c r="AE57" s="21">
        <f>SUMIFS(Data!$I:$I,Data!$B:$B,$B57,Data!$G:$G,"&lt;="&amp;AE$2,Data!$H:$H,"&gt;="&amp;AE$2)</f>
        <v>0</v>
      </c>
      <c r="AF57" s="21">
        <f>SUMIFS(Data!$I:$I,Data!$B:$B,$B57,Data!$G:$G,"&lt;="&amp;AF$2,Data!$H:$H,"&gt;="&amp;AF$2)</f>
        <v>0</v>
      </c>
      <c r="AG57" s="21">
        <f>SUMIFS(Data!$I:$I,Data!$B:$B,$B57,Data!$G:$G,"&lt;="&amp;AG$2,Data!$H:$H,"&gt;="&amp;AG$2)</f>
        <v>0</v>
      </c>
      <c r="AH57" s="21">
        <f>SUMIFS(Data!$I:$I,Data!$B:$B,$B57,Data!$G:$G,"&lt;="&amp;AH$2,Data!$H:$H,"&gt;="&amp;AH$2)</f>
        <v>0</v>
      </c>
      <c r="AI57" s="21">
        <f>SUMIFS(Data!$I:$I,Data!$B:$B,$B57,Data!$G:$G,"&lt;="&amp;AI$2,Data!$H:$H,"&gt;="&amp;AI$2)</f>
        <v>0</v>
      </c>
      <c r="AJ57" s="21">
        <f>SUMIFS(Data!$I:$I,Data!$B:$B,$B57,Data!$G:$G,"&lt;="&amp;AJ$2,Data!$H:$H,"&gt;="&amp;AJ$2)</f>
        <v>0</v>
      </c>
      <c r="AK57" s="21">
        <f>SUMIFS(Data!$I:$I,Data!$B:$B,$B57,Data!$G:$G,"&lt;="&amp;AK$2,Data!$H:$H,"&gt;="&amp;AK$2)</f>
        <v>0</v>
      </c>
      <c r="AL57" s="21">
        <f>SUMIFS(Data!$I:$I,Data!$B:$B,$B57,Data!$G:$G,"&lt;="&amp;AL$2,Data!$H:$H,"&gt;="&amp;AL$2)</f>
        <v>0</v>
      </c>
      <c r="AM57" s="21">
        <f>SUMIFS(Data!$I:$I,Data!$B:$B,$B57,Data!$G:$G,"&lt;="&amp;AM$2,Data!$H:$H,"&gt;="&amp;AM$2)</f>
        <v>0</v>
      </c>
      <c r="AN57" s="21">
        <f>SUMIFS(Data!$I:$I,Data!$B:$B,$B57,Data!$G:$G,"&lt;="&amp;AN$2,Data!$H:$H,"&gt;="&amp;AN$2)</f>
        <v>0</v>
      </c>
      <c r="AO57" s="21">
        <f>SUMIFS(Data!$I:$I,Data!$B:$B,$B57,Data!$G:$G,"&lt;="&amp;AO$2,Data!$H:$H,"&gt;="&amp;AO$2)</f>
        <v>0</v>
      </c>
      <c r="AP57" s="21">
        <f>SUMIFS(Data!$I:$I,Data!$B:$B,$B57,Data!$G:$G,"&lt;="&amp;AP$2,Data!$H:$H,"&gt;="&amp;AP$2)</f>
        <v>0</v>
      </c>
      <c r="AQ57" s="21">
        <f>SUMIFS(Data!$I:$I,Data!$B:$B,$B57,Data!$G:$G,"&lt;="&amp;AQ$2,Data!$H:$H,"&gt;="&amp;AQ$2)</f>
        <v>0</v>
      </c>
      <c r="AR57" s="21">
        <f>SUMIFS(Data!$I:$I,Data!$B:$B,$B57,Data!$G:$G,"&lt;="&amp;AR$2,Data!$H:$H,"&gt;="&amp;AR$2)</f>
        <v>0</v>
      </c>
      <c r="AS57" s="21">
        <f>SUMIFS(Data!$I:$I,Data!$B:$B,$B57,Data!$G:$G,"&lt;="&amp;AS$2,Data!$H:$H,"&gt;="&amp;AS$2)</f>
        <v>0</v>
      </c>
      <c r="AT57" s="21">
        <f>SUMIFS(Data!$I:$I,Data!$B:$B,$B57,Data!$G:$G,"&lt;="&amp;AT$2,Data!$H:$H,"&gt;="&amp;AT$2)</f>
        <v>0</v>
      </c>
      <c r="AU57" s="21">
        <f>SUMIFS(Data!$I:$I,Data!$B:$B,$B57,Data!$G:$G,"&lt;="&amp;AU$2,Data!$H:$H,"&gt;="&amp;AU$2)</f>
        <v>0</v>
      </c>
      <c r="AV57" s="21">
        <f>SUMIFS(Data!$I:$I,Data!$B:$B,$B57,Data!$G:$G,"&lt;="&amp;AV$2,Data!$H:$H,"&gt;="&amp;AV$2)</f>
        <v>0</v>
      </c>
      <c r="AW57" s="21">
        <f>SUMIFS(Data!$I:$I,Data!$B:$B,$B57,Data!$G:$G,"&lt;="&amp;AW$2,Data!$H:$H,"&gt;="&amp;AW$2)</f>
        <v>0</v>
      </c>
      <c r="AX57" s="21">
        <f>SUMIFS(Data!$I:$I,Data!$B:$B,$B57,Data!$G:$G,"&lt;="&amp;AX$2,Data!$H:$H,"&gt;="&amp;AX$2)</f>
        <v>0</v>
      </c>
      <c r="AY57" s="21">
        <f>SUMIFS(Data!$I:$I,Data!$B:$B,$B57,Data!$G:$G,"&lt;="&amp;AY$2,Data!$H:$H,"&gt;="&amp;AY$2)</f>
        <v>0</v>
      </c>
      <c r="AZ57" s="21">
        <f>SUMIFS(Data!$I:$I,Data!$B:$B,$B57,Data!$G:$G,"&lt;="&amp;AZ$2,Data!$H:$H,"&gt;="&amp;AZ$2)</f>
        <v>0</v>
      </c>
      <c r="BA57" s="21">
        <f>SUMIFS(Data!$I:$I,Data!$B:$B,$B57,Data!$G:$G,"&lt;="&amp;BA$2,Data!$H:$H,"&gt;="&amp;BA$2)</f>
        <v>0</v>
      </c>
      <c r="BB57" s="21">
        <f>SUMIFS(Data!$I:$I,Data!$B:$B,$B57,Data!$G:$G,"&lt;="&amp;BB$2,Data!$H:$H,"&gt;="&amp;BB$2)</f>
        <v>0</v>
      </c>
      <c r="BC57" s="21">
        <f>SUMIFS(Data!$I:$I,Data!$B:$B,$B57,Data!$G:$G,"&lt;="&amp;BC$2,Data!$H:$H,"&gt;="&amp;BC$2)</f>
        <v>0</v>
      </c>
      <c r="BD57" s="21">
        <f>SUMIFS(Data!$I:$I,Data!$B:$B,$B57,Data!$G:$G,"&lt;="&amp;BD$2,Data!$H:$H,"&gt;="&amp;BD$2)</f>
        <v>0</v>
      </c>
      <c r="BE57" s="21">
        <f>SUMIFS(Data!$I:$I,Data!$B:$B,$B57,Data!$G:$G,"&lt;="&amp;BE$2,Data!$H:$H,"&gt;="&amp;BE$2)</f>
        <v>0</v>
      </c>
      <c r="BF57" s="21">
        <f>SUMIFS(Data!$I:$I,Data!$B:$B,$B57,Data!$G:$G,"&lt;="&amp;BF$2,Data!$H:$H,"&gt;="&amp;BF$2)</f>
        <v>0</v>
      </c>
      <c r="BG57" s="21">
        <f>SUMIFS(Data!$I:$I,Data!$B:$B,$B57,Data!$G:$G,"&lt;="&amp;BG$2,Data!$H:$H,"&gt;="&amp;BG$2)</f>
        <v>0</v>
      </c>
      <c r="BH57" s="21">
        <f>SUMIFS(Data!$I:$I,Data!$B:$B,$B57,Data!$G:$G,"&lt;="&amp;BH$2,Data!$H:$H,"&gt;="&amp;BH$2)</f>
        <v>0</v>
      </c>
      <c r="BI57" s="21">
        <f>SUMIFS(Data!$I:$I,Data!$B:$B,$B57,Data!$G:$G,"&lt;="&amp;BI$2,Data!$H:$H,"&gt;="&amp;BI$2)</f>
        <v>0</v>
      </c>
      <c r="BJ57" s="21">
        <f>SUMIFS(Data!$I:$I,Data!$B:$B,$B57,Data!$G:$G,"&lt;="&amp;BJ$2,Data!$H:$H,"&gt;="&amp;BJ$2)</f>
        <v>0</v>
      </c>
      <c r="BK57" s="21">
        <f>SUMIFS(Data!$I:$I,Data!$B:$B,$B57,Data!$G:$G,"&lt;="&amp;BK$2,Data!$H:$H,"&gt;="&amp;BK$2)</f>
        <v>0</v>
      </c>
      <c r="BL57" s="21">
        <f>SUMIFS(Data!$I:$I,Data!$B:$B,$B57,Data!$G:$G,"&lt;="&amp;BL$2,Data!$H:$H,"&gt;="&amp;BL$2)</f>
        <v>0</v>
      </c>
      <c r="BM57" s="21">
        <f>SUMIFS(Data!$I:$I,Data!$B:$B,$B57,Data!$G:$G,"&lt;="&amp;BM$2,Data!$H:$H,"&gt;="&amp;BM$2)</f>
        <v>0</v>
      </c>
      <c r="BN57" s="21">
        <f>SUMIFS(Data!$I:$I,Data!$B:$B,$B57,Data!$G:$G,"&lt;="&amp;BN$2,Data!$H:$H,"&gt;="&amp;BN$2)</f>
        <v>0</v>
      </c>
      <c r="BO57" s="21">
        <f>SUMIFS(Data!$I:$I,Data!$B:$B,$B57,Data!$G:$G,"&lt;="&amp;BO$2,Data!$H:$H,"&gt;="&amp;BO$2)</f>
        <v>0</v>
      </c>
      <c r="BP57" s="21">
        <f>SUMIFS(Data!$I:$I,Data!$B:$B,$B57,Data!$G:$G,"&lt;="&amp;BP$2,Data!$H:$H,"&gt;="&amp;BP$2)</f>
        <v>0</v>
      </c>
      <c r="BQ57" s="21">
        <f>SUMIFS(Data!$I:$I,Data!$B:$B,$B57,Data!$G:$G,"&lt;="&amp;BQ$2,Data!$H:$H,"&gt;="&amp;BQ$2)</f>
        <v>0</v>
      </c>
      <c r="BR57" s="21">
        <f>SUMIFS(Data!$I:$I,Data!$B:$B,$B57,Data!$G:$G,"&lt;="&amp;BR$2,Data!$H:$H,"&gt;="&amp;BR$2)</f>
        <v>0</v>
      </c>
      <c r="BS57" s="21">
        <f>SUMIFS(Data!$I:$I,Data!$B:$B,$B57,Data!$G:$G,"&lt;="&amp;BS$2,Data!$H:$H,"&gt;="&amp;BS$2)</f>
        <v>0</v>
      </c>
      <c r="BT57" s="21">
        <f>SUMIFS(Data!$I:$I,Data!$B:$B,$B57,Data!$G:$G,"&lt;="&amp;BT$2,Data!$H:$H,"&gt;="&amp;BT$2)</f>
        <v>0</v>
      </c>
      <c r="BU57" s="21">
        <f>SUMIFS(Data!$I:$I,Data!$B:$B,$B57,Data!$G:$G,"&lt;="&amp;BU$2,Data!$H:$H,"&gt;="&amp;BU$2)</f>
        <v>0</v>
      </c>
      <c r="BV57" s="21">
        <f>SUMIFS(Data!$I:$I,Data!$B:$B,$B57,Data!$G:$G,"&lt;="&amp;BV$2,Data!$H:$H,"&gt;="&amp;BV$2)</f>
        <v>0</v>
      </c>
      <c r="BW57" s="21">
        <f>SUMIFS(Data!$I:$I,Data!$B:$B,$B57,Data!$G:$G,"&lt;="&amp;BW$2,Data!$H:$H,"&gt;="&amp;BW$2)</f>
        <v>0</v>
      </c>
      <c r="BX57" s="21">
        <f>SUMIFS(Data!$I:$I,Data!$B:$B,$B57,Data!$G:$G,"&lt;="&amp;BX$2,Data!$H:$H,"&gt;="&amp;BX$2)</f>
        <v>0</v>
      </c>
      <c r="BY57" s="21">
        <f>SUMIFS(Data!$I:$I,Data!$B:$B,$B57,Data!$G:$G,"&lt;="&amp;BY$2,Data!$H:$H,"&gt;="&amp;BY$2)</f>
        <v>0</v>
      </c>
      <c r="BZ57" s="21">
        <f>SUMIFS(Data!$I:$I,Data!$B:$B,$B57,Data!$G:$G,"&lt;="&amp;BZ$2,Data!$H:$H,"&gt;="&amp;BZ$2)</f>
        <v>0</v>
      </c>
      <c r="CA57" s="22">
        <f t="shared" si="130"/>
        <v>25000</v>
      </c>
    </row>
    <row r="58" spans="2:79" x14ac:dyDescent="0.25">
      <c r="B58" s="11" t="s">
        <v>168</v>
      </c>
      <c r="C58" s="11" t="str">
        <f>VLOOKUP(B58,Data!B:C,2,FALSE)</f>
        <v>Legacy</v>
      </c>
      <c r="D58" s="21">
        <f>SUMIFS(Data!$I:$I,Data!$B:$B,$B58,Data!$G:$G,"&lt;="&amp;D$2,Data!$H:$H,"&gt;="&amp;D$2)</f>
        <v>0</v>
      </c>
      <c r="E58" s="21">
        <f>SUMIFS(Data!$I:$I,Data!$B:$B,$B58,Data!$G:$G,"&lt;="&amp;E$2,Data!$H:$H,"&gt;="&amp;E$2)</f>
        <v>0</v>
      </c>
      <c r="F58" s="21">
        <f>SUMIFS(Data!$I:$I,Data!$B:$B,$B58,Data!$G:$G,"&lt;="&amp;F$2,Data!$H:$H,"&gt;="&amp;F$2)</f>
        <v>0</v>
      </c>
      <c r="G58" s="21">
        <f>SUMIFS(Data!$I:$I,Data!$B:$B,$B58,Data!$G:$G,"&lt;="&amp;G$2,Data!$H:$H,"&gt;="&amp;G$2)</f>
        <v>0</v>
      </c>
      <c r="H58" s="21">
        <f>SUMIFS(Data!$I:$I,Data!$B:$B,$B58,Data!$G:$G,"&lt;="&amp;H$2,Data!$H:$H,"&gt;="&amp;H$2)</f>
        <v>0</v>
      </c>
      <c r="I58" s="21">
        <f>SUMIFS(Data!$I:$I,Data!$B:$B,$B58,Data!$G:$G,"&lt;="&amp;I$2,Data!$H:$H,"&gt;="&amp;I$2)</f>
        <v>0</v>
      </c>
      <c r="J58" s="21">
        <f>SUMIFS(Data!$I:$I,Data!$B:$B,$B58,Data!$G:$G,"&lt;="&amp;J$2,Data!$H:$H,"&gt;="&amp;J$2)</f>
        <v>0</v>
      </c>
      <c r="K58" s="21">
        <f>SUMIFS(Data!$I:$I,Data!$B:$B,$B58,Data!$G:$G,"&lt;="&amp;K$2,Data!$H:$H,"&gt;="&amp;K$2)</f>
        <v>0</v>
      </c>
      <c r="L58" s="21">
        <f>SUMIFS(Data!$I:$I,Data!$B:$B,$B58,Data!$G:$G,"&lt;="&amp;L$2,Data!$H:$H,"&gt;="&amp;L$2)</f>
        <v>3333.3333333333335</v>
      </c>
      <c r="M58" s="21">
        <f>SUMIFS(Data!$I:$I,Data!$B:$B,$B58,Data!$G:$G,"&lt;="&amp;M$2,Data!$H:$H,"&gt;="&amp;M$2)</f>
        <v>3333.3333333333335</v>
      </c>
      <c r="N58" s="21">
        <f>SUMIFS(Data!$I:$I,Data!$B:$B,$B58,Data!$G:$G,"&lt;="&amp;N$2,Data!$H:$H,"&gt;="&amp;N$2)</f>
        <v>3333.3333333333335</v>
      </c>
      <c r="O58" s="21">
        <f>SUMIFS(Data!$I:$I,Data!$B:$B,$B58,Data!$G:$G,"&lt;="&amp;O$2,Data!$H:$H,"&gt;="&amp;O$2)</f>
        <v>0</v>
      </c>
      <c r="P58" s="21">
        <f>SUMIFS(Data!$I:$I,Data!$B:$B,$B58,Data!$G:$G,"&lt;="&amp;P$2,Data!$H:$H,"&gt;="&amp;P$2)</f>
        <v>0</v>
      </c>
      <c r="Q58" s="21">
        <f>SUMIFS(Data!$I:$I,Data!$B:$B,$B58,Data!$G:$G,"&lt;="&amp;Q$2,Data!$H:$H,"&gt;="&amp;Q$2)</f>
        <v>0</v>
      </c>
      <c r="R58" s="21">
        <f>SUMIFS(Data!$I:$I,Data!$B:$B,$B58,Data!$G:$G,"&lt;="&amp;R$2,Data!$H:$H,"&gt;="&amp;R$2)</f>
        <v>0</v>
      </c>
      <c r="S58" s="21">
        <f>SUMIFS(Data!$I:$I,Data!$B:$B,$B58,Data!$G:$G,"&lt;="&amp;S$2,Data!$H:$H,"&gt;="&amp;S$2)</f>
        <v>0</v>
      </c>
      <c r="T58" s="21">
        <f>SUMIFS(Data!$I:$I,Data!$B:$B,$B58,Data!$G:$G,"&lt;="&amp;T$2,Data!$H:$H,"&gt;="&amp;T$2)</f>
        <v>0</v>
      </c>
      <c r="U58" s="21">
        <f>SUMIFS(Data!$I:$I,Data!$B:$B,$B58,Data!$G:$G,"&lt;="&amp;U$2,Data!$H:$H,"&gt;="&amp;U$2)</f>
        <v>0</v>
      </c>
      <c r="V58" s="21">
        <f>SUMIFS(Data!$I:$I,Data!$B:$B,$B58,Data!$G:$G,"&lt;="&amp;V$2,Data!$H:$H,"&gt;="&amp;V$2)</f>
        <v>0</v>
      </c>
      <c r="W58" s="21">
        <f>SUMIFS(Data!$I:$I,Data!$B:$B,$B58,Data!$G:$G,"&lt;="&amp;W$2,Data!$H:$H,"&gt;="&amp;W$2)</f>
        <v>0</v>
      </c>
      <c r="X58" s="21">
        <f>SUMIFS(Data!$I:$I,Data!$B:$B,$B58,Data!$G:$G,"&lt;="&amp;X$2,Data!$H:$H,"&gt;="&amp;X$2)</f>
        <v>0</v>
      </c>
      <c r="Y58" s="21">
        <f>SUMIFS(Data!$I:$I,Data!$B:$B,$B58,Data!$G:$G,"&lt;="&amp;Y$2,Data!$H:$H,"&gt;="&amp;Y$2)</f>
        <v>0</v>
      </c>
      <c r="Z58" s="21">
        <f>SUMIFS(Data!$I:$I,Data!$B:$B,$B58,Data!$G:$G,"&lt;="&amp;Z$2,Data!$H:$H,"&gt;="&amp;Z$2)</f>
        <v>0</v>
      </c>
      <c r="AA58" s="21">
        <f>SUMIFS(Data!$I:$I,Data!$B:$B,$B58,Data!$G:$G,"&lt;="&amp;AA$2,Data!$H:$H,"&gt;="&amp;AA$2)</f>
        <v>0</v>
      </c>
      <c r="AB58" s="21">
        <f>SUMIFS(Data!$I:$I,Data!$B:$B,$B58,Data!$G:$G,"&lt;="&amp;AB$2,Data!$H:$H,"&gt;="&amp;AB$2)</f>
        <v>0</v>
      </c>
      <c r="AC58" s="21">
        <f>SUMIFS(Data!$I:$I,Data!$B:$B,$B58,Data!$G:$G,"&lt;="&amp;AC$2,Data!$H:$H,"&gt;="&amp;AC$2)</f>
        <v>0</v>
      </c>
      <c r="AD58" s="21">
        <f>SUMIFS(Data!$I:$I,Data!$B:$B,$B58,Data!$G:$G,"&lt;="&amp;AD$2,Data!$H:$H,"&gt;="&amp;AD$2)</f>
        <v>0</v>
      </c>
      <c r="AE58" s="21">
        <f>SUMIFS(Data!$I:$I,Data!$B:$B,$B58,Data!$G:$G,"&lt;="&amp;AE$2,Data!$H:$H,"&gt;="&amp;AE$2)</f>
        <v>0</v>
      </c>
      <c r="AF58" s="21">
        <f>SUMIFS(Data!$I:$I,Data!$B:$B,$B58,Data!$G:$G,"&lt;="&amp;AF$2,Data!$H:$H,"&gt;="&amp;AF$2)</f>
        <v>0</v>
      </c>
      <c r="AG58" s="21">
        <f>SUMIFS(Data!$I:$I,Data!$B:$B,$B58,Data!$G:$G,"&lt;="&amp;AG$2,Data!$H:$H,"&gt;="&amp;AG$2)</f>
        <v>0</v>
      </c>
      <c r="AH58" s="21">
        <f>SUMIFS(Data!$I:$I,Data!$B:$B,$B58,Data!$G:$G,"&lt;="&amp;AH$2,Data!$H:$H,"&gt;="&amp;AH$2)</f>
        <v>0</v>
      </c>
      <c r="AI58" s="21">
        <f>SUMIFS(Data!$I:$I,Data!$B:$B,$B58,Data!$G:$G,"&lt;="&amp;AI$2,Data!$H:$H,"&gt;="&amp;AI$2)</f>
        <v>0</v>
      </c>
      <c r="AJ58" s="21">
        <f>SUMIFS(Data!$I:$I,Data!$B:$B,$B58,Data!$G:$G,"&lt;="&amp;AJ$2,Data!$H:$H,"&gt;="&amp;AJ$2)</f>
        <v>0</v>
      </c>
      <c r="AK58" s="21">
        <f>SUMIFS(Data!$I:$I,Data!$B:$B,$B58,Data!$G:$G,"&lt;="&amp;AK$2,Data!$H:$H,"&gt;="&amp;AK$2)</f>
        <v>0</v>
      </c>
      <c r="AL58" s="21">
        <f>SUMIFS(Data!$I:$I,Data!$B:$B,$B58,Data!$G:$G,"&lt;="&amp;AL$2,Data!$H:$H,"&gt;="&amp;AL$2)</f>
        <v>0</v>
      </c>
      <c r="AM58" s="21">
        <f>SUMIFS(Data!$I:$I,Data!$B:$B,$B58,Data!$G:$G,"&lt;="&amp;AM$2,Data!$H:$H,"&gt;="&amp;AM$2)</f>
        <v>0</v>
      </c>
      <c r="AN58" s="21">
        <f>SUMIFS(Data!$I:$I,Data!$B:$B,$B58,Data!$G:$G,"&lt;="&amp;AN$2,Data!$H:$H,"&gt;="&amp;AN$2)</f>
        <v>0</v>
      </c>
      <c r="AO58" s="21">
        <f>SUMIFS(Data!$I:$I,Data!$B:$B,$B58,Data!$G:$G,"&lt;="&amp;AO$2,Data!$H:$H,"&gt;="&amp;AO$2)</f>
        <v>0</v>
      </c>
      <c r="AP58" s="21">
        <f>SUMIFS(Data!$I:$I,Data!$B:$B,$B58,Data!$G:$G,"&lt;="&amp;AP$2,Data!$H:$H,"&gt;="&amp;AP$2)</f>
        <v>0</v>
      </c>
      <c r="AQ58" s="21">
        <f>SUMIFS(Data!$I:$I,Data!$B:$B,$B58,Data!$G:$G,"&lt;="&amp;AQ$2,Data!$H:$H,"&gt;="&amp;AQ$2)</f>
        <v>0</v>
      </c>
      <c r="AR58" s="21">
        <f>SUMIFS(Data!$I:$I,Data!$B:$B,$B58,Data!$G:$G,"&lt;="&amp;AR$2,Data!$H:$H,"&gt;="&amp;AR$2)</f>
        <v>0</v>
      </c>
      <c r="AS58" s="21">
        <f>SUMIFS(Data!$I:$I,Data!$B:$B,$B58,Data!$G:$G,"&lt;="&amp;AS$2,Data!$H:$H,"&gt;="&amp;AS$2)</f>
        <v>0</v>
      </c>
      <c r="AT58" s="21">
        <f>SUMIFS(Data!$I:$I,Data!$B:$B,$B58,Data!$G:$G,"&lt;="&amp;AT$2,Data!$H:$H,"&gt;="&amp;AT$2)</f>
        <v>0</v>
      </c>
      <c r="AU58" s="21">
        <f>SUMIFS(Data!$I:$I,Data!$B:$B,$B58,Data!$G:$G,"&lt;="&amp;AU$2,Data!$H:$H,"&gt;="&amp;AU$2)</f>
        <v>0</v>
      </c>
      <c r="AV58" s="21">
        <f>SUMIFS(Data!$I:$I,Data!$B:$B,$B58,Data!$G:$G,"&lt;="&amp;AV$2,Data!$H:$H,"&gt;="&amp;AV$2)</f>
        <v>0</v>
      </c>
      <c r="AW58" s="21">
        <f>SUMIFS(Data!$I:$I,Data!$B:$B,$B58,Data!$G:$G,"&lt;="&amp;AW$2,Data!$H:$H,"&gt;="&amp;AW$2)</f>
        <v>0</v>
      </c>
      <c r="AX58" s="21">
        <f>SUMIFS(Data!$I:$I,Data!$B:$B,$B58,Data!$G:$G,"&lt;="&amp;AX$2,Data!$H:$H,"&gt;="&amp;AX$2)</f>
        <v>0</v>
      </c>
      <c r="AY58" s="21">
        <f>SUMIFS(Data!$I:$I,Data!$B:$B,$B58,Data!$G:$G,"&lt;="&amp;AY$2,Data!$H:$H,"&gt;="&amp;AY$2)</f>
        <v>0</v>
      </c>
      <c r="AZ58" s="21">
        <f>SUMIFS(Data!$I:$I,Data!$B:$B,$B58,Data!$G:$G,"&lt;="&amp;AZ$2,Data!$H:$H,"&gt;="&amp;AZ$2)</f>
        <v>0</v>
      </c>
      <c r="BA58" s="21">
        <f>SUMIFS(Data!$I:$I,Data!$B:$B,$B58,Data!$G:$G,"&lt;="&amp;BA$2,Data!$H:$H,"&gt;="&amp;BA$2)</f>
        <v>0</v>
      </c>
      <c r="BB58" s="21">
        <f>SUMIFS(Data!$I:$I,Data!$B:$B,$B58,Data!$G:$G,"&lt;="&amp;BB$2,Data!$H:$H,"&gt;="&amp;BB$2)</f>
        <v>0</v>
      </c>
      <c r="BC58" s="21">
        <f>SUMIFS(Data!$I:$I,Data!$B:$B,$B58,Data!$G:$G,"&lt;="&amp;BC$2,Data!$H:$H,"&gt;="&amp;BC$2)</f>
        <v>0</v>
      </c>
      <c r="BD58" s="21">
        <f>SUMIFS(Data!$I:$I,Data!$B:$B,$B58,Data!$G:$G,"&lt;="&amp;BD$2,Data!$H:$H,"&gt;="&amp;BD$2)</f>
        <v>0</v>
      </c>
      <c r="BE58" s="21">
        <f>SUMIFS(Data!$I:$I,Data!$B:$B,$B58,Data!$G:$G,"&lt;="&amp;BE$2,Data!$H:$H,"&gt;="&amp;BE$2)</f>
        <v>0</v>
      </c>
      <c r="BF58" s="21">
        <f>SUMIFS(Data!$I:$I,Data!$B:$B,$B58,Data!$G:$G,"&lt;="&amp;BF$2,Data!$H:$H,"&gt;="&amp;BF$2)</f>
        <v>0</v>
      </c>
      <c r="BG58" s="21">
        <f>SUMIFS(Data!$I:$I,Data!$B:$B,$B58,Data!$G:$G,"&lt;="&amp;BG$2,Data!$H:$H,"&gt;="&amp;BG$2)</f>
        <v>0</v>
      </c>
      <c r="BH58" s="21">
        <f>SUMIFS(Data!$I:$I,Data!$B:$B,$B58,Data!$G:$G,"&lt;="&amp;BH$2,Data!$H:$H,"&gt;="&amp;BH$2)</f>
        <v>0</v>
      </c>
      <c r="BI58" s="21">
        <f>SUMIFS(Data!$I:$I,Data!$B:$B,$B58,Data!$G:$G,"&lt;="&amp;BI$2,Data!$H:$H,"&gt;="&amp;BI$2)</f>
        <v>0</v>
      </c>
      <c r="BJ58" s="21">
        <f>SUMIFS(Data!$I:$I,Data!$B:$B,$B58,Data!$G:$G,"&lt;="&amp;BJ$2,Data!$H:$H,"&gt;="&amp;BJ$2)</f>
        <v>0</v>
      </c>
      <c r="BK58" s="21">
        <f>SUMIFS(Data!$I:$I,Data!$B:$B,$B58,Data!$G:$G,"&lt;="&amp;BK$2,Data!$H:$H,"&gt;="&amp;BK$2)</f>
        <v>0</v>
      </c>
      <c r="BL58" s="21">
        <f>SUMIFS(Data!$I:$I,Data!$B:$B,$B58,Data!$G:$G,"&lt;="&amp;BL$2,Data!$H:$H,"&gt;="&amp;BL$2)</f>
        <v>0</v>
      </c>
      <c r="BM58" s="21">
        <f>SUMIFS(Data!$I:$I,Data!$B:$B,$B58,Data!$G:$G,"&lt;="&amp;BM$2,Data!$H:$H,"&gt;="&amp;BM$2)</f>
        <v>0</v>
      </c>
      <c r="BN58" s="21">
        <f>SUMIFS(Data!$I:$I,Data!$B:$B,$B58,Data!$G:$G,"&lt;="&amp;BN$2,Data!$H:$H,"&gt;="&amp;BN$2)</f>
        <v>0</v>
      </c>
      <c r="BO58" s="21">
        <f>SUMIFS(Data!$I:$I,Data!$B:$B,$B58,Data!$G:$G,"&lt;="&amp;BO$2,Data!$H:$H,"&gt;="&amp;BO$2)</f>
        <v>0</v>
      </c>
      <c r="BP58" s="21">
        <f>SUMIFS(Data!$I:$I,Data!$B:$B,$B58,Data!$G:$G,"&lt;="&amp;BP$2,Data!$H:$H,"&gt;="&amp;BP$2)</f>
        <v>0</v>
      </c>
      <c r="BQ58" s="21">
        <f>SUMIFS(Data!$I:$I,Data!$B:$B,$B58,Data!$G:$G,"&lt;="&amp;BQ$2,Data!$H:$H,"&gt;="&amp;BQ$2)</f>
        <v>0</v>
      </c>
      <c r="BR58" s="21">
        <f>SUMIFS(Data!$I:$I,Data!$B:$B,$B58,Data!$G:$G,"&lt;="&amp;BR$2,Data!$H:$H,"&gt;="&amp;BR$2)</f>
        <v>0</v>
      </c>
      <c r="BS58" s="21">
        <f>SUMIFS(Data!$I:$I,Data!$B:$B,$B58,Data!$G:$G,"&lt;="&amp;BS$2,Data!$H:$H,"&gt;="&amp;BS$2)</f>
        <v>0</v>
      </c>
      <c r="BT58" s="21">
        <f>SUMIFS(Data!$I:$I,Data!$B:$B,$B58,Data!$G:$G,"&lt;="&amp;BT$2,Data!$H:$H,"&gt;="&amp;BT$2)</f>
        <v>0</v>
      </c>
      <c r="BU58" s="21">
        <f>SUMIFS(Data!$I:$I,Data!$B:$B,$B58,Data!$G:$G,"&lt;="&amp;BU$2,Data!$H:$H,"&gt;="&amp;BU$2)</f>
        <v>0</v>
      </c>
      <c r="BV58" s="21">
        <f>SUMIFS(Data!$I:$I,Data!$B:$B,$B58,Data!$G:$G,"&lt;="&amp;BV$2,Data!$H:$H,"&gt;="&amp;BV$2)</f>
        <v>0</v>
      </c>
      <c r="BW58" s="21">
        <f>SUMIFS(Data!$I:$I,Data!$B:$B,$B58,Data!$G:$G,"&lt;="&amp;BW$2,Data!$H:$H,"&gt;="&amp;BW$2)</f>
        <v>0</v>
      </c>
      <c r="BX58" s="21">
        <f>SUMIFS(Data!$I:$I,Data!$B:$B,$B58,Data!$G:$G,"&lt;="&amp;BX$2,Data!$H:$H,"&gt;="&amp;BX$2)</f>
        <v>0</v>
      </c>
      <c r="BY58" s="21">
        <f>SUMIFS(Data!$I:$I,Data!$B:$B,$B58,Data!$G:$G,"&lt;="&amp;BY$2,Data!$H:$H,"&gt;="&amp;BY$2)</f>
        <v>0</v>
      </c>
      <c r="BZ58" s="21">
        <f>SUMIFS(Data!$I:$I,Data!$B:$B,$B58,Data!$G:$G,"&lt;="&amp;BZ$2,Data!$H:$H,"&gt;="&amp;BZ$2)</f>
        <v>0</v>
      </c>
      <c r="CA58" s="22">
        <f t="shared" si="130"/>
        <v>10000</v>
      </c>
    </row>
    <row r="59" spans="2:79" x14ac:dyDescent="0.25">
      <c r="B59" s="11" t="s">
        <v>158</v>
      </c>
      <c r="C59" s="11" t="str">
        <f>VLOOKUP(B59,Data!B:C,2,FALSE)</f>
        <v>Legacy</v>
      </c>
      <c r="D59" s="21">
        <f>SUMIFS(Data!$I:$I,Data!$B:$B,$B59,Data!$G:$G,"&lt;="&amp;D$2,Data!$H:$H,"&gt;="&amp;D$2)</f>
        <v>0</v>
      </c>
      <c r="E59" s="21">
        <f>SUMIFS(Data!$I:$I,Data!$B:$B,$B59,Data!$G:$G,"&lt;="&amp;E$2,Data!$H:$H,"&gt;="&amp;E$2)</f>
        <v>0</v>
      </c>
      <c r="F59" s="21">
        <f>SUMIFS(Data!$I:$I,Data!$B:$B,$B59,Data!$G:$G,"&lt;="&amp;F$2,Data!$H:$H,"&gt;="&amp;F$2)</f>
        <v>0</v>
      </c>
      <c r="G59" s="21">
        <f>SUMIFS(Data!$I:$I,Data!$B:$B,$B59,Data!$G:$G,"&lt;="&amp;G$2,Data!$H:$H,"&gt;="&amp;G$2)</f>
        <v>0</v>
      </c>
      <c r="H59" s="21">
        <f>SUMIFS(Data!$I:$I,Data!$B:$B,$B59,Data!$G:$G,"&lt;="&amp;H$2,Data!$H:$H,"&gt;="&amp;H$2)</f>
        <v>0</v>
      </c>
      <c r="I59" s="21">
        <f>SUMIFS(Data!$I:$I,Data!$B:$B,$B59,Data!$G:$G,"&lt;="&amp;I$2,Data!$H:$H,"&gt;="&amp;I$2)</f>
        <v>0</v>
      </c>
      <c r="J59" s="21">
        <f>SUMIFS(Data!$I:$I,Data!$B:$B,$B59,Data!$G:$G,"&lt;="&amp;J$2,Data!$H:$H,"&gt;="&amp;J$2)</f>
        <v>10833.333333333334</v>
      </c>
      <c r="K59" s="21">
        <f>SUMIFS(Data!$I:$I,Data!$B:$B,$B59,Data!$G:$G,"&lt;="&amp;K$2,Data!$H:$H,"&gt;="&amp;K$2)</f>
        <v>10833.333333333334</v>
      </c>
      <c r="L59" s="21">
        <f>SUMIFS(Data!$I:$I,Data!$B:$B,$B59,Data!$G:$G,"&lt;="&amp;L$2,Data!$H:$H,"&gt;="&amp;L$2)</f>
        <v>10833.333333333334</v>
      </c>
      <c r="M59" s="21">
        <f>SUMIFS(Data!$I:$I,Data!$B:$B,$B59,Data!$G:$G,"&lt;="&amp;M$2,Data!$H:$H,"&gt;="&amp;M$2)</f>
        <v>0</v>
      </c>
      <c r="N59" s="21">
        <f>SUMIFS(Data!$I:$I,Data!$B:$B,$B59,Data!$G:$G,"&lt;="&amp;N$2,Data!$H:$H,"&gt;="&amp;N$2)</f>
        <v>0</v>
      </c>
      <c r="O59" s="21">
        <f>SUMIFS(Data!$I:$I,Data!$B:$B,$B59,Data!$G:$G,"&lt;="&amp;O$2,Data!$H:$H,"&gt;="&amp;O$2)</f>
        <v>0</v>
      </c>
      <c r="P59" s="21">
        <f>SUMIFS(Data!$I:$I,Data!$B:$B,$B59,Data!$G:$G,"&lt;="&amp;P$2,Data!$H:$H,"&gt;="&amp;P$2)</f>
        <v>0</v>
      </c>
      <c r="Q59" s="21">
        <f>SUMIFS(Data!$I:$I,Data!$B:$B,$B59,Data!$G:$G,"&lt;="&amp;Q$2,Data!$H:$H,"&gt;="&amp;Q$2)</f>
        <v>0</v>
      </c>
      <c r="R59" s="21">
        <f>SUMIFS(Data!$I:$I,Data!$B:$B,$B59,Data!$G:$G,"&lt;="&amp;R$2,Data!$H:$H,"&gt;="&amp;R$2)</f>
        <v>0</v>
      </c>
      <c r="S59" s="21">
        <f>SUMIFS(Data!$I:$I,Data!$B:$B,$B59,Data!$G:$G,"&lt;="&amp;S$2,Data!$H:$H,"&gt;="&amp;S$2)</f>
        <v>500</v>
      </c>
      <c r="T59" s="21">
        <f>SUMIFS(Data!$I:$I,Data!$B:$B,$B59,Data!$G:$G,"&lt;="&amp;T$2,Data!$H:$H,"&gt;="&amp;T$2)</f>
        <v>500</v>
      </c>
      <c r="U59" s="21">
        <f>SUMIFS(Data!$I:$I,Data!$B:$B,$B59,Data!$G:$G,"&lt;="&amp;U$2,Data!$H:$H,"&gt;="&amp;U$2)</f>
        <v>500</v>
      </c>
      <c r="V59" s="21">
        <f>SUMIFS(Data!$I:$I,Data!$B:$B,$B59,Data!$G:$G,"&lt;="&amp;V$2,Data!$H:$H,"&gt;="&amp;V$2)</f>
        <v>0</v>
      </c>
      <c r="W59" s="21">
        <f>SUMIFS(Data!$I:$I,Data!$B:$B,$B59,Data!$G:$G,"&lt;="&amp;W$2,Data!$H:$H,"&gt;="&amp;W$2)</f>
        <v>0</v>
      </c>
      <c r="X59" s="21">
        <f>SUMIFS(Data!$I:$I,Data!$B:$B,$B59,Data!$G:$G,"&lt;="&amp;X$2,Data!$H:$H,"&gt;="&amp;X$2)</f>
        <v>0</v>
      </c>
      <c r="Y59" s="21">
        <f>SUMIFS(Data!$I:$I,Data!$B:$B,$B59,Data!$G:$G,"&lt;="&amp;Y$2,Data!$H:$H,"&gt;="&amp;Y$2)</f>
        <v>0</v>
      </c>
      <c r="Z59" s="21">
        <f>SUMIFS(Data!$I:$I,Data!$B:$B,$B59,Data!$G:$G,"&lt;="&amp;Z$2,Data!$H:$H,"&gt;="&amp;Z$2)</f>
        <v>0</v>
      </c>
      <c r="AA59" s="21">
        <f>SUMIFS(Data!$I:$I,Data!$B:$B,$B59,Data!$G:$G,"&lt;="&amp;AA$2,Data!$H:$H,"&gt;="&amp;AA$2)</f>
        <v>0</v>
      </c>
      <c r="AB59" s="21">
        <f>SUMIFS(Data!$I:$I,Data!$B:$B,$B59,Data!$G:$G,"&lt;="&amp;AB$2,Data!$H:$H,"&gt;="&amp;AB$2)</f>
        <v>0</v>
      </c>
      <c r="AC59" s="21">
        <f>SUMIFS(Data!$I:$I,Data!$B:$B,$B59,Data!$G:$G,"&lt;="&amp;AC$2,Data!$H:$H,"&gt;="&amp;AC$2)</f>
        <v>0</v>
      </c>
      <c r="AD59" s="21">
        <f>SUMIFS(Data!$I:$I,Data!$B:$B,$B59,Data!$G:$G,"&lt;="&amp;AD$2,Data!$H:$H,"&gt;="&amp;AD$2)</f>
        <v>0</v>
      </c>
      <c r="AE59" s="21">
        <f>SUMIFS(Data!$I:$I,Data!$B:$B,$B59,Data!$G:$G,"&lt;="&amp;AE$2,Data!$H:$H,"&gt;="&amp;AE$2)</f>
        <v>0</v>
      </c>
      <c r="AF59" s="21">
        <f>SUMIFS(Data!$I:$I,Data!$B:$B,$B59,Data!$G:$G,"&lt;="&amp;AF$2,Data!$H:$H,"&gt;="&amp;AF$2)</f>
        <v>0</v>
      </c>
      <c r="AG59" s="21">
        <f>SUMIFS(Data!$I:$I,Data!$B:$B,$B59,Data!$G:$G,"&lt;="&amp;AG$2,Data!$H:$H,"&gt;="&amp;AG$2)</f>
        <v>0</v>
      </c>
      <c r="AH59" s="21">
        <f>SUMIFS(Data!$I:$I,Data!$B:$B,$B59,Data!$G:$G,"&lt;="&amp;AH$2,Data!$H:$H,"&gt;="&amp;AH$2)</f>
        <v>0</v>
      </c>
      <c r="AI59" s="21">
        <f>SUMIFS(Data!$I:$I,Data!$B:$B,$B59,Data!$G:$G,"&lt;="&amp;AI$2,Data!$H:$H,"&gt;="&amp;AI$2)</f>
        <v>0</v>
      </c>
      <c r="AJ59" s="21">
        <f>SUMIFS(Data!$I:$I,Data!$B:$B,$B59,Data!$G:$G,"&lt;="&amp;AJ$2,Data!$H:$H,"&gt;="&amp;AJ$2)</f>
        <v>0</v>
      </c>
      <c r="AK59" s="21">
        <f>SUMIFS(Data!$I:$I,Data!$B:$B,$B59,Data!$G:$G,"&lt;="&amp;AK$2,Data!$H:$H,"&gt;="&amp;AK$2)</f>
        <v>0</v>
      </c>
      <c r="AL59" s="21">
        <f>SUMIFS(Data!$I:$I,Data!$B:$B,$B59,Data!$G:$G,"&lt;="&amp;AL$2,Data!$H:$H,"&gt;="&amp;AL$2)</f>
        <v>0</v>
      </c>
      <c r="AM59" s="21">
        <f>SUMIFS(Data!$I:$I,Data!$B:$B,$B59,Data!$G:$G,"&lt;="&amp;AM$2,Data!$H:$H,"&gt;="&amp;AM$2)</f>
        <v>0</v>
      </c>
      <c r="AN59" s="21">
        <f>SUMIFS(Data!$I:$I,Data!$B:$B,$B59,Data!$G:$G,"&lt;="&amp;AN$2,Data!$H:$H,"&gt;="&amp;AN$2)</f>
        <v>0</v>
      </c>
      <c r="AO59" s="21">
        <f>SUMIFS(Data!$I:$I,Data!$B:$B,$B59,Data!$G:$G,"&lt;="&amp;AO$2,Data!$H:$H,"&gt;="&amp;AO$2)</f>
        <v>0</v>
      </c>
      <c r="AP59" s="21">
        <f>SUMIFS(Data!$I:$I,Data!$B:$B,$B59,Data!$G:$G,"&lt;="&amp;AP$2,Data!$H:$H,"&gt;="&amp;AP$2)</f>
        <v>0</v>
      </c>
      <c r="AQ59" s="21">
        <f>SUMIFS(Data!$I:$I,Data!$B:$B,$B59,Data!$G:$G,"&lt;="&amp;AQ$2,Data!$H:$H,"&gt;="&amp;AQ$2)</f>
        <v>0</v>
      </c>
      <c r="AR59" s="21">
        <f>SUMIFS(Data!$I:$I,Data!$B:$B,$B59,Data!$G:$G,"&lt;="&amp;AR$2,Data!$H:$H,"&gt;="&amp;AR$2)</f>
        <v>0</v>
      </c>
      <c r="AS59" s="21">
        <f>SUMIFS(Data!$I:$I,Data!$B:$B,$B59,Data!$G:$G,"&lt;="&amp;AS$2,Data!$H:$H,"&gt;="&amp;AS$2)</f>
        <v>0</v>
      </c>
      <c r="AT59" s="21">
        <f>SUMIFS(Data!$I:$I,Data!$B:$B,$B59,Data!$G:$G,"&lt;="&amp;AT$2,Data!$H:$H,"&gt;="&amp;AT$2)</f>
        <v>0</v>
      </c>
      <c r="AU59" s="21">
        <f>SUMIFS(Data!$I:$I,Data!$B:$B,$B59,Data!$G:$G,"&lt;="&amp;AU$2,Data!$H:$H,"&gt;="&amp;AU$2)</f>
        <v>0</v>
      </c>
      <c r="AV59" s="21">
        <f>SUMIFS(Data!$I:$I,Data!$B:$B,$B59,Data!$G:$G,"&lt;="&amp;AV$2,Data!$H:$H,"&gt;="&amp;AV$2)</f>
        <v>0</v>
      </c>
      <c r="AW59" s="21">
        <f>SUMIFS(Data!$I:$I,Data!$B:$B,$B59,Data!$G:$G,"&lt;="&amp;AW$2,Data!$H:$H,"&gt;="&amp;AW$2)</f>
        <v>0</v>
      </c>
      <c r="AX59" s="21">
        <f>SUMIFS(Data!$I:$I,Data!$B:$B,$B59,Data!$G:$G,"&lt;="&amp;AX$2,Data!$H:$H,"&gt;="&amp;AX$2)</f>
        <v>0</v>
      </c>
      <c r="AY59" s="21">
        <f>SUMIFS(Data!$I:$I,Data!$B:$B,$B59,Data!$G:$G,"&lt;="&amp;AY$2,Data!$H:$H,"&gt;="&amp;AY$2)</f>
        <v>0</v>
      </c>
      <c r="AZ59" s="21">
        <f>SUMIFS(Data!$I:$I,Data!$B:$B,$B59,Data!$G:$G,"&lt;="&amp;AZ$2,Data!$H:$H,"&gt;="&amp;AZ$2)</f>
        <v>0</v>
      </c>
      <c r="BA59" s="21">
        <f>SUMIFS(Data!$I:$I,Data!$B:$B,$B59,Data!$G:$G,"&lt;="&amp;BA$2,Data!$H:$H,"&gt;="&amp;BA$2)</f>
        <v>0</v>
      </c>
      <c r="BB59" s="21">
        <f>SUMIFS(Data!$I:$I,Data!$B:$B,$B59,Data!$G:$G,"&lt;="&amp;BB$2,Data!$H:$H,"&gt;="&amp;BB$2)</f>
        <v>0</v>
      </c>
      <c r="BC59" s="21">
        <f>SUMIFS(Data!$I:$I,Data!$B:$B,$B59,Data!$G:$G,"&lt;="&amp;BC$2,Data!$H:$H,"&gt;="&amp;BC$2)</f>
        <v>0</v>
      </c>
      <c r="BD59" s="21">
        <f>SUMIFS(Data!$I:$I,Data!$B:$B,$B59,Data!$G:$G,"&lt;="&amp;BD$2,Data!$H:$H,"&gt;="&amp;BD$2)</f>
        <v>0</v>
      </c>
      <c r="BE59" s="21">
        <f>SUMIFS(Data!$I:$I,Data!$B:$B,$B59,Data!$G:$G,"&lt;="&amp;BE$2,Data!$H:$H,"&gt;="&amp;BE$2)</f>
        <v>0</v>
      </c>
      <c r="BF59" s="21">
        <f>SUMIFS(Data!$I:$I,Data!$B:$B,$B59,Data!$G:$G,"&lt;="&amp;BF$2,Data!$H:$H,"&gt;="&amp;BF$2)</f>
        <v>0</v>
      </c>
      <c r="BG59" s="21">
        <f>SUMIFS(Data!$I:$I,Data!$B:$B,$B59,Data!$G:$G,"&lt;="&amp;BG$2,Data!$H:$H,"&gt;="&amp;BG$2)</f>
        <v>0</v>
      </c>
      <c r="BH59" s="21">
        <f>SUMIFS(Data!$I:$I,Data!$B:$B,$B59,Data!$G:$G,"&lt;="&amp;BH$2,Data!$H:$H,"&gt;="&amp;BH$2)</f>
        <v>0</v>
      </c>
      <c r="BI59" s="21">
        <f>SUMIFS(Data!$I:$I,Data!$B:$B,$B59,Data!$G:$G,"&lt;="&amp;BI$2,Data!$H:$H,"&gt;="&amp;BI$2)</f>
        <v>0</v>
      </c>
      <c r="BJ59" s="21">
        <f>SUMIFS(Data!$I:$I,Data!$B:$B,$B59,Data!$G:$G,"&lt;="&amp;BJ$2,Data!$H:$H,"&gt;="&amp;BJ$2)</f>
        <v>0</v>
      </c>
      <c r="BK59" s="21">
        <f>SUMIFS(Data!$I:$I,Data!$B:$B,$B59,Data!$G:$G,"&lt;="&amp;BK$2,Data!$H:$H,"&gt;="&amp;BK$2)</f>
        <v>0</v>
      </c>
      <c r="BL59" s="21">
        <f>SUMIFS(Data!$I:$I,Data!$B:$B,$B59,Data!$G:$G,"&lt;="&amp;BL$2,Data!$H:$H,"&gt;="&amp;BL$2)</f>
        <v>0</v>
      </c>
      <c r="BM59" s="21">
        <f>SUMIFS(Data!$I:$I,Data!$B:$B,$B59,Data!$G:$G,"&lt;="&amp;BM$2,Data!$H:$H,"&gt;="&amp;BM$2)</f>
        <v>0</v>
      </c>
      <c r="BN59" s="21">
        <f>SUMIFS(Data!$I:$I,Data!$B:$B,$B59,Data!$G:$G,"&lt;="&amp;BN$2,Data!$H:$H,"&gt;="&amp;BN$2)</f>
        <v>0</v>
      </c>
      <c r="BO59" s="21">
        <f>SUMIFS(Data!$I:$I,Data!$B:$B,$B59,Data!$G:$G,"&lt;="&amp;BO$2,Data!$H:$H,"&gt;="&amp;BO$2)</f>
        <v>0</v>
      </c>
      <c r="BP59" s="21">
        <f>SUMIFS(Data!$I:$I,Data!$B:$B,$B59,Data!$G:$G,"&lt;="&amp;BP$2,Data!$H:$H,"&gt;="&amp;BP$2)</f>
        <v>0</v>
      </c>
      <c r="BQ59" s="21">
        <f>SUMIFS(Data!$I:$I,Data!$B:$B,$B59,Data!$G:$G,"&lt;="&amp;BQ$2,Data!$H:$H,"&gt;="&amp;BQ$2)</f>
        <v>0</v>
      </c>
      <c r="BR59" s="21">
        <f>SUMIFS(Data!$I:$I,Data!$B:$B,$B59,Data!$G:$G,"&lt;="&amp;BR$2,Data!$H:$H,"&gt;="&amp;BR$2)</f>
        <v>0</v>
      </c>
      <c r="BS59" s="21">
        <f>SUMIFS(Data!$I:$I,Data!$B:$B,$B59,Data!$G:$G,"&lt;="&amp;BS$2,Data!$H:$H,"&gt;="&amp;BS$2)</f>
        <v>0</v>
      </c>
      <c r="BT59" s="21">
        <f>SUMIFS(Data!$I:$I,Data!$B:$B,$B59,Data!$G:$G,"&lt;="&amp;BT$2,Data!$H:$H,"&gt;="&amp;BT$2)</f>
        <v>0</v>
      </c>
      <c r="BU59" s="21">
        <f>SUMIFS(Data!$I:$I,Data!$B:$B,$B59,Data!$G:$G,"&lt;="&amp;BU$2,Data!$H:$H,"&gt;="&amp;BU$2)</f>
        <v>0</v>
      </c>
      <c r="BV59" s="21">
        <f>SUMIFS(Data!$I:$I,Data!$B:$B,$B59,Data!$G:$G,"&lt;="&amp;BV$2,Data!$H:$H,"&gt;="&amp;BV$2)</f>
        <v>0</v>
      </c>
      <c r="BW59" s="21">
        <f>SUMIFS(Data!$I:$I,Data!$B:$B,$B59,Data!$G:$G,"&lt;="&amp;BW$2,Data!$H:$H,"&gt;="&amp;BW$2)</f>
        <v>0</v>
      </c>
      <c r="BX59" s="21">
        <f>SUMIFS(Data!$I:$I,Data!$B:$B,$B59,Data!$G:$G,"&lt;="&amp;BX$2,Data!$H:$H,"&gt;="&amp;BX$2)</f>
        <v>0</v>
      </c>
      <c r="BY59" s="21">
        <f>SUMIFS(Data!$I:$I,Data!$B:$B,$B59,Data!$G:$G,"&lt;="&amp;BY$2,Data!$H:$H,"&gt;="&amp;BY$2)</f>
        <v>0</v>
      </c>
      <c r="BZ59" s="21">
        <f>SUMIFS(Data!$I:$I,Data!$B:$B,$B59,Data!$G:$G,"&lt;="&amp;BZ$2,Data!$H:$H,"&gt;="&amp;BZ$2)</f>
        <v>0</v>
      </c>
      <c r="CA59" s="22">
        <f t="shared" si="130"/>
        <v>34000</v>
      </c>
    </row>
    <row r="60" spans="2:79" x14ac:dyDescent="0.25">
      <c r="B60" s="11" t="s">
        <v>211</v>
      </c>
      <c r="C60" s="11" t="str">
        <f>VLOOKUP(B60,Data!B:C,2,FALSE)</f>
        <v>Legacy</v>
      </c>
      <c r="D60" s="21">
        <f>SUMIFS(Data!$I:$I,Data!$B:$B,$B60,Data!$G:$G,"&lt;="&amp;D$2,Data!$H:$H,"&gt;="&amp;D$2)</f>
        <v>0</v>
      </c>
      <c r="E60" s="21">
        <f>SUMIFS(Data!$I:$I,Data!$B:$B,$B60,Data!$G:$G,"&lt;="&amp;E$2,Data!$H:$H,"&gt;="&amp;E$2)</f>
        <v>0</v>
      </c>
      <c r="F60" s="21">
        <f>SUMIFS(Data!$I:$I,Data!$B:$B,$B60,Data!$G:$G,"&lt;="&amp;F$2,Data!$H:$H,"&gt;="&amp;F$2)</f>
        <v>0</v>
      </c>
      <c r="G60" s="21">
        <f>SUMIFS(Data!$I:$I,Data!$B:$B,$B60,Data!$G:$G,"&lt;="&amp;G$2,Data!$H:$H,"&gt;="&amp;G$2)</f>
        <v>0</v>
      </c>
      <c r="H60" s="21">
        <f>SUMIFS(Data!$I:$I,Data!$B:$B,$B60,Data!$G:$G,"&lt;="&amp;H$2,Data!$H:$H,"&gt;="&amp;H$2)</f>
        <v>0</v>
      </c>
      <c r="I60" s="21">
        <f>SUMIFS(Data!$I:$I,Data!$B:$B,$B60,Data!$G:$G,"&lt;="&amp;I$2,Data!$H:$H,"&gt;="&amp;I$2)</f>
        <v>0</v>
      </c>
      <c r="J60" s="21">
        <f>SUMIFS(Data!$I:$I,Data!$B:$B,$B60,Data!$G:$G,"&lt;="&amp;J$2,Data!$H:$H,"&gt;="&amp;J$2)</f>
        <v>0</v>
      </c>
      <c r="K60" s="21">
        <f>SUMIFS(Data!$I:$I,Data!$B:$B,$B60,Data!$G:$G,"&lt;="&amp;K$2,Data!$H:$H,"&gt;="&amp;K$2)</f>
        <v>0</v>
      </c>
      <c r="L60" s="21">
        <f>SUMIFS(Data!$I:$I,Data!$B:$B,$B60,Data!$G:$G,"&lt;="&amp;L$2,Data!$H:$H,"&gt;="&amp;L$2)</f>
        <v>0</v>
      </c>
      <c r="M60" s="21">
        <f>SUMIFS(Data!$I:$I,Data!$B:$B,$B60,Data!$G:$G,"&lt;="&amp;M$2,Data!$H:$H,"&gt;="&amp;M$2)</f>
        <v>7500</v>
      </c>
      <c r="N60" s="21">
        <f>SUMIFS(Data!$I:$I,Data!$B:$B,$B60,Data!$G:$G,"&lt;="&amp;N$2,Data!$H:$H,"&gt;="&amp;N$2)</f>
        <v>7500</v>
      </c>
      <c r="O60" s="21">
        <f>SUMIFS(Data!$I:$I,Data!$B:$B,$B60,Data!$G:$G,"&lt;="&amp;O$2,Data!$H:$H,"&gt;="&amp;O$2)</f>
        <v>7500</v>
      </c>
      <c r="P60" s="21">
        <f>SUMIFS(Data!$I:$I,Data!$B:$B,$B60,Data!$G:$G,"&lt;="&amp;P$2,Data!$H:$H,"&gt;="&amp;P$2)</f>
        <v>1666.6666666666667</v>
      </c>
      <c r="Q60" s="21">
        <f>SUMIFS(Data!$I:$I,Data!$B:$B,$B60,Data!$G:$G,"&lt;="&amp;Q$2,Data!$H:$H,"&gt;="&amp;Q$2)</f>
        <v>1666.6666666666667</v>
      </c>
      <c r="R60" s="21">
        <f>SUMIFS(Data!$I:$I,Data!$B:$B,$B60,Data!$G:$G,"&lt;="&amp;R$2,Data!$H:$H,"&gt;="&amp;R$2)</f>
        <v>1666.6666666666667</v>
      </c>
      <c r="S60" s="21">
        <f>SUMIFS(Data!$I:$I,Data!$B:$B,$B60,Data!$G:$G,"&lt;="&amp;S$2,Data!$H:$H,"&gt;="&amp;S$2)</f>
        <v>0</v>
      </c>
      <c r="T60" s="21">
        <f>SUMIFS(Data!$I:$I,Data!$B:$B,$B60,Data!$G:$G,"&lt;="&amp;T$2,Data!$H:$H,"&gt;="&amp;T$2)</f>
        <v>0</v>
      </c>
      <c r="U60" s="21">
        <f>SUMIFS(Data!$I:$I,Data!$B:$B,$B60,Data!$G:$G,"&lt;="&amp;U$2,Data!$H:$H,"&gt;="&amp;U$2)</f>
        <v>0</v>
      </c>
      <c r="V60" s="21">
        <f>SUMIFS(Data!$I:$I,Data!$B:$B,$B60,Data!$G:$G,"&lt;="&amp;V$2,Data!$H:$H,"&gt;="&amp;V$2)</f>
        <v>0</v>
      </c>
      <c r="W60" s="21">
        <f>SUMIFS(Data!$I:$I,Data!$B:$B,$B60,Data!$G:$G,"&lt;="&amp;W$2,Data!$H:$H,"&gt;="&amp;W$2)</f>
        <v>0</v>
      </c>
      <c r="X60" s="21">
        <f>SUMIFS(Data!$I:$I,Data!$B:$B,$B60,Data!$G:$G,"&lt;="&amp;X$2,Data!$H:$H,"&gt;="&amp;X$2)</f>
        <v>0</v>
      </c>
      <c r="Y60" s="21">
        <f>SUMIFS(Data!$I:$I,Data!$B:$B,$B60,Data!$G:$G,"&lt;="&amp;Y$2,Data!$H:$H,"&gt;="&amp;Y$2)</f>
        <v>0</v>
      </c>
      <c r="Z60" s="21">
        <f>SUMIFS(Data!$I:$I,Data!$B:$B,$B60,Data!$G:$G,"&lt;="&amp;Z$2,Data!$H:$H,"&gt;="&amp;Z$2)</f>
        <v>0</v>
      </c>
      <c r="AA60" s="21">
        <f>SUMIFS(Data!$I:$I,Data!$B:$B,$B60,Data!$G:$G,"&lt;="&amp;AA$2,Data!$H:$H,"&gt;="&amp;AA$2)</f>
        <v>0</v>
      </c>
      <c r="AB60" s="21">
        <f>SUMIFS(Data!$I:$I,Data!$B:$B,$B60,Data!$G:$G,"&lt;="&amp;AB$2,Data!$H:$H,"&gt;="&amp;AB$2)</f>
        <v>0</v>
      </c>
      <c r="AC60" s="21">
        <f>SUMIFS(Data!$I:$I,Data!$B:$B,$B60,Data!$G:$G,"&lt;="&amp;AC$2,Data!$H:$H,"&gt;="&amp;AC$2)</f>
        <v>0</v>
      </c>
      <c r="AD60" s="21">
        <f>SUMIFS(Data!$I:$I,Data!$B:$B,$B60,Data!$G:$G,"&lt;="&amp;AD$2,Data!$H:$H,"&gt;="&amp;AD$2)</f>
        <v>0</v>
      </c>
      <c r="AE60" s="21">
        <f>SUMIFS(Data!$I:$I,Data!$B:$B,$B60,Data!$G:$G,"&lt;="&amp;AE$2,Data!$H:$H,"&gt;="&amp;AE$2)</f>
        <v>0</v>
      </c>
      <c r="AF60" s="21">
        <f>SUMIFS(Data!$I:$I,Data!$B:$B,$B60,Data!$G:$G,"&lt;="&amp;AF$2,Data!$H:$H,"&gt;="&amp;AF$2)</f>
        <v>0</v>
      </c>
      <c r="AG60" s="21">
        <f>SUMIFS(Data!$I:$I,Data!$B:$B,$B60,Data!$G:$G,"&lt;="&amp;AG$2,Data!$H:$H,"&gt;="&amp;AG$2)</f>
        <v>0</v>
      </c>
      <c r="AH60" s="21">
        <f>SUMIFS(Data!$I:$I,Data!$B:$B,$B60,Data!$G:$G,"&lt;="&amp;AH$2,Data!$H:$H,"&gt;="&amp;AH$2)</f>
        <v>0</v>
      </c>
      <c r="AI60" s="21">
        <f>SUMIFS(Data!$I:$I,Data!$B:$B,$B60,Data!$G:$G,"&lt;="&amp;AI$2,Data!$H:$H,"&gt;="&amp;AI$2)</f>
        <v>0</v>
      </c>
      <c r="AJ60" s="21">
        <f>SUMIFS(Data!$I:$I,Data!$B:$B,$B60,Data!$G:$G,"&lt;="&amp;AJ$2,Data!$H:$H,"&gt;="&amp;AJ$2)</f>
        <v>0</v>
      </c>
      <c r="AK60" s="21">
        <f>SUMIFS(Data!$I:$I,Data!$B:$B,$B60,Data!$G:$G,"&lt;="&amp;AK$2,Data!$H:$H,"&gt;="&amp;AK$2)</f>
        <v>0</v>
      </c>
      <c r="AL60" s="21">
        <f>SUMIFS(Data!$I:$I,Data!$B:$B,$B60,Data!$G:$G,"&lt;="&amp;AL$2,Data!$H:$H,"&gt;="&amp;AL$2)</f>
        <v>0</v>
      </c>
      <c r="AM60" s="21">
        <f>SUMIFS(Data!$I:$I,Data!$B:$B,$B60,Data!$G:$G,"&lt;="&amp;AM$2,Data!$H:$H,"&gt;="&amp;AM$2)</f>
        <v>0</v>
      </c>
      <c r="AN60" s="21">
        <f>SUMIFS(Data!$I:$I,Data!$B:$B,$B60,Data!$G:$G,"&lt;="&amp;AN$2,Data!$H:$H,"&gt;="&amp;AN$2)</f>
        <v>0</v>
      </c>
      <c r="AO60" s="21">
        <f>SUMIFS(Data!$I:$I,Data!$B:$B,$B60,Data!$G:$G,"&lt;="&amp;AO$2,Data!$H:$H,"&gt;="&amp;AO$2)</f>
        <v>0</v>
      </c>
      <c r="AP60" s="21">
        <f>SUMIFS(Data!$I:$I,Data!$B:$B,$B60,Data!$G:$G,"&lt;="&amp;AP$2,Data!$H:$H,"&gt;="&amp;AP$2)</f>
        <v>0</v>
      </c>
      <c r="AQ60" s="21">
        <f>SUMIFS(Data!$I:$I,Data!$B:$B,$B60,Data!$G:$G,"&lt;="&amp;AQ$2,Data!$H:$H,"&gt;="&amp;AQ$2)</f>
        <v>0</v>
      </c>
      <c r="AR60" s="21">
        <f>SUMIFS(Data!$I:$I,Data!$B:$B,$B60,Data!$G:$G,"&lt;="&amp;AR$2,Data!$H:$H,"&gt;="&amp;AR$2)</f>
        <v>0</v>
      </c>
      <c r="AS60" s="21">
        <f>SUMIFS(Data!$I:$I,Data!$B:$B,$B60,Data!$G:$G,"&lt;="&amp;AS$2,Data!$H:$H,"&gt;="&amp;AS$2)</f>
        <v>0</v>
      </c>
      <c r="AT60" s="21">
        <f>SUMIFS(Data!$I:$I,Data!$B:$B,$B60,Data!$G:$G,"&lt;="&amp;AT$2,Data!$H:$H,"&gt;="&amp;AT$2)</f>
        <v>0</v>
      </c>
      <c r="AU60" s="21">
        <f>SUMIFS(Data!$I:$I,Data!$B:$B,$B60,Data!$G:$G,"&lt;="&amp;AU$2,Data!$H:$H,"&gt;="&amp;AU$2)</f>
        <v>0</v>
      </c>
      <c r="AV60" s="21">
        <f>SUMIFS(Data!$I:$I,Data!$B:$B,$B60,Data!$G:$G,"&lt;="&amp;AV$2,Data!$H:$H,"&gt;="&amp;AV$2)</f>
        <v>0</v>
      </c>
      <c r="AW60" s="21">
        <f>SUMIFS(Data!$I:$I,Data!$B:$B,$B60,Data!$G:$G,"&lt;="&amp;AW$2,Data!$H:$H,"&gt;="&amp;AW$2)</f>
        <v>0</v>
      </c>
      <c r="AX60" s="21">
        <f>SUMIFS(Data!$I:$I,Data!$B:$B,$B60,Data!$G:$G,"&lt;="&amp;AX$2,Data!$H:$H,"&gt;="&amp;AX$2)</f>
        <v>0</v>
      </c>
      <c r="AY60" s="21">
        <f>SUMIFS(Data!$I:$I,Data!$B:$B,$B60,Data!$G:$G,"&lt;="&amp;AY$2,Data!$H:$H,"&gt;="&amp;AY$2)</f>
        <v>0</v>
      </c>
      <c r="AZ60" s="21">
        <f>SUMIFS(Data!$I:$I,Data!$B:$B,$B60,Data!$G:$G,"&lt;="&amp;AZ$2,Data!$H:$H,"&gt;="&amp;AZ$2)</f>
        <v>0</v>
      </c>
      <c r="BA60" s="21">
        <f>SUMIFS(Data!$I:$I,Data!$B:$B,$B60,Data!$G:$G,"&lt;="&amp;BA$2,Data!$H:$H,"&gt;="&amp;BA$2)</f>
        <v>0</v>
      </c>
      <c r="BB60" s="21">
        <f>SUMIFS(Data!$I:$I,Data!$B:$B,$B60,Data!$G:$G,"&lt;="&amp;BB$2,Data!$H:$H,"&gt;="&amp;BB$2)</f>
        <v>0</v>
      </c>
      <c r="BC60" s="21">
        <f>SUMIFS(Data!$I:$I,Data!$B:$B,$B60,Data!$G:$G,"&lt;="&amp;BC$2,Data!$H:$H,"&gt;="&amp;BC$2)</f>
        <v>0</v>
      </c>
      <c r="BD60" s="21">
        <f>SUMIFS(Data!$I:$I,Data!$B:$B,$B60,Data!$G:$G,"&lt;="&amp;BD$2,Data!$H:$H,"&gt;="&amp;BD$2)</f>
        <v>0</v>
      </c>
      <c r="BE60" s="21">
        <f>SUMIFS(Data!$I:$I,Data!$B:$B,$B60,Data!$G:$G,"&lt;="&amp;BE$2,Data!$H:$H,"&gt;="&amp;BE$2)</f>
        <v>0</v>
      </c>
      <c r="BF60" s="21">
        <f>SUMIFS(Data!$I:$I,Data!$B:$B,$B60,Data!$G:$G,"&lt;="&amp;BF$2,Data!$H:$H,"&gt;="&amp;BF$2)</f>
        <v>0</v>
      </c>
      <c r="BG60" s="21">
        <f>SUMIFS(Data!$I:$I,Data!$B:$B,$B60,Data!$G:$G,"&lt;="&amp;BG$2,Data!$H:$H,"&gt;="&amp;BG$2)</f>
        <v>0</v>
      </c>
      <c r="BH60" s="21">
        <f>SUMIFS(Data!$I:$I,Data!$B:$B,$B60,Data!$G:$G,"&lt;="&amp;BH$2,Data!$H:$H,"&gt;="&amp;BH$2)</f>
        <v>0</v>
      </c>
      <c r="BI60" s="21">
        <f>SUMIFS(Data!$I:$I,Data!$B:$B,$B60,Data!$G:$G,"&lt;="&amp;BI$2,Data!$H:$H,"&gt;="&amp;BI$2)</f>
        <v>0</v>
      </c>
      <c r="BJ60" s="21">
        <f>SUMIFS(Data!$I:$I,Data!$B:$B,$B60,Data!$G:$G,"&lt;="&amp;BJ$2,Data!$H:$H,"&gt;="&amp;BJ$2)</f>
        <v>0</v>
      </c>
      <c r="BK60" s="21">
        <f>SUMIFS(Data!$I:$I,Data!$B:$B,$B60,Data!$G:$G,"&lt;="&amp;BK$2,Data!$H:$H,"&gt;="&amp;BK$2)</f>
        <v>0</v>
      </c>
      <c r="BL60" s="21">
        <f>SUMIFS(Data!$I:$I,Data!$B:$B,$B60,Data!$G:$G,"&lt;="&amp;BL$2,Data!$H:$H,"&gt;="&amp;BL$2)</f>
        <v>0</v>
      </c>
      <c r="BM60" s="21">
        <f>SUMIFS(Data!$I:$I,Data!$B:$B,$B60,Data!$G:$G,"&lt;="&amp;BM$2,Data!$H:$H,"&gt;="&amp;BM$2)</f>
        <v>0</v>
      </c>
      <c r="BN60" s="21">
        <f>SUMIFS(Data!$I:$I,Data!$B:$B,$B60,Data!$G:$G,"&lt;="&amp;BN$2,Data!$H:$H,"&gt;="&amp;BN$2)</f>
        <v>0</v>
      </c>
      <c r="BO60" s="21">
        <f>SUMIFS(Data!$I:$I,Data!$B:$B,$B60,Data!$G:$G,"&lt;="&amp;BO$2,Data!$H:$H,"&gt;="&amp;BO$2)</f>
        <v>0</v>
      </c>
      <c r="BP60" s="21">
        <f>SUMIFS(Data!$I:$I,Data!$B:$B,$B60,Data!$G:$G,"&lt;="&amp;BP$2,Data!$H:$H,"&gt;="&amp;BP$2)</f>
        <v>0</v>
      </c>
      <c r="BQ60" s="21">
        <f>SUMIFS(Data!$I:$I,Data!$B:$B,$B60,Data!$G:$G,"&lt;="&amp;BQ$2,Data!$H:$H,"&gt;="&amp;BQ$2)</f>
        <v>0</v>
      </c>
      <c r="BR60" s="21">
        <f>SUMIFS(Data!$I:$I,Data!$B:$B,$B60,Data!$G:$G,"&lt;="&amp;BR$2,Data!$H:$H,"&gt;="&amp;BR$2)</f>
        <v>0</v>
      </c>
      <c r="BS60" s="21">
        <f>SUMIFS(Data!$I:$I,Data!$B:$B,$B60,Data!$G:$G,"&lt;="&amp;BS$2,Data!$H:$H,"&gt;="&amp;BS$2)</f>
        <v>0</v>
      </c>
      <c r="BT60" s="21">
        <f>SUMIFS(Data!$I:$I,Data!$B:$B,$B60,Data!$G:$G,"&lt;="&amp;BT$2,Data!$H:$H,"&gt;="&amp;BT$2)</f>
        <v>0</v>
      </c>
      <c r="BU60" s="21">
        <f>SUMIFS(Data!$I:$I,Data!$B:$B,$B60,Data!$G:$G,"&lt;="&amp;BU$2,Data!$H:$H,"&gt;="&amp;BU$2)</f>
        <v>0</v>
      </c>
      <c r="BV60" s="21">
        <f>SUMIFS(Data!$I:$I,Data!$B:$B,$B60,Data!$G:$G,"&lt;="&amp;BV$2,Data!$H:$H,"&gt;="&amp;BV$2)</f>
        <v>0</v>
      </c>
      <c r="BW60" s="21">
        <f>SUMIFS(Data!$I:$I,Data!$B:$B,$B60,Data!$G:$G,"&lt;="&amp;BW$2,Data!$H:$H,"&gt;="&amp;BW$2)</f>
        <v>0</v>
      </c>
      <c r="BX60" s="21">
        <f>SUMIFS(Data!$I:$I,Data!$B:$B,$B60,Data!$G:$G,"&lt;="&amp;BX$2,Data!$H:$H,"&gt;="&amp;BX$2)</f>
        <v>0</v>
      </c>
      <c r="BY60" s="21">
        <f>SUMIFS(Data!$I:$I,Data!$B:$B,$B60,Data!$G:$G,"&lt;="&amp;BY$2,Data!$H:$H,"&gt;="&amp;BY$2)</f>
        <v>0</v>
      </c>
      <c r="BZ60" s="21">
        <f>SUMIFS(Data!$I:$I,Data!$B:$B,$B60,Data!$G:$G,"&lt;="&amp;BZ$2,Data!$H:$H,"&gt;="&amp;BZ$2)</f>
        <v>0</v>
      </c>
      <c r="CA60" s="22">
        <f t="shared" si="130"/>
        <v>27500.000000000004</v>
      </c>
    </row>
    <row r="61" spans="2:79" x14ac:dyDescent="0.25">
      <c r="B61" s="11" t="s">
        <v>127</v>
      </c>
      <c r="C61" s="11" t="str">
        <f>VLOOKUP(B61,Data!B:C,2,FALSE)</f>
        <v>Legacy</v>
      </c>
      <c r="D61" s="21">
        <f>SUMIFS(Data!$I:$I,Data!$B:$B,$B61,Data!$G:$G,"&lt;="&amp;D$2,Data!$H:$H,"&gt;="&amp;D$2)</f>
        <v>0</v>
      </c>
      <c r="E61" s="21">
        <f>SUMIFS(Data!$I:$I,Data!$B:$B,$B61,Data!$G:$G,"&lt;="&amp;E$2,Data!$H:$H,"&gt;="&amp;E$2)</f>
        <v>0</v>
      </c>
      <c r="F61" s="21">
        <f>SUMIFS(Data!$I:$I,Data!$B:$B,$B61,Data!$G:$G,"&lt;="&amp;F$2,Data!$H:$H,"&gt;="&amp;F$2)</f>
        <v>0</v>
      </c>
      <c r="G61" s="21">
        <f>SUMIFS(Data!$I:$I,Data!$B:$B,$B61,Data!$G:$G,"&lt;="&amp;G$2,Data!$H:$H,"&gt;="&amp;G$2)</f>
        <v>1666.6666666666667</v>
      </c>
      <c r="H61" s="21">
        <f>SUMIFS(Data!$I:$I,Data!$B:$B,$B61,Data!$G:$G,"&lt;="&amp;H$2,Data!$H:$H,"&gt;="&amp;H$2)</f>
        <v>1666.6666666666667</v>
      </c>
      <c r="I61" s="21">
        <f>SUMIFS(Data!$I:$I,Data!$B:$B,$B61,Data!$G:$G,"&lt;="&amp;I$2,Data!$H:$H,"&gt;="&amp;I$2)</f>
        <v>1666.6666666666667</v>
      </c>
      <c r="J61" s="21">
        <f>SUMIFS(Data!$I:$I,Data!$B:$B,$B61,Data!$G:$G,"&lt;="&amp;J$2,Data!$H:$H,"&gt;="&amp;J$2)</f>
        <v>1666.6666666666667</v>
      </c>
      <c r="K61" s="21">
        <f>SUMIFS(Data!$I:$I,Data!$B:$B,$B61,Data!$G:$G,"&lt;="&amp;K$2,Data!$H:$H,"&gt;="&amp;K$2)</f>
        <v>1666.6666666666667</v>
      </c>
      <c r="L61" s="21">
        <f>SUMIFS(Data!$I:$I,Data!$B:$B,$B61,Data!$G:$G,"&lt;="&amp;L$2,Data!$H:$H,"&gt;="&amp;L$2)</f>
        <v>1666.6666666666667</v>
      </c>
      <c r="M61" s="21">
        <f>SUMIFS(Data!$I:$I,Data!$B:$B,$B61,Data!$G:$G,"&lt;="&amp;M$2,Data!$H:$H,"&gt;="&amp;M$2)</f>
        <v>1666.6666666666667</v>
      </c>
      <c r="N61" s="21">
        <f>SUMIFS(Data!$I:$I,Data!$B:$B,$B61,Data!$G:$G,"&lt;="&amp;N$2,Data!$H:$H,"&gt;="&amp;N$2)</f>
        <v>1666.6666666666667</v>
      </c>
      <c r="O61" s="21">
        <f>SUMIFS(Data!$I:$I,Data!$B:$B,$B61,Data!$G:$G,"&lt;="&amp;O$2,Data!$H:$H,"&gt;="&amp;O$2)</f>
        <v>1666.6666666666667</v>
      </c>
      <c r="P61" s="21">
        <f>SUMIFS(Data!$I:$I,Data!$B:$B,$B61,Data!$G:$G,"&lt;="&amp;P$2,Data!$H:$H,"&gt;="&amp;P$2)</f>
        <v>1666.6666666666667</v>
      </c>
      <c r="Q61" s="21">
        <f>SUMIFS(Data!$I:$I,Data!$B:$B,$B61,Data!$G:$G,"&lt;="&amp;Q$2,Data!$H:$H,"&gt;="&amp;Q$2)</f>
        <v>1666.6666666666667</v>
      </c>
      <c r="R61" s="21">
        <f>SUMIFS(Data!$I:$I,Data!$B:$B,$B61,Data!$G:$G,"&lt;="&amp;R$2,Data!$H:$H,"&gt;="&amp;R$2)</f>
        <v>1666.6666666666667</v>
      </c>
      <c r="S61" s="21">
        <f>SUMIFS(Data!$I:$I,Data!$B:$B,$B61,Data!$G:$G,"&lt;="&amp;S$2,Data!$H:$H,"&gt;="&amp;S$2)</f>
        <v>0</v>
      </c>
      <c r="T61" s="21">
        <f>SUMIFS(Data!$I:$I,Data!$B:$B,$B61,Data!$G:$G,"&lt;="&amp;T$2,Data!$H:$H,"&gt;="&amp;T$2)</f>
        <v>0</v>
      </c>
      <c r="U61" s="21">
        <f>SUMIFS(Data!$I:$I,Data!$B:$B,$B61,Data!$G:$G,"&lt;="&amp;U$2,Data!$H:$H,"&gt;="&amp;U$2)</f>
        <v>0</v>
      </c>
      <c r="V61" s="21">
        <f>SUMIFS(Data!$I:$I,Data!$B:$B,$B61,Data!$G:$G,"&lt;="&amp;V$2,Data!$H:$H,"&gt;="&amp;V$2)</f>
        <v>0</v>
      </c>
      <c r="W61" s="21">
        <f>SUMIFS(Data!$I:$I,Data!$B:$B,$B61,Data!$G:$G,"&lt;="&amp;W$2,Data!$H:$H,"&gt;="&amp;W$2)</f>
        <v>0</v>
      </c>
      <c r="X61" s="21">
        <f>SUMIFS(Data!$I:$I,Data!$B:$B,$B61,Data!$G:$G,"&lt;="&amp;X$2,Data!$H:$H,"&gt;="&amp;X$2)</f>
        <v>0</v>
      </c>
      <c r="Y61" s="21">
        <f>SUMIFS(Data!$I:$I,Data!$B:$B,$B61,Data!$G:$G,"&lt;="&amp;Y$2,Data!$H:$H,"&gt;="&amp;Y$2)</f>
        <v>0</v>
      </c>
      <c r="Z61" s="21">
        <f>SUMIFS(Data!$I:$I,Data!$B:$B,$B61,Data!$G:$G,"&lt;="&amp;Z$2,Data!$H:$H,"&gt;="&amp;Z$2)</f>
        <v>0</v>
      </c>
      <c r="AA61" s="21">
        <f>SUMIFS(Data!$I:$I,Data!$B:$B,$B61,Data!$G:$G,"&lt;="&amp;AA$2,Data!$H:$H,"&gt;="&amp;AA$2)</f>
        <v>0</v>
      </c>
      <c r="AB61" s="21">
        <f>SUMIFS(Data!$I:$I,Data!$B:$B,$B61,Data!$G:$G,"&lt;="&amp;AB$2,Data!$H:$H,"&gt;="&amp;AB$2)</f>
        <v>0</v>
      </c>
      <c r="AC61" s="21">
        <f>SUMIFS(Data!$I:$I,Data!$B:$B,$B61,Data!$G:$G,"&lt;="&amp;AC$2,Data!$H:$H,"&gt;="&amp;AC$2)</f>
        <v>0</v>
      </c>
      <c r="AD61" s="21">
        <f>SUMIFS(Data!$I:$I,Data!$B:$B,$B61,Data!$G:$G,"&lt;="&amp;AD$2,Data!$H:$H,"&gt;="&amp;AD$2)</f>
        <v>0</v>
      </c>
      <c r="AE61" s="21">
        <f>SUMIFS(Data!$I:$I,Data!$B:$B,$B61,Data!$G:$G,"&lt;="&amp;AE$2,Data!$H:$H,"&gt;="&amp;AE$2)</f>
        <v>0</v>
      </c>
      <c r="AF61" s="21">
        <f>SUMIFS(Data!$I:$I,Data!$B:$B,$B61,Data!$G:$G,"&lt;="&amp;AF$2,Data!$H:$H,"&gt;="&amp;AF$2)</f>
        <v>0</v>
      </c>
      <c r="AG61" s="21">
        <f>SUMIFS(Data!$I:$I,Data!$B:$B,$B61,Data!$G:$G,"&lt;="&amp;AG$2,Data!$H:$H,"&gt;="&amp;AG$2)</f>
        <v>0</v>
      </c>
      <c r="AH61" s="21">
        <f>SUMIFS(Data!$I:$I,Data!$B:$B,$B61,Data!$G:$G,"&lt;="&amp;AH$2,Data!$H:$H,"&gt;="&amp;AH$2)</f>
        <v>0</v>
      </c>
      <c r="AI61" s="21">
        <f>SUMIFS(Data!$I:$I,Data!$B:$B,$B61,Data!$G:$G,"&lt;="&amp;AI$2,Data!$H:$H,"&gt;="&amp;AI$2)</f>
        <v>0</v>
      </c>
      <c r="AJ61" s="21">
        <f>SUMIFS(Data!$I:$I,Data!$B:$B,$B61,Data!$G:$G,"&lt;="&amp;AJ$2,Data!$H:$H,"&gt;="&amp;AJ$2)</f>
        <v>0</v>
      </c>
      <c r="AK61" s="21">
        <f>SUMIFS(Data!$I:$I,Data!$B:$B,$B61,Data!$G:$G,"&lt;="&amp;AK$2,Data!$H:$H,"&gt;="&amp;AK$2)</f>
        <v>0</v>
      </c>
      <c r="AL61" s="21">
        <f>SUMIFS(Data!$I:$I,Data!$B:$B,$B61,Data!$G:$G,"&lt;="&amp;AL$2,Data!$H:$H,"&gt;="&amp;AL$2)</f>
        <v>0</v>
      </c>
      <c r="AM61" s="21">
        <f>SUMIFS(Data!$I:$I,Data!$B:$B,$B61,Data!$G:$G,"&lt;="&amp;AM$2,Data!$H:$H,"&gt;="&amp;AM$2)</f>
        <v>0</v>
      </c>
      <c r="AN61" s="21">
        <f>SUMIFS(Data!$I:$I,Data!$B:$B,$B61,Data!$G:$G,"&lt;="&amp;AN$2,Data!$H:$H,"&gt;="&amp;AN$2)</f>
        <v>0</v>
      </c>
      <c r="AO61" s="21">
        <f>SUMIFS(Data!$I:$I,Data!$B:$B,$B61,Data!$G:$G,"&lt;="&amp;AO$2,Data!$H:$H,"&gt;="&amp;AO$2)</f>
        <v>0</v>
      </c>
      <c r="AP61" s="21">
        <f>SUMIFS(Data!$I:$I,Data!$B:$B,$B61,Data!$G:$G,"&lt;="&amp;AP$2,Data!$H:$H,"&gt;="&amp;AP$2)</f>
        <v>0</v>
      </c>
      <c r="AQ61" s="21">
        <f>SUMIFS(Data!$I:$I,Data!$B:$B,$B61,Data!$G:$G,"&lt;="&amp;AQ$2,Data!$H:$H,"&gt;="&amp;AQ$2)</f>
        <v>0</v>
      </c>
      <c r="AR61" s="21">
        <f>SUMIFS(Data!$I:$I,Data!$B:$B,$B61,Data!$G:$G,"&lt;="&amp;AR$2,Data!$H:$H,"&gt;="&amp;AR$2)</f>
        <v>0</v>
      </c>
      <c r="AS61" s="21">
        <f>SUMIFS(Data!$I:$I,Data!$B:$B,$B61,Data!$G:$G,"&lt;="&amp;AS$2,Data!$H:$H,"&gt;="&amp;AS$2)</f>
        <v>0</v>
      </c>
      <c r="AT61" s="21">
        <f>SUMIFS(Data!$I:$I,Data!$B:$B,$B61,Data!$G:$G,"&lt;="&amp;AT$2,Data!$H:$H,"&gt;="&amp;AT$2)</f>
        <v>0</v>
      </c>
      <c r="AU61" s="21">
        <f>SUMIFS(Data!$I:$I,Data!$B:$B,$B61,Data!$G:$G,"&lt;="&amp;AU$2,Data!$H:$H,"&gt;="&amp;AU$2)</f>
        <v>0</v>
      </c>
      <c r="AV61" s="21">
        <f>SUMIFS(Data!$I:$I,Data!$B:$B,$B61,Data!$G:$G,"&lt;="&amp;AV$2,Data!$H:$H,"&gt;="&amp;AV$2)</f>
        <v>0</v>
      </c>
      <c r="AW61" s="21">
        <f>SUMIFS(Data!$I:$I,Data!$B:$B,$B61,Data!$G:$G,"&lt;="&amp;AW$2,Data!$H:$H,"&gt;="&amp;AW$2)</f>
        <v>0</v>
      </c>
      <c r="AX61" s="21">
        <f>SUMIFS(Data!$I:$I,Data!$B:$B,$B61,Data!$G:$G,"&lt;="&amp;AX$2,Data!$H:$H,"&gt;="&amp;AX$2)</f>
        <v>0</v>
      </c>
      <c r="AY61" s="21">
        <f>SUMIFS(Data!$I:$I,Data!$B:$B,$B61,Data!$G:$G,"&lt;="&amp;AY$2,Data!$H:$H,"&gt;="&amp;AY$2)</f>
        <v>0</v>
      </c>
      <c r="AZ61" s="21">
        <f>SUMIFS(Data!$I:$I,Data!$B:$B,$B61,Data!$G:$G,"&lt;="&amp;AZ$2,Data!$H:$H,"&gt;="&amp;AZ$2)</f>
        <v>0</v>
      </c>
      <c r="BA61" s="21">
        <f>SUMIFS(Data!$I:$I,Data!$B:$B,$B61,Data!$G:$G,"&lt;="&amp;BA$2,Data!$H:$H,"&gt;="&amp;BA$2)</f>
        <v>0</v>
      </c>
      <c r="BB61" s="21">
        <f>SUMIFS(Data!$I:$I,Data!$B:$B,$B61,Data!$G:$G,"&lt;="&amp;BB$2,Data!$H:$H,"&gt;="&amp;BB$2)</f>
        <v>0</v>
      </c>
      <c r="BC61" s="21">
        <f>SUMIFS(Data!$I:$I,Data!$B:$B,$B61,Data!$G:$G,"&lt;="&amp;BC$2,Data!$H:$H,"&gt;="&amp;BC$2)</f>
        <v>0</v>
      </c>
      <c r="BD61" s="21">
        <f>SUMIFS(Data!$I:$I,Data!$B:$B,$B61,Data!$G:$G,"&lt;="&amp;BD$2,Data!$H:$H,"&gt;="&amp;BD$2)</f>
        <v>0</v>
      </c>
      <c r="BE61" s="21">
        <f>SUMIFS(Data!$I:$I,Data!$B:$B,$B61,Data!$G:$G,"&lt;="&amp;BE$2,Data!$H:$H,"&gt;="&amp;BE$2)</f>
        <v>0</v>
      </c>
      <c r="BF61" s="21">
        <f>SUMIFS(Data!$I:$I,Data!$B:$B,$B61,Data!$G:$G,"&lt;="&amp;BF$2,Data!$H:$H,"&gt;="&amp;BF$2)</f>
        <v>0</v>
      </c>
      <c r="BG61" s="21">
        <f>SUMIFS(Data!$I:$I,Data!$B:$B,$B61,Data!$G:$G,"&lt;="&amp;BG$2,Data!$H:$H,"&gt;="&amp;BG$2)</f>
        <v>0</v>
      </c>
      <c r="BH61" s="21">
        <f>SUMIFS(Data!$I:$I,Data!$B:$B,$B61,Data!$G:$G,"&lt;="&amp;BH$2,Data!$H:$H,"&gt;="&amp;BH$2)</f>
        <v>0</v>
      </c>
      <c r="BI61" s="21">
        <f>SUMIFS(Data!$I:$I,Data!$B:$B,$B61,Data!$G:$G,"&lt;="&amp;BI$2,Data!$H:$H,"&gt;="&amp;BI$2)</f>
        <v>0</v>
      </c>
      <c r="BJ61" s="21">
        <f>SUMIFS(Data!$I:$I,Data!$B:$B,$B61,Data!$G:$G,"&lt;="&amp;BJ$2,Data!$H:$H,"&gt;="&amp;BJ$2)</f>
        <v>0</v>
      </c>
      <c r="BK61" s="21">
        <f>SUMIFS(Data!$I:$I,Data!$B:$B,$B61,Data!$G:$G,"&lt;="&amp;BK$2,Data!$H:$H,"&gt;="&amp;BK$2)</f>
        <v>0</v>
      </c>
      <c r="BL61" s="21">
        <f>SUMIFS(Data!$I:$I,Data!$B:$B,$B61,Data!$G:$G,"&lt;="&amp;BL$2,Data!$H:$H,"&gt;="&amp;BL$2)</f>
        <v>0</v>
      </c>
      <c r="BM61" s="21">
        <f>SUMIFS(Data!$I:$I,Data!$B:$B,$B61,Data!$G:$G,"&lt;="&amp;BM$2,Data!$H:$H,"&gt;="&amp;BM$2)</f>
        <v>0</v>
      </c>
      <c r="BN61" s="21">
        <f>SUMIFS(Data!$I:$I,Data!$B:$B,$B61,Data!$G:$G,"&lt;="&amp;BN$2,Data!$H:$H,"&gt;="&amp;BN$2)</f>
        <v>0</v>
      </c>
      <c r="BO61" s="21">
        <f>SUMIFS(Data!$I:$I,Data!$B:$B,$B61,Data!$G:$G,"&lt;="&amp;BO$2,Data!$H:$H,"&gt;="&amp;BO$2)</f>
        <v>0</v>
      </c>
      <c r="BP61" s="21">
        <f>SUMIFS(Data!$I:$I,Data!$B:$B,$B61,Data!$G:$G,"&lt;="&amp;BP$2,Data!$H:$H,"&gt;="&amp;BP$2)</f>
        <v>0</v>
      </c>
      <c r="BQ61" s="21">
        <f>SUMIFS(Data!$I:$I,Data!$B:$B,$B61,Data!$G:$G,"&lt;="&amp;BQ$2,Data!$H:$H,"&gt;="&amp;BQ$2)</f>
        <v>0</v>
      </c>
      <c r="BR61" s="21">
        <f>SUMIFS(Data!$I:$I,Data!$B:$B,$B61,Data!$G:$G,"&lt;="&amp;BR$2,Data!$H:$H,"&gt;="&amp;BR$2)</f>
        <v>0</v>
      </c>
      <c r="BS61" s="21">
        <f>SUMIFS(Data!$I:$I,Data!$B:$B,$B61,Data!$G:$G,"&lt;="&amp;BS$2,Data!$H:$H,"&gt;="&amp;BS$2)</f>
        <v>0</v>
      </c>
      <c r="BT61" s="21">
        <f>SUMIFS(Data!$I:$I,Data!$B:$B,$B61,Data!$G:$G,"&lt;="&amp;BT$2,Data!$H:$H,"&gt;="&amp;BT$2)</f>
        <v>0</v>
      </c>
      <c r="BU61" s="21">
        <f>SUMIFS(Data!$I:$I,Data!$B:$B,$B61,Data!$G:$G,"&lt;="&amp;BU$2,Data!$H:$H,"&gt;="&amp;BU$2)</f>
        <v>0</v>
      </c>
      <c r="BV61" s="21">
        <f>SUMIFS(Data!$I:$I,Data!$B:$B,$B61,Data!$G:$G,"&lt;="&amp;BV$2,Data!$H:$H,"&gt;="&amp;BV$2)</f>
        <v>0</v>
      </c>
      <c r="BW61" s="21">
        <f>SUMIFS(Data!$I:$I,Data!$B:$B,$B61,Data!$G:$G,"&lt;="&amp;BW$2,Data!$H:$H,"&gt;="&amp;BW$2)</f>
        <v>0</v>
      </c>
      <c r="BX61" s="21">
        <f>SUMIFS(Data!$I:$I,Data!$B:$B,$B61,Data!$G:$G,"&lt;="&amp;BX$2,Data!$H:$H,"&gt;="&amp;BX$2)</f>
        <v>0</v>
      </c>
      <c r="BY61" s="21">
        <f>SUMIFS(Data!$I:$I,Data!$B:$B,$B61,Data!$G:$G,"&lt;="&amp;BY$2,Data!$H:$H,"&gt;="&amp;BY$2)</f>
        <v>0</v>
      </c>
      <c r="BZ61" s="21">
        <f>SUMIFS(Data!$I:$I,Data!$B:$B,$B61,Data!$G:$G,"&lt;="&amp;BZ$2,Data!$H:$H,"&gt;="&amp;BZ$2)</f>
        <v>0</v>
      </c>
      <c r="CA61" s="22">
        <f t="shared" si="130"/>
        <v>20000</v>
      </c>
    </row>
    <row r="62" spans="2:79" x14ac:dyDescent="0.25">
      <c r="B62" s="13" t="s">
        <v>239</v>
      </c>
      <c r="C62" s="14"/>
      <c r="D62" s="22">
        <f t="shared" ref="D62:F62" si="131">SUM(D49:D61)</f>
        <v>0</v>
      </c>
      <c r="E62" s="22">
        <f t="shared" si="131"/>
        <v>0</v>
      </c>
      <c r="F62" s="22">
        <f t="shared" si="131"/>
        <v>0</v>
      </c>
      <c r="G62" s="22">
        <f>SUM(G49:G61)</f>
        <v>39666.666666666664</v>
      </c>
      <c r="H62" s="22">
        <f t="shared" ref="H62:AD62" si="132">SUM(H49:H61)</f>
        <v>39666.666666666664</v>
      </c>
      <c r="I62" s="22">
        <f t="shared" si="132"/>
        <v>39666.666666666664</v>
      </c>
      <c r="J62" s="22">
        <f t="shared" si="132"/>
        <v>29166.666666666668</v>
      </c>
      <c r="K62" s="22">
        <f t="shared" si="132"/>
        <v>29166.666666666668</v>
      </c>
      <c r="L62" s="22">
        <f t="shared" si="132"/>
        <v>39166.666666666664</v>
      </c>
      <c r="M62" s="22">
        <f t="shared" si="132"/>
        <v>118666.66666666667</v>
      </c>
      <c r="N62" s="22">
        <f t="shared" si="132"/>
        <v>118666.66666666667</v>
      </c>
      <c r="O62" s="22">
        <f t="shared" si="132"/>
        <v>117000</v>
      </c>
      <c r="P62" s="22">
        <f t="shared" si="132"/>
        <v>11666.666666666666</v>
      </c>
      <c r="Q62" s="22">
        <f t="shared" si="132"/>
        <v>11666.666666666666</v>
      </c>
      <c r="R62" s="22">
        <f t="shared" si="132"/>
        <v>3333.3333333333335</v>
      </c>
      <c r="S62" s="22">
        <f t="shared" si="132"/>
        <v>17166.666666666668</v>
      </c>
      <c r="T62" s="22">
        <f t="shared" ref="T62" si="133">SUM(T49:T61)</f>
        <v>17166.666666666668</v>
      </c>
      <c r="U62" s="22">
        <f t="shared" ref="U62" si="134">SUM(U49:U61)</f>
        <v>57166.666666666672</v>
      </c>
      <c r="V62" s="22">
        <f t="shared" ref="V62" si="135">SUM(V49:V61)</f>
        <v>40000</v>
      </c>
      <c r="W62" s="22">
        <f t="shared" ref="W62" si="136">SUM(W49:W61)</f>
        <v>40000</v>
      </c>
      <c r="X62" s="22">
        <f t="shared" ref="X62" si="137">SUM(X49:X61)</f>
        <v>0</v>
      </c>
      <c r="Y62" s="22">
        <f t="shared" ref="Y62" si="138">SUM(Y49:Y61)</f>
        <v>0</v>
      </c>
      <c r="Z62" s="22">
        <f t="shared" ref="Z62" si="139">SUM(Z49:Z61)</f>
        <v>0</v>
      </c>
      <c r="AA62" s="22">
        <f t="shared" ref="AA62" si="140">SUM(AA49:AA61)</f>
        <v>0</v>
      </c>
      <c r="AB62" s="22">
        <f t="shared" ref="AB62" si="141">SUM(AB49:AB61)</f>
        <v>0</v>
      </c>
      <c r="AC62" s="22">
        <f t="shared" ref="AC62" si="142">SUM(AC49:AC61)</f>
        <v>0</v>
      </c>
      <c r="AD62" s="22">
        <f t="shared" si="132"/>
        <v>0</v>
      </c>
      <c r="AE62" s="22">
        <f t="shared" ref="AE62" si="143">SUM(AE49:AE61)</f>
        <v>0</v>
      </c>
      <c r="AF62" s="22">
        <f t="shared" ref="AF62" si="144">SUM(AF49:AF61)</f>
        <v>0</v>
      </c>
      <c r="AG62" s="22">
        <f t="shared" ref="AG62" si="145">SUM(AG49:AG61)</f>
        <v>0</v>
      </c>
      <c r="AH62" s="22">
        <f t="shared" ref="AH62" si="146">SUM(AH49:AH61)</f>
        <v>0</v>
      </c>
      <c r="AI62" s="22">
        <f t="shared" ref="AI62" si="147">SUM(AI49:AI61)</f>
        <v>0</v>
      </c>
      <c r="AJ62" s="22">
        <f t="shared" ref="AJ62" si="148">SUM(AJ49:AJ61)</f>
        <v>0</v>
      </c>
      <c r="AK62" s="22">
        <f t="shared" ref="AK62" si="149">SUM(AK49:AK61)</f>
        <v>0</v>
      </c>
      <c r="AL62" s="22">
        <f t="shared" ref="AL62" si="150">SUM(AL49:AL61)</f>
        <v>0</v>
      </c>
      <c r="AM62" s="22">
        <f t="shared" ref="AM62" si="151">SUM(AM49:AM61)</f>
        <v>0</v>
      </c>
      <c r="AN62" s="22">
        <f t="shared" ref="AN62" si="152">SUM(AN49:AN61)</f>
        <v>0</v>
      </c>
      <c r="AO62" s="22">
        <f t="shared" ref="AO62" si="153">SUM(AO49:AO61)</f>
        <v>0</v>
      </c>
      <c r="AP62" s="22">
        <f t="shared" ref="AP62" si="154">SUM(AP49:AP61)</f>
        <v>0</v>
      </c>
      <c r="AQ62" s="22">
        <f t="shared" ref="AQ62" si="155">SUM(AQ49:AQ61)</f>
        <v>0</v>
      </c>
      <c r="AR62" s="22">
        <f t="shared" ref="AR62" si="156">SUM(AR49:AR61)</f>
        <v>0</v>
      </c>
      <c r="AS62" s="22">
        <f t="shared" ref="AS62" si="157">SUM(AS49:AS61)</f>
        <v>0</v>
      </c>
      <c r="AT62" s="22">
        <f t="shared" ref="AT62" si="158">SUM(AT49:AT61)</f>
        <v>0</v>
      </c>
      <c r="AU62" s="22">
        <f t="shared" ref="AU62" si="159">SUM(AU49:AU61)</f>
        <v>0</v>
      </c>
      <c r="AV62" s="22">
        <f t="shared" ref="AV62" si="160">SUM(AV49:AV61)</f>
        <v>0</v>
      </c>
      <c r="AW62" s="22">
        <f t="shared" ref="AW62" si="161">SUM(AW49:AW61)</f>
        <v>0</v>
      </c>
      <c r="AX62" s="22">
        <f t="shared" ref="AX62" si="162">SUM(AX49:AX61)</f>
        <v>0</v>
      </c>
      <c r="AY62" s="22">
        <f t="shared" ref="AY62" si="163">SUM(AY49:AY61)</f>
        <v>0</v>
      </c>
      <c r="AZ62" s="22">
        <f t="shared" ref="AZ62" si="164">SUM(AZ49:AZ61)</f>
        <v>0</v>
      </c>
      <c r="BA62" s="22">
        <f t="shared" ref="BA62" si="165">SUM(BA49:BA61)</f>
        <v>0</v>
      </c>
      <c r="BB62" s="22">
        <f t="shared" ref="BB62" si="166">SUM(BB49:BB61)</f>
        <v>0</v>
      </c>
      <c r="BC62" s="22">
        <f t="shared" ref="BC62" si="167">SUM(BC49:BC61)</f>
        <v>0</v>
      </c>
      <c r="BD62" s="22">
        <f t="shared" ref="BD62" si="168">SUM(BD49:BD61)</f>
        <v>0</v>
      </c>
      <c r="BE62" s="22">
        <f t="shared" ref="BE62" si="169">SUM(BE49:BE61)</f>
        <v>0</v>
      </c>
      <c r="BF62" s="22">
        <f t="shared" ref="BF62" si="170">SUM(BF49:BF61)</f>
        <v>0</v>
      </c>
      <c r="BG62" s="22">
        <f t="shared" ref="BG62" si="171">SUM(BG49:BG61)</f>
        <v>0</v>
      </c>
      <c r="BH62" s="22">
        <f t="shared" ref="BH62" si="172">SUM(BH49:BH61)</f>
        <v>0</v>
      </c>
      <c r="BI62" s="22">
        <f t="shared" ref="BI62" si="173">SUM(BI49:BI61)</f>
        <v>0</v>
      </c>
      <c r="BJ62" s="22">
        <f t="shared" ref="BJ62" si="174">SUM(BJ49:BJ61)</f>
        <v>0</v>
      </c>
      <c r="BK62" s="22">
        <f t="shared" ref="BK62" si="175">SUM(BK49:BK61)</f>
        <v>0</v>
      </c>
      <c r="BL62" s="22">
        <f t="shared" ref="BL62" si="176">SUM(BL49:BL61)</f>
        <v>0</v>
      </c>
      <c r="BM62" s="22">
        <f t="shared" ref="BM62" si="177">SUM(BM49:BM61)</f>
        <v>0</v>
      </c>
      <c r="BN62" s="22">
        <f t="shared" ref="BN62" si="178">SUM(BN49:BN61)</f>
        <v>0</v>
      </c>
      <c r="BO62" s="22">
        <f t="shared" ref="BO62" si="179">SUM(BO49:BO61)</f>
        <v>0</v>
      </c>
      <c r="BP62" s="22">
        <f t="shared" ref="BP62" si="180">SUM(BP49:BP61)</f>
        <v>0</v>
      </c>
      <c r="BQ62" s="22">
        <f t="shared" ref="BQ62" si="181">SUM(BQ49:BQ61)</f>
        <v>0</v>
      </c>
      <c r="BR62" s="22">
        <f t="shared" ref="BR62" si="182">SUM(BR49:BR61)</f>
        <v>0</v>
      </c>
      <c r="BS62" s="22">
        <f t="shared" ref="BS62" si="183">SUM(BS49:BS61)</f>
        <v>0</v>
      </c>
      <c r="BT62" s="22">
        <f t="shared" ref="BT62" si="184">SUM(BT49:BT61)</f>
        <v>0</v>
      </c>
      <c r="BU62" s="22">
        <f t="shared" ref="BU62" si="185">SUM(BU49:BU61)</f>
        <v>0</v>
      </c>
      <c r="BV62" s="22">
        <f t="shared" ref="BV62" si="186">SUM(BV49:BV61)</f>
        <v>0</v>
      </c>
      <c r="BW62" s="22">
        <f t="shared" ref="BW62" si="187">SUM(BW49:BW61)</f>
        <v>0</v>
      </c>
      <c r="BX62" s="22">
        <f t="shared" ref="BX62" si="188">SUM(BX49:BX61)</f>
        <v>0</v>
      </c>
      <c r="BY62" s="22">
        <f t="shared" ref="BY62" si="189">SUM(BY49:BY61)</f>
        <v>0</v>
      </c>
      <c r="BZ62" s="22">
        <f t="shared" ref="BZ62" si="190">SUM(BZ49:BZ61)</f>
        <v>0</v>
      </c>
      <c r="CA62" s="22">
        <f t="shared" si="130"/>
        <v>768999.99999999977</v>
      </c>
    </row>
    <row r="63" spans="2:79" x14ac:dyDescent="0.25">
      <c r="CA63"/>
    </row>
    <row r="64" spans="2:79" x14ac:dyDescent="0.25">
      <c r="B64" s="28" t="s">
        <v>241</v>
      </c>
      <c r="C64" s="29"/>
      <c r="D64" s="30">
        <f>+D62+D46+D24</f>
        <v>12666.666666666668</v>
      </c>
      <c r="E64" s="30">
        <f t="shared" ref="E64:BP64" si="191">+E62+E46+E24</f>
        <v>33666.666666666672</v>
      </c>
      <c r="F64" s="30">
        <f t="shared" si="191"/>
        <v>33666.666666666672</v>
      </c>
      <c r="G64" s="30">
        <f t="shared" si="191"/>
        <v>816866.66666666663</v>
      </c>
      <c r="H64" s="30">
        <f t="shared" si="191"/>
        <v>820200</v>
      </c>
      <c r="I64" s="30">
        <f t="shared" si="191"/>
        <v>828533.33333333326</v>
      </c>
      <c r="J64" s="30">
        <f t="shared" si="191"/>
        <v>752309.52380952379</v>
      </c>
      <c r="K64" s="30">
        <f t="shared" si="191"/>
        <v>749809.52380952379</v>
      </c>
      <c r="L64" s="30">
        <f t="shared" si="191"/>
        <v>762476.19047619042</v>
      </c>
      <c r="M64" s="30">
        <f t="shared" si="191"/>
        <v>724309.52380952379</v>
      </c>
      <c r="N64" s="30">
        <f t="shared" si="191"/>
        <v>710976.19047619053</v>
      </c>
      <c r="O64" s="30">
        <f t="shared" si="191"/>
        <v>783309.5238095239</v>
      </c>
      <c r="P64" s="30">
        <f t="shared" si="191"/>
        <v>994809.52380952379</v>
      </c>
      <c r="Q64" s="30">
        <f t="shared" si="191"/>
        <v>926666.66666666651</v>
      </c>
      <c r="R64" s="30">
        <f t="shared" si="191"/>
        <v>835037.87878787878</v>
      </c>
      <c r="S64" s="30">
        <f t="shared" si="191"/>
        <v>124204.54545454547</v>
      </c>
      <c r="T64" s="30">
        <f t="shared" si="191"/>
        <v>124204.54545454547</v>
      </c>
      <c r="U64" s="30">
        <f t="shared" si="191"/>
        <v>162500</v>
      </c>
      <c r="V64" s="30">
        <f t="shared" si="191"/>
        <v>115333.33333333334</v>
      </c>
      <c r="W64" s="30">
        <f t="shared" si="191"/>
        <v>128666.66666666669</v>
      </c>
      <c r="X64" s="30">
        <f t="shared" si="191"/>
        <v>88666.666666666672</v>
      </c>
      <c r="Y64" s="30">
        <f t="shared" si="191"/>
        <v>202666.66666666666</v>
      </c>
      <c r="Z64" s="30">
        <f t="shared" si="191"/>
        <v>189333.33333333331</v>
      </c>
      <c r="AA64" s="30">
        <f t="shared" si="191"/>
        <v>156000</v>
      </c>
      <c r="AB64" s="30">
        <f t="shared" si="191"/>
        <v>72666.666666666672</v>
      </c>
      <c r="AC64" s="30">
        <f t="shared" si="191"/>
        <v>72666.666666666672</v>
      </c>
      <c r="AD64" s="30">
        <f t="shared" si="191"/>
        <v>6000</v>
      </c>
      <c r="AE64" s="30">
        <f t="shared" si="191"/>
        <v>6000</v>
      </c>
      <c r="AF64" s="30">
        <f t="shared" si="191"/>
        <v>6000</v>
      </c>
      <c r="AG64" s="30">
        <f t="shared" si="191"/>
        <v>6000</v>
      </c>
      <c r="AH64" s="30">
        <f t="shared" si="191"/>
        <v>6000</v>
      </c>
      <c r="AI64" s="30">
        <f t="shared" si="191"/>
        <v>19333.333333333336</v>
      </c>
      <c r="AJ64" s="30">
        <f t="shared" si="191"/>
        <v>19333.333333333336</v>
      </c>
      <c r="AK64" s="30">
        <f t="shared" si="191"/>
        <v>19333.333333333336</v>
      </c>
      <c r="AL64" s="30">
        <f t="shared" si="191"/>
        <v>6000</v>
      </c>
      <c r="AM64" s="30">
        <f t="shared" si="191"/>
        <v>6000</v>
      </c>
      <c r="AN64" s="30">
        <f t="shared" si="191"/>
        <v>6000</v>
      </c>
      <c r="AO64" s="30">
        <f t="shared" si="191"/>
        <v>6000</v>
      </c>
      <c r="AP64" s="30">
        <f t="shared" si="191"/>
        <v>6000</v>
      </c>
      <c r="AQ64" s="30">
        <f t="shared" si="191"/>
        <v>6000</v>
      </c>
      <c r="AR64" s="30">
        <f t="shared" si="191"/>
        <v>6000</v>
      </c>
      <c r="AS64" s="30">
        <f t="shared" si="191"/>
        <v>6000</v>
      </c>
      <c r="AT64" s="30">
        <f t="shared" si="191"/>
        <v>6000</v>
      </c>
      <c r="AU64" s="30">
        <f t="shared" si="191"/>
        <v>16000</v>
      </c>
      <c r="AV64" s="30">
        <f t="shared" si="191"/>
        <v>16000</v>
      </c>
      <c r="AW64" s="30">
        <f t="shared" si="191"/>
        <v>16000</v>
      </c>
      <c r="AX64" s="30">
        <f t="shared" si="191"/>
        <v>6000</v>
      </c>
      <c r="AY64" s="30">
        <f t="shared" si="191"/>
        <v>6000</v>
      </c>
      <c r="AZ64" s="30">
        <f t="shared" si="191"/>
        <v>6000</v>
      </c>
      <c r="BA64" s="30">
        <f t="shared" si="191"/>
        <v>6000</v>
      </c>
      <c r="BB64" s="30">
        <f t="shared" si="191"/>
        <v>6000</v>
      </c>
      <c r="BC64" s="30">
        <f t="shared" si="191"/>
        <v>6000</v>
      </c>
      <c r="BD64" s="30">
        <f t="shared" si="191"/>
        <v>6000</v>
      </c>
      <c r="BE64" s="30">
        <f t="shared" si="191"/>
        <v>6000</v>
      </c>
      <c r="BF64" s="30">
        <f t="shared" si="191"/>
        <v>6000</v>
      </c>
      <c r="BG64" s="30">
        <f t="shared" si="191"/>
        <v>6000</v>
      </c>
      <c r="BH64" s="30">
        <f t="shared" si="191"/>
        <v>6000</v>
      </c>
      <c r="BI64" s="30">
        <f t="shared" si="191"/>
        <v>6000</v>
      </c>
      <c r="BJ64" s="30">
        <f t="shared" si="191"/>
        <v>6000</v>
      </c>
      <c r="BK64" s="30">
        <f t="shared" si="191"/>
        <v>6000</v>
      </c>
      <c r="BL64" s="30">
        <f t="shared" si="191"/>
        <v>6000</v>
      </c>
      <c r="BM64" s="30">
        <f t="shared" si="191"/>
        <v>6000</v>
      </c>
      <c r="BN64" s="30">
        <f t="shared" si="191"/>
        <v>6000</v>
      </c>
      <c r="BO64" s="30">
        <f t="shared" si="191"/>
        <v>6000</v>
      </c>
      <c r="BP64" s="30">
        <f t="shared" si="191"/>
        <v>6000</v>
      </c>
      <c r="BQ64" s="30">
        <f t="shared" ref="BQ64:CA64" si="192">+BQ62+BQ46+BQ24</f>
        <v>6000</v>
      </c>
      <c r="BR64" s="30">
        <f t="shared" si="192"/>
        <v>6000</v>
      </c>
      <c r="BS64" s="30">
        <f t="shared" si="192"/>
        <v>6000</v>
      </c>
      <c r="BT64" s="30">
        <f t="shared" si="192"/>
        <v>6000</v>
      </c>
      <c r="BU64" s="30">
        <f t="shared" si="192"/>
        <v>6000</v>
      </c>
      <c r="BV64" s="30">
        <f t="shared" si="192"/>
        <v>6000</v>
      </c>
      <c r="BW64" s="30">
        <f t="shared" si="192"/>
        <v>6000</v>
      </c>
      <c r="BX64" s="30">
        <f t="shared" si="192"/>
        <v>6000</v>
      </c>
      <c r="BY64" s="30">
        <f t="shared" si="192"/>
        <v>6000</v>
      </c>
      <c r="BZ64" s="30">
        <f t="shared" si="192"/>
        <v>6000</v>
      </c>
      <c r="CA64" s="30">
        <f t="shared" si="192"/>
        <v>11586213.636363633</v>
      </c>
    </row>
    <row r="65" spans="79:79" x14ac:dyDescent="0.25">
      <c r="CA65"/>
    </row>
    <row r="66" spans="79:79" x14ac:dyDescent="0.25">
      <c r="CA66"/>
    </row>
    <row r="67" spans="79:79" x14ac:dyDescent="0.25">
      <c r="CA67"/>
    </row>
    <row r="68" spans="79:79" x14ac:dyDescent="0.25">
      <c r="CA68"/>
    </row>
  </sheetData>
  <pageMargins left="0.7" right="0.7" top="0.75" bottom="0.75" header="0.3" footer="0.3"/>
  <pageSetup scale="41" orientation="portrait" r:id="rId1"/>
  <colBreaks count="5" manualBreakCount="5">
    <brk id="18" max="1048575" man="1"/>
    <brk id="30" max="1048575" man="1"/>
    <brk id="42" max="1048575" man="1"/>
    <brk id="54" max="1048575" man="1"/>
    <brk id="6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Props1.xml><?xml version="1.0" encoding="utf-8"?>
<ds:datastoreItem xmlns:ds="http://schemas.openxmlformats.org/officeDocument/2006/customXml" ds:itemID="{7C8EDAEB-4EF3-49ED-B842-2439E60EBF93}"/>
</file>

<file path=customXml/itemProps2.xml><?xml version="1.0" encoding="utf-8"?>
<ds:datastoreItem xmlns:ds="http://schemas.openxmlformats.org/officeDocument/2006/customXml" ds:itemID="{87243145-8E68-4CF7-91BA-4BBC59BC8041}"/>
</file>

<file path=customXml/itemProps3.xml><?xml version="1.0" encoding="utf-8"?>
<ds:datastoreItem xmlns:ds="http://schemas.openxmlformats.org/officeDocument/2006/customXml" ds:itemID="{5E69BD23-041E-47F1-B6AA-5CDE3FA69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Data</vt:lpstr>
      <vt:lpstr>Summary (PROP x PROJ)</vt:lpstr>
      <vt:lpstr>Summary (PROP x DATE)</vt:lpstr>
      <vt:lpstr>Data!Print_Area</vt:lpstr>
      <vt:lpstr>'Summary (PROP x DATE)'!Print_Area</vt:lpstr>
      <vt:lpstr>'Summary (PROP x PROJ)'!Print_Area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Schwartz</dc:creator>
  <cp:lastModifiedBy>Jon Wyss</cp:lastModifiedBy>
  <dcterms:created xsi:type="dcterms:W3CDTF">2026-03-23T20:35:51Z</dcterms:created>
  <dcterms:modified xsi:type="dcterms:W3CDTF">2026-03-26T19:35:08Z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</Properties>
</file>