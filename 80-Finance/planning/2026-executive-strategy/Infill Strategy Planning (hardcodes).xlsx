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Corporate/Minutes &amp; Notes/Executive Strategy Meeting 2026-03/"/>
    </mc:Choice>
  </mc:AlternateContent>
  <xr:revisionPtr revIDLastSave="129" documentId="8_{4B04973A-3BF1-4B3C-9906-4F951E3DBFCF}" xr6:coauthVersionLast="47" xr6:coauthVersionMax="47" xr10:uidLastSave="{88704D45-9ADE-4755-878A-3BE3EF31EE3B}"/>
  <bookViews>
    <workbookView xWindow="-120" yWindow="-120" windowWidth="29040" windowHeight="15720" xr2:uid="{3377E504-9BF1-463D-B4A0-2AA21366886A}"/>
  </bookViews>
  <sheets>
    <sheet name="Sheet2" sheetId="2" r:id="rId1"/>
    <sheet name="Sheet1" sheetId="1" r:id="rId2"/>
  </sheets>
  <definedNames>
    <definedName name="_xlnm._FilterDatabase" localSheetId="0" hidden="1">Sheet2!$B$3:$T$54</definedName>
    <definedName name="_xlnm.Print_Area" localSheetId="0">Sheet2!$B$2:$H$54</definedName>
  </definedNames>
  <calcPr calcId="191029" iterate="1" iterateDelta="1E-4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G13" i="2"/>
  <c r="F37" i="2"/>
  <c r="G37" i="2"/>
  <c r="F28" i="2"/>
  <c r="G28" i="2"/>
  <c r="F5" i="2"/>
  <c r="G5" i="2"/>
  <c r="F8" i="2"/>
  <c r="G8" i="2"/>
  <c r="F29" i="2"/>
  <c r="G29" i="2"/>
  <c r="F18" i="2"/>
  <c r="G18" i="2"/>
  <c r="F38" i="2"/>
  <c r="G38" i="2"/>
  <c r="F4" i="2"/>
  <c r="G4" i="2"/>
  <c r="F7" i="2"/>
  <c r="G7" i="2"/>
  <c r="F30" i="2"/>
  <c r="G30" i="2"/>
  <c r="F31" i="2"/>
  <c r="G31" i="2"/>
  <c r="F19" i="2"/>
  <c r="G19" i="2"/>
  <c r="F6" i="2"/>
  <c r="G6" i="2"/>
  <c r="F15" i="2"/>
  <c r="G15" i="2"/>
  <c r="F16" i="2"/>
  <c r="G16" i="2"/>
  <c r="F39" i="2"/>
  <c r="G39" i="2"/>
  <c r="F11" i="2"/>
  <c r="G11" i="2"/>
  <c r="F9" i="2"/>
  <c r="G9" i="2"/>
  <c r="F20" i="2"/>
  <c r="G20" i="2"/>
  <c r="F10" i="2"/>
  <c r="G10" i="2"/>
  <c r="F32" i="2"/>
  <c r="G32" i="2"/>
  <c r="F33" i="2"/>
  <c r="G33" i="2"/>
  <c r="F22" i="2"/>
  <c r="G22" i="2"/>
  <c r="F23" i="2"/>
  <c r="G23" i="2"/>
  <c r="F24" i="2"/>
  <c r="G24" i="2"/>
  <c r="F40" i="2"/>
  <c r="G40" i="2"/>
  <c r="F12" i="2"/>
  <c r="G12" i="2"/>
  <c r="F21" i="2"/>
  <c r="G21" i="2"/>
  <c r="F34" i="2"/>
  <c r="G34" i="2"/>
  <c r="F17" i="2"/>
  <c r="G17" i="2"/>
  <c r="F14" i="2"/>
  <c r="G14" i="2"/>
  <c r="F25" i="2"/>
  <c r="G25" i="2"/>
  <c r="F41" i="2"/>
  <c r="G41" i="2"/>
  <c r="F42" i="2"/>
  <c r="G42" i="2"/>
  <c r="F35" i="2"/>
  <c r="G35" i="2"/>
  <c r="F26" i="2"/>
  <c r="G26" i="2"/>
  <c r="F43" i="2"/>
  <c r="G43" i="2"/>
  <c r="F44" i="2"/>
  <c r="G44" i="2"/>
  <c r="F45" i="2"/>
  <c r="G45" i="2"/>
  <c r="F46" i="2"/>
  <c r="G46" i="2"/>
  <c r="F36" i="2"/>
  <c r="G3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G27" i="2"/>
  <c r="F27" i="2"/>
</calcChain>
</file>

<file path=xl/sharedStrings.xml><?xml version="1.0" encoding="utf-8"?>
<sst xmlns="http://schemas.openxmlformats.org/spreadsheetml/2006/main" count="236" uniqueCount="100">
  <si>
    <t>Infill Strategy Planning</t>
  </si>
  <si>
    <t>Property</t>
  </si>
  <si>
    <t>Total Lots</t>
  </si>
  <si>
    <t>Vacant Lots</t>
  </si>
  <si>
    <t>Vacant POH</t>
  </si>
  <si>
    <t>Rehab &amp; Sell</t>
  </si>
  <si>
    <t>Infill &amp; Sell</t>
  </si>
  <si>
    <t>Sell</t>
  </si>
  <si>
    <t>Total Occupant Gain</t>
  </si>
  <si>
    <t>Occupancy Goal</t>
  </si>
  <si>
    <t>APPLE</t>
  </si>
  <si>
    <t>BELL</t>
  </si>
  <si>
    <t>CARL</t>
  </si>
  <si>
    <t>CENT</t>
  </si>
  <si>
    <t>CONG</t>
  </si>
  <si>
    <t>HARB</t>
  </si>
  <si>
    <t>JBJ</t>
  </si>
  <si>
    <t>LS</t>
  </si>
  <si>
    <t>LUCK</t>
  </si>
  <si>
    <t>PL</t>
  </si>
  <si>
    <t>PPH</t>
  </si>
  <si>
    <t>RIV</t>
  </si>
  <si>
    <t>RO</t>
  </si>
  <si>
    <t>SILVER</t>
  </si>
  <si>
    <t>SO</t>
  </si>
  <si>
    <t>SOUTH</t>
  </si>
  <si>
    <t>SS</t>
  </si>
  <si>
    <t>SSS</t>
  </si>
  <si>
    <t>TRADE</t>
  </si>
  <si>
    <t>VO</t>
  </si>
  <si>
    <t>WPMH</t>
  </si>
  <si>
    <t>JREFI</t>
  </si>
  <si>
    <t>ARD</t>
  </si>
  <si>
    <t>BRUN</t>
  </si>
  <si>
    <t>DO</t>
  </si>
  <si>
    <t>FOX</t>
  </si>
  <si>
    <t>GO</t>
  </si>
  <si>
    <t>GPT</t>
  </si>
  <si>
    <t>HP</t>
  </si>
  <si>
    <t>NG</t>
  </si>
  <si>
    <t>NGMH</t>
  </si>
  <si>
    <t>NGRV</t>
  </si>
  <si>
    <t>OAK</t>
  </si>
  <si>
    <t>PARK</t>
  </si>
  <si>
    <t>PP</t>
  </si>
  <si>
    <t>RED</t>
  </si>
  <si>
    <t>RW</t>
  </si>
  <si>
    <t>SA</t>
  </si>
  <si>
    <t>SH</t>
  </si>
  <si>
    <t>SP</t>
  </si>
  <si>
    <t>SUR</t>
  </si>
  <si>
    <t>TC</t>
  </si>
  <si>
    <t>TO</t>
  </si>
  <si>
    <t>WIND</t>
  </si>
  <si>
    <t>JREFII</t>
  </si>
  <si>
    <t>POBOVI</t>
  </si>
  <si>
    <t>POBOVII</t>
  </si>
  <si>
    <t>POGULF</t>
  </si>
  <si>
    <t>POLW</t>
  </si>
  <si>
    <t>POOBO</t>
  </si>
  <si>
    <t>POOCEAN</t>
  </si>
  <si>
    <t>POPSE</t>
  </si>
  <si>
    <t>POTCMHC</t>
  </si>
  <si>
    <t>POWOLF</t>
  </si>
  <si>
    <t>POWW</t>
  </si>
  <si>
    <t>Origins</t>
  </si>
  <si>
    <t>Portfolio</t>
  </si>
  <si>
    <t>Total Vacancy</t>
  </si>
  <si>
    <t>Total Occupancy Goal</t>
  </si>
  <si>
    <t>ORIGINS</t>
  </si>
  <si>
    <t>Remaining Vacancies</t>
  </si>
  <si>
    <t>Existing Homes</t>
  </si>
  <si>
    <t>Infill Homes</t>
  </si>
  <si>
    <t>Manager is good here. Getting inquiries.</t>
  </si>
  <si>
    <t>No concerns here</t>
  </si>
  <si>
    <t>POSSIBLE CONCERN HERE - REVISIT END OF Q2</t>
  </si>
  <si>
    <t>Barb is great. Plus Ashlyne is there.</t>
  </si>
  <si>
    <t>Roman is the manager. Hasn’t had the ability to sell anything. Check in in 60 days. When the rehabs are ready, program for existing resident sales/LOPs at 750 lot rent + 550 LOP payment monthly for 3 years. Also list for sale first so it shows we are giving existing residents a deal.</t>
  </si>
  <si>
    <t>Manager Commentary &amp; Rental Plans</t>
  </si>
  <si>
    <t>Marketing Plans</t>
  </si>
  <si>
    <t>Reach out to air force base regarding housing</t>
  </si>
  <si>
    <t>Manager needs coaching, check in in 30 days. Put up one of the new DWs for rental at 1600. Push the 2yr free lot rent narrative to sell at a good price.</t>
  </si>
  <si>
    <t>Evaluate in 2H 2026</t>
  </si>
  <si>
    <t>Erica should be good here.</t>
  </si>
  <si>
    <t>Get the tiny homes ready. See what interest is and see how vicki does.</t>
  </si>
  <si>
    <t>Need exteriors done on the homes.Stephanie needs a lot of handholding. Questioning her abilities. NM to have a discussion with Danielle about coming on. Push a bunch to rental in the meantime until we get the sales right.</t>
  </si>
  <si>
    <t>Big manufacturing plant there - going to reach out. Another blue collar place too.</t>
  </si>
  <si>
    <t>Erica should be good here. WE NEED TO DO A LITTLE BIT MORE HOMEWORK UNDERSTANDING WHAT LOTS ARE MH AND RV TO REVISE THE HOME ORDER. Get with Building Dept and with DOH.</t>
  </si>
  <si>
    <t>Jordan rocks.</t>
  </si>
  <si>
    <t>Lets get all available homes listed. $20k-55k listings. Monitor homes coming available and push rentals when &gt;5 listed.</t>
  </si>
  <si>
    <t>These hopefully going to sale to a rehabber. Infill 2H. Manager will be good for sales.</t>
  </si>
  <si>
    <t>Rhonda will be OK at sales as soon as the homes are ready.</t>
  </si>
  <si>
    <t>Homes should sell themselves here.</t>
  </si>
  <si>
    <t>Jeremy is good.</t>
  </si>
  <si>
    <t>Anita should be able to sell. Existing DW needs marketed/listed.</t>
  </si>
  <si>
    <t>Judy is great. DW needs to get rehabbed and listed.</t>
  </si>
  <si>
    <t>Rose is good.</t>
  </si>
  <si>
    <t xml:space="preserve">Julie is good. </t>
  </si>
  <si>
    <t>Rachel is in question. Liz trying to get to the bottom if she is good or not. Check in in 60 days.</t>
  </si>
  <si>
    <t>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</si>
</sst>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 val="singleAccounting"/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sz val="11"/>
      <color indexed="1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3">
    <border>
      <left/>
      <right/>
      <top/>
      <bottom/>
      <diagonal/>
    </border>
    <border>
      <left style="mediumDashed">
        <color theme="4"/>
      </left>
      <right/>
      <top style="mediumDashed">
        <color theme="4"/>
      </top>
      <bottom/>
      <diagonal/>
    </border>
    <border>
      <left/>
      <right/>
      <top style="mediumDashed">
        <color theme="4"/>
      </top>
      <bottom/>
      <diagonal/>
    </border>
    <border>
      <left/>
      <right style="mediumDashed">
        <color theme="4"/>
      </right>
      <top style="mediumDashed">
        <color theme="4"/>
      </top>
      <bottom/>
      <diagonal/>
    </border>
    <border>
      <left/>
      <right/>
      <top/>
      <bottom style="thin">
        <color indexed="22"/>
      </bottom>
      <diagonal/>
    </border>
    <border>
      <left style="mediumDashed">
        <color theme="4"/>
      </left>
      <right/>
      <top/>
      <bottom style="thin">
        <color indexed="22"/>
      </bottom>
      <diagonal/>
    </border>
    <border>
      <left/>
      <right style="mediumDashed">
        <color theme="4"/>
      </right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Dashed">
        <color theme="4"/>
      </left>
      <right/>
      <top style="thin">
        <color indexed="22"/>
      </top>
      <bottom style="thin">
        <color indexed="22"/>
      </bottom>
      <diagonal/>
    </border>
    <border>
      <left/>
      <right style="mediumDashed">
        <color theme="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mediumDashed">
        <color theme="4"/>
      </left>
      <right/>
      <top style="thin">
        <color indexed="22"/>
      </top>
      <bottom/>
      <diagonal/>
    </border>
    <border>
      <left/>
      <right style="mediumDashed">
        <color theme="4"/>
      </right>
      <top style="thin">
        <color indexed="22"/>
      </top>
      <bottom/>
      <diagonal/>
    </border>
    <border>
      <left/>
      <right/>
      <top style="thin">
        <color indexed="64"/>
      </top>
      <bottom/>
      <diagonal/>
    </border>
    <border>
      <left style="mediumDashed">
        <color theme="4"/>
      </left>
      <right/>
      <top style="thin">
        <color indexed="64"/>
      </top>
      <bottom style="mediumDashed">
        <color theme="4"/>
      </bottom>
      <diagonal/>
    </border>
    <border>
      <left/>
      <right/>
      <top style="thin">
        <color indexed="64"/>
      </top>
      <bottom style="mediumDashed">
        <color theme="4"/>
      </bottom>
      <diagonal/>
    </border>
    <border>
      <left/>
      <right style="mediumDashed">
        <color theme="4"/>
      </right>
      <top style="thin">
        <color indexed="64"/>
      </top>
      <bottom style="mediumDashed">
        <color theme="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mediumDashed">
        <color theme="4"/>
      </left>
      <right/>
      <top style="thin">
        <color indexed="22"/>
      </top>
      <bottom style="thin">
        <color indexed="64"/>
      </bottom>
      <diagonal/>
    </border>
    <border>
      <left/>
      <right style="mediumDashed">
        <color theme="4"/>
      </right>
      <top style="thin">
        <color indexed="22"/>
      </top>
      <bottom style="thin">
        <color indexed="64"/>
      </bottom>
      <diagonal/>
    </border>
    <border>
      <left style="mediumDashed">
        <color theme="4"/>
      </left>
      <right/>
      <top/>
      <bottom style="mediumDashed">
        <color theme="4"/>
      </bottom>
      <diagonal/>
    </border>
    <border>
      <left/>
      <right/>
      <top/>
      <bottom style="mediumDashed">
        <color theme="4"/>
      </bottom>
      <diagonal/>
    </border>
    <border>
      <left/>
      <right style="mediumDashed">
        <color theme="4"/>
      </right>
      <top/>
      <bottom style="mediumDashed">
        <color theme="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0" xfId="0" applyFont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3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4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parake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ABA81"/>
      </a:accent1>
      <a:accent2>
        <a:srgbClr val="F16262"/>
      </a:accent2>
      <a:accent3>
        <a:srgbClr val="2F4E65"/>
      </a:accent3>
      <a:accent4>
        <a:srgbClr val="FFCC3B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AAC0-7425-4285-9494-80A60866DA6B}">
  <dimension ref="A2:T55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4" sqref="N4"/>
    </sheetView>
  </sheetViews>
  <sheetFormatPr defaultRowHeight="15" outlineLevelCol="1" x14ac:dyDescent="0.25"/>
  <cols>
    <col min="2" max="3" width="12.7109375" customWidth="1"/>
    <col min="4" max="4" width="13.28515625" bestFit="1" customWidth="1"/>
    <col min="5" max="5" width="20.5703125" bestFit="1" customWidth="1"/>
    <col min="6" max="6" width="20.5703125" customWidth="1"/>
    <col min="7" max="7" width="20.5703125" hidden="1" customWidth="1"/>
    <col min="8" max="8" width="20.5703125" customWidth="1"/>
    <col min="9" max="11" width="12.7109375" customWidth="1" outlineLevel="1"/>
    <col min="12" max="12" width="2.7109375" customWidth="1" outlineLevel="1"/>
    <col min="13" max="15" width="12.7109375" customWidth="1" outlineLevel="1"/>
    <col min="16" max="16" width="19.28515625" customWidth="1" outlineLevel="1"/>
    <col min="17" max="17" width="2.7109375" customWidth="1" outlineLevel="1"/>
    <col min="18" max="18" width="15.5703125" customWidth="1" outlineLevel="1"/>
    <col min="19" max="19" width="114.7109375" style="42" customWidth="1"/>
    <col min="20" max="20" width="114.7109375" style="42" customWidth="1" collapsed="1"/>
  </cols>
  <sheetData>
    <row r="2" spans="1:20" ht="21.75" thickBot="1" x14ac:dyDescent="0.5">
      <c r="B2" s="1" t="s">
        <v>0</v>
      </c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ht="17.25" x14ac:dyDescent="0.4">
      <c r="B3" s="3" t="s">
        <v>1</v>
      </c>
      <c r="C3" s="3" t="s">
        <v>66</v>
      </c>
      <c r="D3" s="4" t="s">
        <v>67</v>
      </c>
      <c r="E3" s="4" t="s">
        <v>68</v>
      </c>
      <c r="F3" s="4" t="s">
        <v>71</v>
      </c>
      <c r="G3" s="4" t="s">
        <v>72</v>
      </c>
      <c r="H3" s="4" t="s">
        <v>70</v>
      </c>
      <c r="I3" s="4" t="s">
        <v>2</v>
      </c>
      <c r="J3" s="4" t="s">
        <v>3</v>
      </c>
      <c r="K3" s="4" t="s">
        <v>4</v>
      </c>
      <c r="L3" s="4"/>
      <c r="M3" s="5" t="s">
        <v>5</v>
      </c>
      <c r="N3" s="6" t="s">
        <v>6</v>
      </c>
      <c r="O3" s="6" t="s">
        <v>7</v>
      </c>
      <c r="P3" s="7" t="s">
        <v>8</v>
      </c>
      <c r="Q3" s="3"/>
      <c r="R3" s="4" t="s">
        <v>9</v>
      </c>
      <c r="S3" s="43" t="s">
        <v>78</v>
      </c>
      <c r="T3" s="43" t="s">
        <v>79</v>
      </c>
    </row>
    <row r="4" spans="1:20" ht="30" x14ac:dyDescent="0.25">
      <c r="B4" s="8" t="s">
        <v>35</v>
      </c>
      <c r="C4" s="8" t="s">
        <v>54</v>
      </c>
      <c r="D4" s="9">
        <v>24</v>
      </c>
      <c r="E4" s="38">
        <v>24</v>
      </c>
      <c r="F4" s="41">
        <f>+M4+O4</f>
        <v>24</v>
      </c>
      <c r="G4" s="41">
        <f>+N4</f>
        <v>0</v>
      </c>
      <c r="H4" s="9">
        <v>0</v>
      </c>
      <c r="I4" s="9">
        <v>129</v>
      </c>
      <c r="J4" s="9">
        <v>1</v>
      </c>
      <c r="K4" s="9">
        <v>23</v>
      </c>
      <c r="L4" s="8"/>
      <c r="M4" s="10">
        <v>21</v>
      </c>
      <c r="N4" s="9">
        <v>0</v>
      </c>
      <c r="O4" s="9">
        <v>3</v>
      </c>
      <c r="P4" s="11">
        <v>24</v>
      </c>
      <c r="Q4" s="8"/>
      <c r="R4" s="9">
        <v>129</v>
      </c>
      <c r="S4" s="42" t="s">
        <v>85</v>
      </c>
      <c r="T4" s="42" t="s">
        <v>86</v>
      </c>
    </row>
    <row r="5" spans="1:20" ht="45" x14ac:dyDescent="0.25">
      <c r="B5" s="12" t="s">
        <v>11</v>
      </c>
      <c r="C5" s="12" t="s">
        <v>31</v>
      </c>
      <c r="D5" s="9">
        <v>37</v>
      </c>
      <c r="E5" s="38">
        <v>36</v>
      </c>
      <c r="F5" s="41">
        <f>+M5+O5</f>
        <v>19</v>
      </c>
      <c r="G5" s="41">
        <f>+N5</f>
        <v>17</v>
      </c>
      <c r="H5" s="9">
        <v>1</v>
      </c>
      <c r="I5" s="13">
        <v>93</v>
      </c>
      <c r="J5" s="13">
        <v>12</v>
      </c>
      <c r="K5" s="13">
        <v>25</v>
      </c>
      <c r="L5" s="13"/>
      <c r="M5" s="14">
        <v>19</v>
      </c>
      <c r="N5" s="13">
        <v>17</v>
      </c>
      <c r="O5" s="13">
        <v>0</v>
      </c>
      <c r="P5" s="15">
        <v>36</v>
      </c>
      <c r="Q5" s="12"/>
      <c r="R5" s="13">
        <v>92</v>
      </c>
      <c r="S5" s="42" t="s">
        <v>77</v>
      </c>
    </row>
    <row r="6" spans="1:20" x14ac:dyDescent="0.25">
      <c r="B6" s="12" t="s">
        <v>43</v>
      </c>
      <c r="C6" s="12" t="s">
        <v>54</v>
      </c>
      <c r="D6" s="9">
        <v>16</v>
      </c>
      <c r="E6" s="38">
        <v>16</v>
      </c>
      <c r="F6" s="41">
        <f>+M6+O6</f>
        <v>16</v>
      </c>
      <c r="G6" s="41">
        <f>+N6</f>
        <v>0</v>
      </c>
      <c r="H6" s="9">
        <v>0</v>
      </c>
      <c r="I6" s="13">
        <v>90</v>
      </c>
      <c r="J6" s="13">
        <v>1</v>
      </c>
      <c r="K6" s="13">
        <v>15</v>
      </c>
      <c r="L6" s="12"/>
      <c r="M6" s="14">
        <v>13</v>
      </c>
      <c r="N6" s="13">
        <v>0</v>
      </c>
      <c r="O6" s="13">
        <v>3</v>
      </c>
      <c r="P6" s="15">
        <v>16</v>
      </c>
      <c r="Q6" s="12"/>
      <c r="R6" s="13">
        <v>90</v>
      </c>
      <c r="S6" s="42" t="s">
        <v>89</v>
      </c>
    </row>
    <row r="7" spans="1:20" ht="30" x14ac:dyDescent="0.25">
      <c r="B7" s="12" t="s">
        <v>20</v>
      </c>
      <c r="C7" s="12" t="s">
        <v>31</v>
      </c>
      <c r="D7" s="9">
        <v>27</v>
      </c>
      <c r="E7" s="38">
        <v>23</v>
      </c>
      <c r="F7" s="41">
        <f>+M7+O7</f>
        <v>15</v>
      </c>
      <c r="G7" s="41">
        <f>+N7</f>
        <v>8</v>
      </c>
      <c r="H7" s="9">
        <v>4</v>
      </c>
      <c r="I7" s="13">
        <v>60</v>
      </c>
      <c r="J7" s="13">
        <v>4</v>
      </c>
      <c r="K7" s="13">
        <v>23</v>
      </c>
      <c r="L7" s="13"/>
      <c r="M7" s="14">
        <v>1</v>
      </c>
      <c r="N7" s="13">
        <v>8</v>
      </c>
      <c r="O7" s="13">
        <v>14</v>
      </c>
      <c r="P7" s="15">
        <v>23</v>
      </c>
      <c r="Q7" s="12"/>
      <c r="R7" s="13">
        <v>56</v>
      </c>
      <c r="S7" s="42" t="s">
        <v>81</v>
      </c>
      <c r="T7" s="42" t="s">
        <v>80</v>
      </c>
    </row>
    <row r="8" spans="1:20" x14ac:dyDescent="0.25">
      <c r="B8" s="12" t="s">
        <v>23</v>
      </c>
      <c r="C8" s="12" t="s">
        <v>31</v>
      </c>
      <c r="D8" s="9">
        <v>38</v>
      </c>
      <c r="E8" s="38">
        <v>35</v>
      </c>
      <c r="F8" s="41">
        <f>+M8+O8</f>
        <v>12</v>
      </c>
      <c r="G8" s="41">
        <f>+N8</f>
        <v>23</v>
      </c>
      <c r="H8" s="9">
        <v>3</v>
      </c>
      <c r="I8" s="13">
        <v>56</v>
      </c>
      <c r="J8" s="13">
        <v>23</v>
      </c>
      <c r="K8" s="13">
        <v>15</v>
      </c>
      <c r="L8" s="13"/>
      <c r="M8" s="14">
        <v>12</v>
      </c>
      <c r="N8" s="13">
        <v>23</v>
      </c>
      <c r="O8" s="13">
        <v>0</v>
      </c>
      <c r="P8" s="15">
        <v>35</v>
      </c>
      <c r="Q8" s="12"/>
      <c r="R8" s="13">
        <v>53</v>
      </c>
      <c r="S8" s="42" t="s">
        <v>83</v>
      </c>
    </row>
    <row r="9" spans="1:20" x14ac:dyDescent="0.25">
      <c r="B9" s="12" t="s">
        <v>30</v>
      </c>
      <c r="C9" s="12" t="s">
        <v>31</v>
      </c>
      <c r="D9" s="9">
        <v>32</v>
      </c>
      <c r="E9" s="38">
        <v>12</v>
      </c>
      <c r="F9" s="41">
        <f>+M9+O9</f>
        <v>10</v>
      </c>
      <c r="G9" s="41">
        <f>+N9</f>
        <v>2</v>
      </c>
      <c r="H9" s="9">
        <v>20</v>
      </c>
      <c r="I9" s="13">
        <v>201</v>
      </c>
      <c r="J9" s="13">
        <v>22</v>
      </c>
      <c r="K9" s="13">
        <v>10</v>
      </c>
      <c r="L9" s="13"/>
      <c r="M9" s="14">
        <v>10</v>
      </c>
      <c r="N9" s="13">
        <v>2</v>
      </c>
      <c r="O9" s="13">
        <v>0</v>
      </c>
      <c r="P9" s="15">
        <v>12</v>
      </c>
      <c r="Q9" s="12"/>
      <c r="R9" s="13">
        <v>181</v>
      </c>
      <c r="S9" s="42" t="s">
        <v>91</v>
      </c>
    </row>
    <row r="10" spans="1:20" x14ac:dyDescent="0.25">
      <c r="B10" s="12" t="s">
        <v>32</v>
      </c>
      <c r="C10" s="12" t="s">
        <v>54</v>
      </c>
      <c r="D10" s="9">
        <v>12</v>
      </c>
      <c r="E10" s="38">
        <v>12</v>
      </c>
      <c r="F10" s="41">
        <f>+M10+O10</f>
        <v>9</v>
      </c>
      <c r="G10" s="41">
        <f>+N10</f>
        <v>3</v>
      </c>
      <c r="H10" s="9">
        <v>0</v>
      </c>
      <c r="I10" s="13">
        <v>157</v>
      </c>
      <c r="J10" s="13">
        <v>1</v>
      </c>
      <c r="K10" s="13">
        <v>11</v>
      </c>
      <c r="L10" s="12"/>
      <c r="M10" s="14">
        <v>9</v>
      </c>
      <c r="N10" s="13">
        <v>3</v>
      </c>
      <c r="O10" s="13">
        <v>0</v>
      </c>
      <c r="P10" s="15">
        <v>12</v>
      </c>
      <c r="Q10" s="12"/>
      <c r="R10" s="13">
        <v>157</v>
      </c>
      <c r="S10" s="42" t="s">
        <v>93</v>
      </c>
    </row>
    <row r="11" spans="1:20" x14ac:dyDescent="0.25">
      <c r="B11" s="12" t="s">
        <v>58</v>
      </c>
      <c r="C11" s="12" t="s">
        <v>69</v>
      </c>
      <c r="D11" s="9">
        <v>22</v>
      </c>
      <c r="E11" s="38">
        <v>13</v>
      </c>
      <c r="F11" s="41">
        <f>+M11+O11</f>
        <v>8</v>
      </c>
      <c r="G11" s="41">
        <f>+N11</f>
        <v>5</v>
      </c>
      <c r="H11" s="9">
        <v>9</v>
      </c>
      <c r="I11" s="13">
        <v>47</v>
      </c>
      <c r="J11" s="13">
        <v>14</v>
      </c>
      <c r="K11" s="13">
        <v>8</v>
      </c>
      <c r="L11" s="12"/>
      <c r="M11" s="14">
        <v>8</v>
      </c>
      <c r="N11" s="13">
        <v>5</v>
      </c>
      <c r="O11" s="13">
        <v>0</v>
      </c>
      <c r="P11" s="15">
        <v>13</v>
      </c>
      <c r="Q11" s="12"/>
      <c r="R11" s="13">
        <v>38</v>
      </c>
      <c r="S11" s="42" t="s">
        <v>82</v>
      </c>
    </row>
    <row r="12" spans="1:20" x14ac:dyDescent="0.25">
      <c r="B12" s="12" t="s">
        <v>33</v>
      </c>
      <c r="C12" s="12" t="s">
        <v>54</v>
      </c>
      <c r="D12" s="9">
        <v>8</v>
      </c>
      <c r="E12" s="38">
        <v>8</v>
      </c>
      <c r="F12" s="41">
        <f>+M12+O12</f>
        <v>8</v>
      </c>
      <c r="G12" s="41">
        <f>+N12</f>
        <v>0</v>
      </c>
      <c r="H12" s="9">
        <v>0</v>
      </c>
      <c r="I12" s="13">
        <v>62</v>
      </c>
      <c r="J12" s="13">
        <v>1</v>
      </c>
      <c r="K12" s="13">
        <v>7</v>
      </c>
      <c r="L12" s="12"/>
      <c r="M12" s="14">
        <v>8</v>
      </c>
      <c r="N12" s="13">
        <v>0</v>
      </c>
      <c r="O12" s="13">
        <v>0</v>
      </c>
      <c r="P12" s="15">
        <v>8</v>
      </c>
      <c r="Q12" s="12"/>
      <c r="R12" s="13">
        <v>62</v>
      </c>
      <c r="S12" s="42" t="s">
        <v>74</v>
      </c>
    </row>
    <row r="13" spans="1:20" x14ac:dyDescent="0.25">
      <c r="B13" s="12" t="s">
        <v>47</v>
      </c>
      <c r="C13" s="12" t="s">
        <v>54</v>
      </c>
      <c r="D13" s="9">
        <v>55</v>
      </c>
      <c r="E13" s="38">
        <v>52</v>
      </c>
      <c r="F13" s="41">
        <f>+M13+O13</f>
        <v>7</v>
      </c>
      <c r="G13" s="41">
        <f>+N13</f>
        <v>45</v>
      </c>
      <c r="H13" s="9">
        <v>3</v>
      </c>
      <c r="I13" s="13">
        <v>213</v>
      </c>
      <c r="J13" s="13">
        <v>46</v>
      </c>
      <c r="K13" s="13">
        <v>9</v>
      </c>
      <c r="L13" s="12"/>
      <c r="M13" s="14">
        <v>7</v>
      </c>
      <c r="N13" s="13">
        <v>45</v>
      </c>
      <c r="O13" s="13">
        <v>0</v>
      </c>
      <c r="P13" s="15">
        <v>52</v>
      </c>
      <c r="Q13" s="12"/>
      <c r="R13" s="13">
        <v>210</v>
      </c>
      <c r="S13" s="42" t="s">
        <v>74</v>
      </c>
    </row>
    <row r="14" spans="1:20" x14ac:dyDescent="0.25">
      <c r="B14" s="12" t="s">
        <v>51</v>
      </c>
      <c r="C14" s="12" t="s">
        <v>54</v>
      </c>
      <c r="D14" s="9">
        <v>5</v>
      </c>
      <c r="E14" s="38">
        <v>5</v>
      </c>
      <c r="F14" s="41">
        <f>+M14+O14</f>
        <v>5</v>
      </c>
      <c r="G14" s="41">
        <f>+N14</f>
        <v>0</v>
      </c>
      <c r="H14" s="9">
        <v>0</v>
      </c>
      <c r="I14" s="13">
        <v>65</v>
      </c>
      <c r="J14" s="13">
        <v>0</v>
      </c>
      <c r="K14" s="13">
        <v>5</v>
      </c>
      <c r="L14" s="12"/>
      <c r="M14" s="14">
        <v>2</v>
      </c>
      <c r="N14" s="13">
        <v>0</v>
      </c>
      <c r="O14" s="13">
        <v>3</v>
      </c>
      <c r="P14" s="15">
        <v>5</v>
      </c>
      <c r="Q14" s="12"/>
      <c r="R14" s="13">
        <v>65</v>
      </c>
    </row>
    <row r="15" spans="1:20" x14ac:dyDescent="0.25">
      <c r="B15" s="12" t="s">
        <v>56</v>
      </c>
      <c r="C15" s="12" t="s">
        <v>69</v>
      </c>
      <c r="D15" s="9">
        <v>15</v>
      </c>
      <c r="E15" s="38">
        <v>15</v>
      </c>
      <c r="F15" s="41">
        <f>+M15+O15</f>
        <v>4</v>
      </c>
      <c r="G15" s="41">
        <f>+N15</f>
        <v>11</v>
      </c>
      <c r="H15" s="9">
        <v>0</v>
      </c>
      <c r="I15" s="13">
        <v>34</v>
      </c>
      <c r="J15" s="13">
        <v>11</v>
      </c>
      <c r="K15" s="13">
        <v>4</v>
      </c>
      <c r="L15" s="12"/>
      <c r="M15" s="14">
        <v>2</v>
      </c>
      <c r="N15" s="13">
        <v>11</v>
      </c>
      <c r="O15" s="13">
        <v>2</v>
      </c>
      <c r="P15" s="15">
        <v>15</v>
      </c>
      <c r="Q15" s="12"/>
      <c r="R15" s="13">
        <v>34</v>
      </c>
      <c r="S15" s="42" t="s">
        <v>82</v>
      </c>
    </row>
    <row r="16" spans="1:20" x14ac:dyDescent="0.25">
      <c r="A16" s="16"/>
      <c r="B16" s="12" t="s">
        <v>57</v>
      </c>
      <c r="C16" s="12" t="s">
        <v>69</v>
      </c>
      <c r="D16" s="9">
        <v>14</v>
      </c>
      <c r="E16" s="38">
        <v>15</v>
      </c>
      <c r="F16" s="41">
        <f>+M16+O16</f>
        <v>4</v>
      </c>
      <c r="G16" s="41">
        <f>+N16</f>
        <v>11</v>
      </c>
      <c r="H16" s="9">
        <v>-1</v>
      </c>
      <c r="I16" s="13">
        <v>39</v>
      </c>
      <c r="J16" s="13">
        <v>6</v>
      </c>
      <c r="K16" s="13">
        <v>8</v>
      </c>
      <c r="L16" s="12"/>
      <c r="M16" s="14">
        <v>4</v>
      </c>
      <c r="N16" s="13">
        <v>11</v>
      </c>
      <c r="O16" s="13">
        <v>0</v>
      </c>
      <c r="P16" s="15">
        <v>15</v>
      </c>
      <c r="Q16" s="12"/>
      <c r="R16" s="13">
        <v>39</v>
      </c>
      <c r="S16" s="42" t="s">
        <v>90</v>
      </c>
    </row>
    <row r="17" spans="1:19" x14ac:dyDescent="0.25">
      <c r="B17" s="12" t="s">
        <v>53</v>
      </c>
      <c r="C17" s="12" t="s">
        <v>54</v>
      </c>
      <c r="D17" s="9">
        <v>16</v>
      </c>
      <c r="E17" s="38">
        <v>5</v>
      </c>
      <c r="F17" s="41">
        <f>+M17+O17</f>
        <v>4</v>
      </c>
      <c r="G17" s="41">
        <f>+N17</f>
        <v>1</v>
      </c>
      <c r="H17" s="9">
        <v>11</v>
      </c>
      <c r="I17" s="13">
        <v>154</v>
      </c>
      <c r="J17" s="13">
        <v>11</v>
      </c>
      <c r="K17" s="13">
        <v>5</v>
      </c>
      <c r="L17" s="12"/>
      <c r="M17" s="14">
        <v>1</v>
      </c>
      <c r="N17" s="13">
        <v>1</v>
      </c>
      <c r="O17" s="13">
        <v>3</v>
      </c>
      <c r="P17" s="15">
        <v>5</v>
      </c>
      <c r="Q17" s="12"/>
      <c r="R17" s="13">
        <v>143</v>
      </c>
    </row>
    <row r="18" spans="1:19" x14ac:dyDescent="0.25">
      <c r="B18" s="12" t="s">
        <v>34</v>
      </c>
      <c r="C18" s="12" t="s">
        <v>54</v>
      </c>
      <c r="D18" s="9">
        <v>28</v>
      </c>
      <c r="E18" s="38">
        <v>27</v>
      </c>
      <c r="F18" s="41">
        <f>+M18+O18</f>
        <v>3</v>
      </c>
      <c r="G18" s="41">
        <f>+N18</f>
        <v>24</v>
      </c>
      <c r="H18" s="9">
        <v>1</v>
      </c>
      <c r="I18" s="13">
        <v>127</v>
      </c>
      <c r="J18" s="13">
        <v>24</v>
      </c>
      <c r="K18" s="13">
        <v>4</v>
      </c>
      <c r="L18" s="12"/>
      <c r="M18" s="14">
        <v>3</v>
      </c>
      <c r="N18" s="13">
        <v>24</v>
      </c>
      <c r="O18" s="13">
        <v>0</v>
      </c>
      <c r="P18" s="15">
        <v>27</v>
      </c>
      <c r="Q18" s="12"/>
      <c r="R18" s="13">
        <v>126</v>
      </c>
      <c r="S18" s="42" t="s">
        <v>74</v>
      </c>
    </row>
    <row r="19" spans="1:19" x14ac:dyDescent="0.25">
      <c r="B19" s="12" t="s">
        <v>25</v>
      </c>
      <c r="C19" s="12" t="s">
        <v>31</v>
      </c>
      <c r="D19" s="9">
        <v>22</v>
      </c>
      <c r="E19" s="38">
        <v>16</v>
      </c>
      <c r="F19" s="41">
        <f>+M19+O19</f>
        <v>3</v>
      </c>
      <c r="G19" s="41">
        <f>+N19</f>
        <v>13</v>
      </c>
      <c r="H19" s="9">
        <v>6</v>
      </c>
      <c r="I19" s="13">
        <v>102</v>
      </c>
      <c r="J19" s="13">
        <v>9</v>
      </c>
      <c r="K19" s="13">
        <v>13</v>
      </c>
      <c r="L19" s="13"/>
      <c r="M19" s="14">
        <v>1</v>
      </c>
      <c r="N19" s="13">
        <v>13</v>
      </c>
      <c r="O19" s="13">
        <v>2</v>
      </c>
      <c r="P19" s="15">
        <v>16</v>
      </c>
      <c r="Q19" s="12"/>
      <c r="R19" s="13">
        <v>96</v>
      </c>
      <c r="S19" s="42" t="s">
        <v>88</v>
      </c>
    </row>
    <row r="20" spans="1:19" x14ac:dyDescent="0.25">
      <c r="B20" s="12" t="s">
        <v>10</v>
      </c>
      <c r="C20" s="12" t="s">
        <v>31</v>
      </c>
      <c r="D20" s="9">
        <v>13</v>
      </c>
      <c r="E20" s="38">
        <v>12</v>
      </c>
      <c r="F20" s="41">
        <f>+M20+O20</f>
        <v>3</v>
      </c>
      <c r="G20" s="41">
        <f>+N20</f>
        <v>9</v>
      </c>
      <c r="H20" s="9">
        <v>1</v>
      </c>
      <c r="I20" s="13">
        <v>88</v>
      </c>
      <c r="J20" s="13">
        <v>0</v>
      </c>
      <c r="K20" s="13">
        <v>13</v>
      </c>
      <c r="L20" s="13"/>
      <c r="M20" s="14">
        <v>3</v>
      </c>
      <c r="N20" s="13">
        <v>9</v>
      </c>
      <c r="O20" s="13">
        <v>0</v>
      </c>
      <c r="P20" s="15">
        <v>12</v>
      </c>
      <c r="Q20" s="12"/>
      <c r="R20" s="13">
        <v>87</v>
      </c>
      <c r="S20" s="42" t="s">
        <v>92</v>
      </c>
    </row>
    <row r="21" spans="1:19" x14ac:dyDescent="0.25">
      <c r="B21" s="12" t="s">
        <v>48</v>
      </c>
      <c r="C21" s="12" t="s">
        <v>54</v>
      </c>
      <c r="D21" s="9">
        <v>18</v>
      </c>
      <c r="E21" s="38">
        <v>7</v>
      </c>
      <c r="F21" s="41">
        <f>+M21+O21</f>
        <v>3</v>
      </c>
      <c r="G21" s="41">
        <f>+N21</f>
        <v>4</v>
      </c>
      <c r="H21" s="9">
        <v>11</v>
      </c>
      <c r="I21" s="13">
        <v>126</v>
      </c>
      <c r="J21" s="13">
        <v>15</v>
      </c>
      <c r="K21" s="13">
        <v>3</v>
      </c>
      <c r="L21" s="12"/>
      <c r="M21" s="14">
        <v>2</v>
      </c>
      <c r="N21" s="13">
        <v>4</v>
      </c>
      <c r="O21" s="13">
        <v>1</v>
      </c>
      <c r="P21" s="15">
        <v>7</v>
      </c>
      <c r="Q21" s="12"/>
      <c r="R21" s="13">
        <v>115</v>
      </c>
      <c r="S21" s="42" t="s">
        <v>99</v>
      </c>
    </row>
    <row r="22" spans="1:19" x14ac:dyDescent="0.25">
      <c r="B22" s="12" t="s">
        <v>61</v>
      </c>
      <c r="C22" s="12" t="s">
        <v>69</v>
      </c>
      <c r="D22" s="9">
        <v>11</v>
      </c>
      <c r="E22" s="38">
        <v>10</v>
      </c>
      <c r="F22" s="41">
        <f>+M22+O22</f>
        <v>2</v>
      </c>
      <c r="G22" s="41">
        <f>+N22</f>
        <v>8</v>
      </c>
      <c r="H22" s="9">
        <v>1</v>
      </c>
      <c r="I22" s="13">
        <v>44</v>
      </c>
      <c r="J22" s="13">
        <v>2</v>
      </c>
      <c r="K22" s="13">
        <v>9</v>
      </c>
      <c r="L22" s="12"/>
      <c r="M22" s="14">
        <v>2</v>
      </c>
      <c r="N22" s="13">
        <v>8</v>
      </c>
      <c r="O22" s="13">
        <v>0</v>
      </c>
      <c r="P22" s="15">
        <v>10</v>
      </c>
      <c r="Q22" s="12"/>
      <c r="R22" s="13">
        <v>43</v>
      </c>
      <c r="S22" s="42" t="s">
        <v>96</v>
      </c>
    </row>
    <row r="23" spans="1:19" x14ac:dyDescent="0.25">
      <c r="B23" s="12" t="s">
        <v>50</v>
      </c>
      <c r="C23" s="12" t="s">
        <v>54</v>
      </c>
      <c r="D23" s="9">
        <v>10</v>
      </c>
      <c r="E23" s="38">
        <v>10</v>
      </c>
      <c r="F23" s="41">
        <f>+M23+O23</f>
        <v>2</v>
      </c>
      <c r="G23" s="41">
        <f>+N23</f>
        <v>8</v>
      </c>
      <c r="H23" s="9">
        <v>0</v>
      </c>
      <c r="I23" s="13">
        <v>79</v>
      </c>
      <c r="J23" s="13">
        <v>5</v>
      </c>
      <c r="K23" s="13">
        <v>5</v>
      </c>
      <c r="L23" s="12"/>
      <c r="M23" s="14">
        <v>2</v>
      </c>
      <c r="N23" s="13">
        <v>8</v>
      </c>
      <c r="O23" s="13">
        <v>0</v>
      </c>
      <c r="P23" s="15">
        <v>10</v>
      </c>
      <c r="Q23" s="12"/>
      <c r="R23" s="13">
        <v>79</v>
      </c>
      <c r="S23" s="42" t="s">
        <v>97</v>
      </c>
    </row>
    <row r="24" spans="1:19" x14ac:dyDescent="0.25">
      <c r="A24" s="16"/>
      <c r="B24" s="17" t="s">
        <v>46</v>
      </c>
      <c r="C24" s="17" t="s">
        <v>54</v>
      </c>
      <c r="D24" s="9">
        <v>15</v>
      </c>
      <c r="E24" s="38">
        <v>9</v>
      </c>
      <c r="F24" s="41">
        <f>+M24+O24</f>
        <v>2</v>
      </c>
      <c r="G24" s="41">
        <f>+N24</f>
        <v>7</v>
      </c>
      <c r="H24" s="9">
        <v>6</v>
      </c>
      <c r="I24" s="18">
        <v>181</v>
      </c>
      <c r="J24" s="18">
        <v>7</v>
      </c>
      <c r="K24" s="18">
        <v>8</v>
      </c>
      <c r="L24" s="17"/>
      <c r="M24" s="19">
        <v>2</v>
      </c>
      <c r="N24" s="18">
        <v>7</v>
      </c>
      <c r="O24" s="18">
        <v>0</v>
      </c>
      <c r="P24" s="20">
        <v>9</v>
      </c>
      <c r="Q24" s="17"/>
      <c r="R24" s="18">
        <v>175</v>
      </c>
      <c r="S24" s="42" t="s">
        <v>98</v>
      </c>
    </row>
    <row r="25" spans="1:19" collapsed="1" x14ac:dyDescent="0.25">
      <c r="B25" s="8" t="s">
        <v>60</v>
      </c>
      <c r="C25" s="8" t="s">
        <v>69</v>
      </c>
      <c r="D25" s="9">
        <v>4</v>
      </c>
      <c r="E25" s="38">
        <v>4</v>
      </c>
      <c r="F25" s="41">
        <f>+M25+O25</f>
        <v>2</v>
      </c>
      <c r="G25" s="41">
        <f>+N25</f>
        <v>2</v>
      </c>
      <c r="H25" s="9">
        <v>0</v>
      </c>
      <c r="I25" s="9">
        <v>50</v>
      </c>
      <c r="J25" s="9">
        <v>2</v>
      </c>
      <c r="K25" s="9">
        <v>2</v>
      </c>
      <c r="L25" s="8"/>
      <c r="M25" s="10">
        <v>2</v>
      </c>
      <c r="N25" s="9">
        <v>2</v>
      </c>
      <c r="O25" s="9">
        <v>0</v>
      </c>
      <c r="P25" s="11">
        <v>4</v>
      </c>
      <c r="Q25" s="8"/>
      <c r="R25" s="9">
        <v>50</v>
      </c>
    </row>
    <row r="26" spans="1:19" x14ac:dyDescent="0.25">
      <c r="B26" s="12" t="s">
        <v>49</v>
      </c>
      <c r="C26" s="8" t="s">
        <v>54</v>
      </c>
      <c r="D26" s="9">
        <v>5</v>
      </c>
      <c r="E26" s="38">
        <v>2</v>
      </c>
      <c r="F26" s="41">
        <f>+M26+O26</f>
        <v>2</v>
      </c>
      <c r="G26" s="41">
        <f>+N26</f>
        <v>0</v>
      </c>
      <c r="H26" s="9">
        <v>3</v>
      </c>
      <c r="I26" s="13">
        <v>65</v>
      </c>
      <c r="J26" s="13">
        <v>3</v>
      </c>
      <c r="K26" s="13">
        <v>2</v>
      </c>
      <c r="L26" s="12"/>
      <c r="M26" s="14">
        <v>2</v>
      </c>
      <c r="N26" s="13">
        <v>0</v>
      </c>
      <c r="O26" s="13">
        <v>0</v>
      </c>
      <c r="P26" s="15">
        <v>2</v>
      </c>
      <c r="Q26" s="12"/>
      <c r="R26" s="13">
        <v>62</v>
      </c>
    </row>
    <row r="27" spans="1:19" x14ac:dyDescent="0.25">
      <c r="B27" s="12" t="s">
        <v>29</v>
      </c>
      <c r="C27" s="8" t="s">
        <v>31</v>
      </c>
      <c r="D27" s="9">
        <v>62</v>
      </c>
      <c r="E27" s="38">
        <v>53</v>
      </c>
      <c r="F27" s="41">
        <f>+M27+O27</f>
        <v>1</v>
      </c>
      <c r="G27" s="41">
        <f>+N27</f>
        <v>52</v>
      </c>
      <c r="H27" s="9">
        <v>9</v>
      </c>
      <c r="I27" s="13">
        <v>233</v>
      </c>
      <c r="J27" s="13">
        <v>50</v>
      </c>
      <c r="K27" s="13">
        <v>12</v>
      </c>
      <c r="L27" s="13"/>
      <c r="M27" s="14">
        <v>1</v>
      </c>
      <c r="N27" s="13">
        <v>52</v>
      </c>
      <c r="O27" s="13">
        <v>0</v>
      </c>
      <c r="P27" s="15">
        <v>53</v>
      </c>
      <c r="Q27" s="12"/>
      <c r="R27" s="13">
        <v>224</v>
      </c>
      <c r="S27" s="42" t="s">
        <v>73</v>
      </c>
    </row>
    <row r="28" spans="1:19" x14ac:dyDescent="0.25">
      <c r="B28" s="12" t="s">
        <v>19</v>
      </c>
      <c r="C28" s="8" t="s">
        <v>31</v>
      </c>
      <c r="D28" s="9">
        <v>37</v>
      </c>
      <c r="E28" s="38">
        <v>41</v>
      </c>
      <c r="F28" s="41">
        <f>+M28+O28</f>
        <v>1</v>
      </c>
      <c r="G28" s="41">
        <f>+N28</f>
        <v>40</v>
      </c>
      <c r="H28" s="9">
        <v>-4</v>
      </c>
      <c r="I28" s="13">
        <v>178</v>
      </c>
      <c r="J28" s="13">
        <v>36</v>
      </c>
      <c r="K28" s="13">
        <v>1</v>
      </c>
      <c r="L28" s="13"/>
      <c r="M28" s="14">
        <v>1</v>
      </c>
      <c r="N28" s="13">
        <v>40</v>
      </c>
      <c r="O28" s="13">
        <v>0</v>
      </c>
      <c r="P28" s="15">
        <v>41</v>
      </c>
      <c r="Q28" s="12"/>
      <c r="R28" s="13">
        <v>178</v>
      </c>
      <c r="S28" s="42" t="s">
        <v>76</v>
      </c>
    </row>
    <row r="29" spans="1:19" x14ac:dyDescent="0.25">
      <c r="B29" s="12" t="s">
        <v>55</v>
      </c>
      <c r="C29" s="8" t="s">
        <v>69</v>
      </c>
      <c r="D29" s="9">
        <v>40</v>
      </c>
      <c r="E29" s="38">
        <v>27</v>
      </c>
      <c r="F29" s="41">
        <f>+M29+O29</f>
        <v>1</v>
      </c>
      <c r="G29" s="41">
        <f>+N29</f>
        <v>26</v>
      </c>
      <c r="H29" s="9">
        <v>13</v>
      </c>
      <c r="I29" s="13">
        <v>87</v>
      </c>
      <c r="J29" s="13">
        <v>39</v>
      </c>
      <c r="K29" s="13">
        <v>1</v>
      </c>
      <c r="L29" s="12"/>
      <c r="M29" s="14">
        <v>1</v>
      </c>
      <c r="N29" s="13">
        <v>26</v>
      </c>
      <c r="O29" s="13">
        <v>0</v>
      </c>
      <c r="P29" s="15">
        <v>27</v>
      </c>
      <c r="Q29" s="12"/>
      <c r="R29" s="13">
        <v>74</v>
      </c>
      <c r="S29" s="42" t="s">
        <v>82</v>
      </c>
    </row>
    <row r="30" spans="1:19" x14ac:dyDescent="0.25">
      <c r="B30" s="12" t="s">
        <v>59</v>
      </c>
      <c r="C30" s="8" t="s">
        <v>69</v>
      </c>
      <c r="D30" s="9">
        <v>23</v>
      </c>
      <c r="E30" s="38">
        <v>20</v>
      </c>
      <c r="F30" s="41">
        <f>+M30+O30</f>
        <v>1</v>
      </c>
      <c r="G30" s="41">
        <f>+N30</f>
        <v>19</v>
      </c>
      <c r="H30" s="9">
        <v>3</v>
      </c>
      <c r="I30" s="13">
        <v>62</v>
      </c>
      <c r="J30" s="13">
        <v>12</v>
      </c>
      <c r="K30" s="13">
        <v>11</v>
      </c>
      <c r="L30" s="12"/>
      <c r="M30" s="14">
        <v>0</v>
      </c>
      <c r="N30" s="13">
        <v>19</v>
      </c>
      <c r="O30" s="13">
        <v>1</v>
      </c>
      <c r="P30" s="15">
        <v>20</v>
      </c>
      <c r="Q30" s="12"/>
      <c r="R30" s="13">
        <v>59</v>
      </c>
      <c r="S30" s="42" t="s">
        <v>82</v>
      </c>
    </row>
    <row r="31" spans="1:19" ht="30" x14ac:dyDescent="0.25">
      <c r="B31" s="12" t="s">
        <v>18</v>
      </c>
      <c r="C31" s="8" t="s">
        <v>31</v>
      </c>
      <c r="D31" s="9">
        <v>24</v>
      </c>
      <c r="E31" s="38">
        <v>17</v>
      </c>
      <c r="F31" s="41">
        <f>+M31+O31</f>
        <v>1</v>
      </c>
      <c r="G31" s="41">
        <f>+N31</f>
        <v>16</v>
      </c>
      <c r="H31" s="9">
        <v>7</v>
      </c>
      <c r="I31" s="13">
        <v>121</v>
      </c>
      <c r="J31" s="13">
        <v>22</v>
      </c>
      <c r="K31" s="13">
        <v>2</v>
      </c>
      <c r="L31" s="13"/>
      <c r="M31" s="14">
        <v>1</v>
      </c>
      <c r="N31" s="13">
        <v>16</v>
      </c>
      <c r="O31" s="13">
        <v>0</v>
      </c>
      <c r="P31" s="15">
        <v>17</v>
      </c>
      <c r="Q31" s="12"/>
      <c r="R31" s="13">
        <v>114</v>
      </c>
      <c r="S31" s="42" t="s">
        <v>87</v>
      </c>
    </row>
    <row r="32" spans="1:19" x14ac:dyDescent="0.25">
      <c r="B32" s="44" t="s">
        <v>44</v>
      </c>
      <c r="C32" s="8" t="s">
        <v>54</v>
      </c>
      <c r="D32" s="9">
        <v>9</v>
      </c>
      <c r="E32" s="38">
        <v>12</v>
      </c>
      <c r="F32" s="41">
        <f>+M32+O32</f>
        <v>1</v>
      </c>
      <c r="G32" s="41">
        <f>+N32</f>
        <v>11</v>
      </c>
      <c r="H32" s="9">
        <v>-3</v>
      </c>
      <c r="I32" s="13">
        <v>50</v>
      </c>
      <c r="J32" s="13">
        <v>0</v>
      </c>
      <c r="K32" s="13">
        <v>9</v>
      </c>
      <c r="L32" s="12"/>
      <c r="M32" s="14">
        <v>0</v>
      </c>
      <c r="N32" s="13">
        <v>11</v>
      </c>
      <c r="O32" s="13">
        <v>1</v>
      </c>
      <c r="P32" s="15">
        <v>12</v>
      </c>
      <c r="Q32" s="12"/>
      <c r="R32" s="13">
        <v>50</v>
      </c>
      <c r="S32" s="42" t="s">
        <v>94</v>
      </c>
    </row>
    <row r="33" spans="2:19" x14ac:dyDescent="0.25">
      <c r="B33" s="12" t="s">
        <v>36</v>
      </c>
      <c r="C33" s="8" t="s">
        <v>54</v>
      </c>
      <c r="D33" s="9">
        <v>65</v>
      </c>
      <c r="E33" s="38">
        <v>11</v>
      </c>
      <c r="F33" s="41">
        <f>+M33+O33</f>
        <v>1</v>
      </c>
      <c r="G33" s="41">
        <f>+N33</f>
        <v>10</v>
      </c>
      <c r="H33" s="9">
        <v>54</v>
      </c>
      <c r="I33" s="13">
        <v>198</v>
      </c>
      <c r="J33" s="13">
        <v>62</v>
      </c>
      <c r="K33" s="13">
        <v>3</v>
      </c>
      <c r="L33" s="12"/>
      <c r="M33" s="14">
        <v>0</v>
      </c>
      <c r="N33" s="13">
        <v>10</v>
      </c>
      <c r="O33" s="13">
        <v>1</v>
      </c>
      <c r="P33" s="15">
        <v>11</v>
      </c>
      <c r="Q33" s="12"/>
      <c r="R33" s="13">
        <v>144</v>
      </c>
      <c r="S33" s="42" t="s">
        <v>95</v>
      </c>
    </row>
    <row r="34" spans="2:19" x14ac:dyDescent="0.25">
      <c r="B34" s="12" t="s">
        <v>28</v>
      </c>
      <c r="C34" s="8" t="s">
        <v>31</v>
      </c>
      <c r="D34" s="9">
        <v>10</v>
      </c>
      <c r="E34" s="38">
        <v>7</v>
      </c>
      <c r="F34" s="41">
        <f>+M34+O34</f>
        <v>1</v>
      </c>
      <c r="G34" s="41">
        <f>+N34</f>
        <v>6</v>
      </c>
      <c r="H34" s="9">
        <v>3</v>
      </c>
      <c r="I34" s="13">
        <v>73</v>
      </c>
      <c r="J34" s="13">
        <v>7</v>
      </c>
      <c r="K34" s="13">
        <v>3</v>
      </c>
      <c r="L34" s="13"/>
      <c r="M34" s="14">
        <v>1</v>
      </c>
      <c r="N34" s="13">
        <v>6</v>
      </c>
      <c r="O34" s="13">
        <v>0</v>
      </c>
      <c r="P34" s="15">
        <v>7</v>
      </c>
      <c r="Q34" s="12"/>
      <c r="R34" s="13">
        <v>70</v>
      </c>
      <c r="S34" s="42">
        <v>1</v>
      </c>
    </row>
    <row r="35" spans="2:19" x14ac:dyDescent="0.25">
      <c r="B35" s="12" t="s">
        <v>13</v>
      </c>
      <c r="C35" s="8" t="s">
        <v>31</v>
      </c>
      <c r="D35" s="9">
        <v>6</v>
      </c>
      <c r="E35" s="38">
        <v>2</v>
      </c>
      <c r="F35" s="41">
        <f>+M35+O35</f>
        <v>1</v>
      </c>
      <c r="G35" s="41">
        <f>+N35</f>
        <v>1</v>
      </c>
      <c r="H35" s="9">
        <v>4</v>
      </c>
      <c r="I35" s="13">
        <v>64</v>
      </c>
      <c r="J35" s="13">
        <v>5</v>
      </c>
      <c r="K35" s="13">
        <v>1</v>
      </c>
      <c r="L35" s="13"/>
      <c r="M35" s="14">
        <v>1</v>
      </c>
      <c r="N35" s="13">
        <v>1</v>
      </c>
      <c r="O35" s="13">
        <v>0</v>
      </c>
      <c r="P35" s="15">
        <v>2</v>
      </c>
      <c r="Q35" s="12"/>
      <c r="R35" s="13">
        <v>60</v>
      </c>
    </row>
    <row r="36" spans="2:19" x14ac:dyDescent="0.25">
      <c r="B36" s="12" t="s">
        <v>12</v>
      </c>
      <c r="C36" s="8" t="s">
        <v>31</v>
      </c>
      <c r="D36" s="9">
        <v>1</v>
      </c>
      <c r="E36" s="38">
        <v>1</v>
      </c>
      <c r="F36" s="41">
        <f>+M36+O36</f>
        <v>1</v>
      </c>
      <c r="G36" s="41">
        <f>+N36</f>
        <v>0</v>
      </c>
      <c r="H36" s="9">
        <v>0</v>
      </c>
      <c r="I36" s="13">
        <v>75</v>
      </c>
      <c r="J36" s="13">
        <v>0</v>
      </c>
      <c r="K36" s="13">
        <v>1</v>
      </c>
      <c r="L36" s="13"/>
      <c r="M36" s="14">
        <v>0</v>
      </c>
      <c r="N36" s="13">
        <v>0</v>
      </c>
      <c r="O36" s="13">
        <v>1</v>
      </c>
      <c r="P36" s="15">
        <v>1</v>
      </c>
      <c r="Q36" s="12"/>
      <c r="R36" s="13">
        <v>75</v>
      </c>
    </row>
    <row r="37" spans="2:19" x14ac:dyDescent="0.25">
      <c r="B37" s="12" t="s">
        <v>52</v>
      </c>
      <c r="C37" s="8" t="s">
        <v>54</v>
      </c>
      <c r="D37" s="9">
        <v>46</v>
      </c>
      <c r="E37" s="38">
        <v>45</v>
      </c>
      <c r="F37" s="41">
        <f>+M37+O37</f>
        <v>0</v>
      </c>
      <c r="G37" s="41">
        <f>+N37</f>
        <v>45</v>
      </c>
      <c r="H37" s="9">
        <v>1</v>
      </c>
      <c r="I37" s="13">
        <v>190</v>
      </c>
      <c r="J37" s="13">
        <v>34</v>
      </c>
      <c r="K37" s="13">
        <v>12</v>
      </c>
      <c r="L37" s="12"/>
      <c r="M37" s="14">
        <v>0</v>
      </c>
      <c r="N37" s="13">
        <v>45</v>
      </c>
      <c r="O37" s="13">
        <v>0</v>
      </c>
      <c r="P37" s="15">
        <v>45</v>
      </c>
      <c r="Q37" s="12"/>
      <c r="R37" s="13">
        <v>189</v>
      </c>
      <c r="S37" s="42" t="s">
        <v>75</v>
      </c>
    </row>
    <row r="38" spans="2:19" x14ac:dyDescent="0.25">
      <c r="B38" s="12" t="s">
        <v>22</v>
      </c>
      <c r="C38" s="8" t="s">
        <v>31</v>
      </c>
      <c r="D38" s="9">
        <v>47</v>
      </c>
      <c r="E38" s="38">
        <v>24</v>
      </c>
      <c r="F38" s="41">
        <f>+M38+O38</f>
        <v>0</v>
      </c>
      <c r="G38" s="41">
        <f>+N38</f>
        <v>24</v>
      </c>
      <c r="H38" s="9">
        <v>23</v>
      </c>
      <c r="I38" s="13">
        <v>110</v>
      </c>
      <c r="J38" s="13">
        <v>41</v>
      </c>
      <c r="K38" s="13">
        <v>6</v>
      </c>
      <c r="L38" s="13"/>
      <c r="M38" s="14">
        <v>0</v>
      </c>
      <c r="N38" s="13">
        <v>24</v>
      </c>
      <c r="O38" s="13">
        <v>0</v>
      </c>
      <c r="P38" s="15">
        <v>24</v>
      </c>
      <c r="Q38" s="12"/>
      <c r="R38" s="13">
        <v>87</v>
      </c>
      <c r="S38" s="42" t="s">
        <v>84</v>
      </c>
    </row>
    <row r="39" spans="2:19" x14ac:dyDescent="0.25">
      <c r="B39" s="12" t="s">
        <v>39</v>
      </c>
      <c r="C39" s="8" t="s">
        <v>54</v>
      </c>
      <c r="D39" s="9">
        <v>56</v>
      </c>
      <c r="E39" s="38">
        <v>14</v>
      </c>
      <c r="F39" s="41">
        <f>+M39+O39</f>
        <v>0</v>
      </c>
      <c r="G39" s="41">
        <f>+N39</f>
        <v>14</v>
      </c>
      <c r="H39" s="9">
        <v>42</v>
      </c>
      <c r="I39" s="13">
        <v>289</v>
      </c>
      <c r="J39" s="13">
        <v>50</v>
      </c>
      <c r="K39" s="13">
        <v>6</v>
      </c>
      <c r="L39" s="12"/>
      <c r="M39" s="14">
        <v>0</v>
      </c>
      <c r="N39" s="13">
        <v>14</v>
      </c>
      <c r="O39" s="13">
        <v>0</v>
      </c>
      <c r="P39" s="15">
        <v>14</v>
      </c>
      <c r="Q39" s="12"/>
      <c r="R39" s="13">
        <v>247</v>
      </c>
      <c r="S39" s="42" t="s">
        <v>88</v>
      </c>
    </row>
    <row r="40" spans="2:19" x14ac:dyDescent="0.25">
      <c r="B40" s="12" t="s">
        <v>26</v>
      </c>
      <c r="C40" s="8" t="s">
        <v>31</v>
      </c>
      <c r="D40" s="9">
        <v>3</v>
      </c>
      <c r="E40" s="38">
        <v>9</v>
      </c>
      <c r="F40" s="41">
        <f>+M40+O40</f>
        <v>0</v>
      </c>
      <c r="G40" s="41">
        <f>+N40</f>
        <v>9</v>
      </c>
      <c r="H40" s="9">
        <v>-6</v>
      </c>
      <c r="I40" s="13">
        <v>100</v>
      </c>
      <c r="J40" s="13">
        <v>1</v>
      </c>
      <c r="K40" s="13">
        <v>2</v>
      </c>
      <c r="L40" s="13"/>
      <c r="M40" s="14">
        <v>0</v>
      </c>
      <c r="N40" s="13">
        <v>9</v>
      </c>
      <c r="O40" s="13">
        <v>0</v>
      </c>
      <c r="P40" s="15">
        <v>9</v>
      </c>
      <c r="Q40" s="12"/>
      <c r="R40" s="13">
        <v>100</v>
      </c>
      <c r="S40" s="42" t="s">
        <v>88</v>
      </c>
    </row>
    <row r="41" spans="2:19" x14ac:dyDescent="0.25">
      <c r="B41" s="12" t="s">
        <v>37</v>
      </c>
      <c r="C41" s="8" t="s">
        <v>54</v>
      </c>
      <c r="D41" s="9">
        <v>6</v>
      </c>
      <c r="E41" s="38">
        <v>3</v>
      </c>
      <c r="F41" s="41">
        <f>+M41+O41</f>
        <v>0</v>
      </c>
      <c r="G41" s="41">
        <f>+N41</f>
        <v>3</v>
      </c>
      <c r="H41" s="9">
        <v>3</v>
      </c>
      <c r="I41" s="13">
        <v>95</v>
      </c>
      <c r="J41" s="13">
        <v>6</v>
      </c>
      <c r="K41" s="13">
        <v>0</v>
      </c>
      <c r="L41" s="12"/>
      <c r="M41" s="14">
        <v>0</v>
      </c>
      <c r="N41" s="13">
        <v>3</v>
      </c>
      <c r="O41" s="13">
        <v>0</v>
      </c>
      <c r="P41" s="15">
        <v>3</v>
      </c>
      <c r="Q41" s="12"/>
      <c r="R41" s="13">
        <v>92</v>
      </c>
    </row>
    <row r="42" spans="2:19" x14ac:dyDescent="0.25">
      <c r="B42" s="12" t="s">
        <v>15</v>
      </c>
      <c r="C42" s="8" t="s">
        <v>31</v>
      </c>
      <c r="D42" s="9">
        <v>10</v>
      </c>
      <c r="E42" s="38">
        <v>2</v>
      </c>
      <c r="F42" s="41">
        <f>+M42+O42</f>
        <v>0</v>
      </c>
      <c r="G42" s="41">
        <f>+N42</f>
        <v>2</v>
      </c>
      <c r="H42" s="9">
        <v>8</v>
      </c>
      <c r="I42" s="13">
        <v>46</v>
      </c>
      <c r="J42" s="13">
        <v>9</v>
      </c>
      <c r="K42" s="13">
        <v>1</v>
      </c>
      <c r="L42" s="13"/>
      <c r="M42" s="14">
        <v>0</v>
      </c>
      <c r="N42" s="13">
        <v>2</v>
      </c>
      <c r="O42" s="13">
        <v>0</v>
      </c>
      <c r="P42" s="15">
        <v>2</v>
      </c>
      <c r="Q42" s="12"/>
      <c r="R42" s="13">
        <v>38</v>
      </c>
    </row>
    <row r="43" spans="2:19" x14ac:dyDescent="0.25">
      <c r="B43" s="17" t="s">
        <v>17</v>
      </c>
      <c r="C43" s="36" t="s">
        <v>31</v>
      </c>
      <c r="D43" s="9">
        <v>4</v>
      </c>
      <c r="E43" s="38">
        <v>2</v>
      </c>
      <c r="F43" s="41">
        <f>+M43+O43</f>
        <v>0</v>
      </c>
      <c r="G43" s="41">
        <f>+N43</f>
        <v>2</v>
      </c>
      <c r="H43" s="9">
        <v>2</v>
      </c>
      <c r="I43" s="18">
        <v>47</v>
      </c>
      <c r="J43" s="18">
        <v>3</v>
      </c>
      <c r="K43" s="18">
        <v>1</v>
      </c>
      <c r="L43" s="18"/>
      <c r="M43" s="19">
        <v>0</v>
      </c>
      <c r="N43" s="18">
        <v>2</v>
      </c>
      <c r="O43" s="18">
        <v>0</v>
      </c>
      <c r="P43" s="20">
        <v>2</v>
      </c>
      <c r="Q43" s="17"/>
      <c r="R43" s="18">
        <v>45</v>
      </c>
    </row>
    <row r="44" spans="2:19" x14ac:dyDescent="0.25">
      <c r="B44" s="12" t="s">
        <v>64</v>
      </c>
      <c r="C44" s="12" t="s">
        <v>69</v>
      </c>
      <c r="D44" s="9">
        <v>5</v>
      </c>
      <c r="E44" s="38">
        <v>1</v>
      </c>
      <c r="F44" s="41">
        <f>+M44+O44</f>
        <v>0</v>
      </c>
      <c r="G44" s="41">
        <f>+N44</f>
        <v>1</v>
      </c>
      <c r="H44" s="9">
        <v>4</v>
      </c>
      <c r="I44" s="13">
        <v>44</v>
      </c>
      <c r="J44" s="13">
        <v>4</v>
      </c>
      <c r="K44" s="13">
        <v>1</v>
      </c>
      <c r="L44" s="12"/>
      <c r="M44" s="14">
        <v>0</v>
      </c>
      <c r="N44" s="13">
        <v>1</v>
      </c>
      <c r="O44" s="13">
        <v>0</v>
      </c>
      <c r="P44" s="15">
        <v>1</v>
      </c>
      <c r="Q44" s="12"/>
      <c r="R44" s="13">
        <v>40</v>
      </c>
    </row>
    <row r="45" spans="2:19" x14ac:dyDescent="0.25">
      <c r="B45" s="12" t="s">
        <v>42</v>
      </c>
      <c r="C45" s="12" t="s">
        <v>54</v>
      </c>
      <c r="D45" s="9">
        <v>4</v>
      </c>
      <c r="E45" s="38">
        <v>1</v>
      </c>
      <c r="F45" s="41">
        <f>+M45+O45</f>
        <v>0</v>
      </c>
      <c r="G45" s="41">
        <f>+N45</f>
        <v>1</v>
      </c>
      <c r="H45" s="9">
        <v>3</v>
      </c>
      <c r="I45" s="13">
        <v>93</v>
      </c>
      <c r="J45" s="13">
        <v>4</v>
      </c>
      <c r="K45" s="13">
        <v>0</v>
      </c>
      <c r="L45" s="12"/>
      <c r="M45" s="14">
        <v>0</v>
      </c>
      <c r="N45" s="13">
        <v>1</v>
      </c>
      <c r="O45" s="13">
        <v>0</v>
      </c>
      <c r="P45" s="15">
        <v>1</v>
      </c>
      <c r="Q45" s="12"/>
      <c r="R45" s="13">
        <v>90</v>
      </c>
    </row>
    <row r="46" spans="2:19" x14ac:dyDescent="0.25">
      <c r="B46" s="8" t="s">
        <v>63</v>
      </c>
      <c r="C46" s="8" t="s">
        <v>69</v>
      </c>
      <c r="D46" s="9">
        <v>4</v>
      </c>
      <c r="E46" s="38">
        <v>1</v>
      </c>
      <c r="F46" s="41">
        <f>+M46+O46</f>
        <v>0</v>
      </c>
      <c r="G46" s="41">
        <f>+N46</f>
        <v>1</v>
      </c>
      <c r="H46" s="9">
        <v>3</v>
      </c>
      <c r="I46" s="9">
        <v>45</v>
      </c>
      <c r="J46" s="9">
        <v>4</v>
      </c>
      <c r="K46" s="9">
        <v>0</v>
      </c>
      <c r="L46" s="8"/>
      <c r="M46" s="10">
        <v>0</v>
      </c>
      <c r="N46" s="9">
        <v>1</v>
      </c>
      <c r="O46" s="9">
        <v>0</v>
      </c>
      <c r="P46" s="11">
        <v>1</v>
      </c>
      <c r="Q46" s="8"/>
      <c r="R46" s="9">
        <v>42</v>
      </c>
    </row>
    <row r="47" spans="2:19" x14ac:dyDescent="0.25">
      <c r="B47" s="12" t="s">
        <v>27</v>
      </c>
      <c r="C47" s="8" t="s">
        <v>31</v>
      </c>
      <c r="D47" s="9">
        <v>13</v>
      </c>
      <c r="E47" s="38">
        <v>0</v>
      </c>
      <c r="F47" s="41">
        <f>+M47+O47</f>
        <v>0</v>
      </c>
      <c r="G47" s="41">
        <f>+N47</f>
        <v>0</v>
      </c>
      <c r="H47" s="9">
        <v>13</v>
      </c>
      <c r="I47" s="13">
        <v>234</v>
      </c>
      <c r="J47" s="13">
        <v>13</v>
      </c>
      <c r="K47" s="13">
        <v>0</v>
      </c>
      <c r="L47" s="13"/>
      <c r="M47" s="14">
        <v>0</v>
      </c>
      <c r="N47" s="13">
        <v>0</v>
      </c>
      <c r="O47" s="13">
        <v>0</v>
      </c>
      <c r="P47" s="15">
        <v>0</v>
      </c>
      <c r="Q47" s="12"/>
      <c r="R47" s="13">
        <v>221</v>
      </c>
    </row>
    <row r="48" spans="2:19" x14ac:dyDescent="0.25">
      <c r="B48" s="12" t="s">
        <v>45</v>
      </c>
      <c r="C48" s="8" t="s">
        <v>54</v>
      </c>
      <c r="D48" s="9">
        <v>2</v>
      </c>
      <c r="E48" s="38">
        <v>0</v>
      </c>
      <c r="F48" s="41">
        <f>+M48+O48</f>
        <v>0</v>
      </c>
      <c r="G48" s="41">
        <f>+N48</f>
        <v>0</v>
      </c>
      <c r="H48" s="9">
        <v>2</v>
      </c>
      <c r="I48" s="13">
        <v>81</v>
      </c>
      <c r="J48" s="13">
        <v>2</v>
      </c>
      <c r="K48" s="13">
        <v>0</v>
      </c>
      <c r="L48" s="12"/>
      <c r="M48" s="14">
        <v>0</v>
      </c>
      <c r="N48" s="13">
        <v>0</v>
      </c>
      <c r="O48" s="13">
        <v>0</v>
      </c>
      <c r="P48" s="15">
        <v>0</v>
      </c>
      <c r="Q48" s="12"/>
      <c r="R48" s="13">
        <v>79</v>
      </c>
    </row>
    <row r="49" spans="2:18" x14ac:dyDescent="0.25">
      <c r="B49" s="12" t="s">
        <v>38</v>
      </c>
      <c r="C49" s="8" t="s">
        <v>54</v>
      </c>
      <c r="D49" s="9">
        <v>1</v>
      </c>
      <c r="E49" s="38">
        <v>0</v>
      </c>
      <c r="F49" s="41">
        <f>+M49+O49</f>
        <v>0</v>
      </c>
      <c r="G49" s="41">
        <f>+N49</f>
        <v>0</v>
      </c>
      <c r="H49" s="9">
        <v>1</v>
      </c>
      <c r="I49" s="13">
        <v>76</v>
      </c>
      <c r="J49" s="13">
        <v>1</v>
      </c>
      <c r="K49" s="13">
        <v>0</v>
      </c>
      <c r="L49" s="12"/>
      <c r="M49" s="14">
        <v>0</v>
      </c>
      <c r="N49" s="13">
        <v>0</v>
      </c>
      <c r="O49" s="13">
        <v>0</v>
      </c>
      <c r="P49" s="15">
        <v>0</v>
      </c>
      <c r="Q49" s="12"/>
      <c r="R49" s="13">
        <v>75</v>
      </c>
    </row>
    <row r="50" spans="2:18" x14ac:dyDescent="0.25">
      <c r="B50" s="12" t="s">
        <v>14</v>
      </c>
      <c r="C50" s="8" t="s">
        <v>31</v>
      </c>
      <c r="D50" s="9">
        <v>0</v>
      </c>
      <c r="E50" s="38">
        <v>0</v>
      </c>
      <c r="F50" s="41">
        <f>+M50+O50</f>
        <v>0</v>
      </c>
      <c r="G50" s="41">
        <f>+N50</f>
        <v>0</v>
      </c>
      <c r="H50" s="9">
        <v>0</v>
      </c>
      <c r="I50" s="13">
        <v>31</v>
      </c>
      <c r="J50" s="13">
        <v>0</v>
      </c>
      <c r="K50" s="13">
        <v>0</v>
      </c>
      <c r="L50" s="13"/>
      <c r="M50" s="14">
        <v>0</v>
      </c>
      <c r="N50" s="13">
        <v>0</v>
      </c>
      <c r="O50" s="13">
        <v>0</v>
      </c>
      <c r="P50" s="15">
        <v>0</v>
      </c>
      <c r="Q50" s="12"/>
      <c r="R50" s="13">
        <v>31</v>
      </c>
    </row>
    <row r="51" spans="2:18" x14ac:dyDescent="0.25">
      <c r="B51" s="12" t="s">
        <v>16</v>
      </c>
      <c r="C51" s="8" t="s">
        <v>31</v>
      </c>
      <c r="D51" s="9">
        <v>0</v>
      </c>
      <c r="E51" s="38">
        <v>0</v>
      </c>
      <c r="F51" s="41">
        <f>+M51+O51</f>
        <v>0</v>
      </c>
      <c r="G51" s="41">
        <f>+N51</f>
        <v>0</v>
      </c>
      <c r="H51" s="9">
        <v>0</v>
      </c>
      <c r="I51" s="13">
        <v>99</v>
      </c>
      <c r="J51" s="13">
        <v>0</v>
      </c>
      <c r="K51" s="13">
        <v>0</v>
      </c>
      <c r="L51" s="13"/>
      <c r="M51" s="14">
        <v>0</v>
      </c>
      <c r="N51" s="13">
        <v>0</v>
      </c>
      <c r="O51" s="13">
        <v>0</v>
      </c>
      <c r="P51" s="15">
        <v>0</v>
      </c>
      <c r="Q51" s="12"/>
      <c r="R51" s="13">
        <v>99</v>
      </c>
    </row>
    <row r="52" spans="2:18" x14ac:dyDescent="0.25">
      <c r="B52" s="12" t="s">
        <v>21</v>
      </c>
      <c r="C52" s="8" t="s">
        <v>31</v>
      </c>
      <c r="D52" s="9">
        <v>0</v>
      </c>
      <c r="E52" s="38">
        <v>0</v>
      </c>
      <c r="F52" s="41">
        <f>+M52+O52</f>
        <v>0</v>
      </c>
      <c r="G52" s="41">
        <f>+N52</f>
        <v>0</v>
      </c>
      <c r="H52" s="9">
        <v>0</v>
      </c>
      <c r="I52" s="13">
        <v>162</v>
      </c>
      <c r="J52" s="13">
        <v>0</v>
      </c>
      <c r="K52" s="13">
        <v>0</v>
      </c>
      <c r="L52" s="13"/>
      <c r="M52" s="14">
        <v>0</v>
      </c>
      <c r="N52" s="13">
        <v>0</v>
      </c>
      <c r="O52" s="13">
        <v>0</v>
      </c>
      <c r="P52" s="15">
        <v>0</v>
      </c>
      <c r="Q52" s="12"/>
      <c r="R52" s="13">
        <v>162</v>
      </c>
    </row>
    <row r="53" spans="2:18" x14ac:dyDescent="0.25">
      <c r="B53" s="17" t="s">
        <v>24</v>
      </c>
      <c r="C53" s="36" t="s">
        <v>31</v>
      </c>
      <c r="D53" s="37">
        <v>0</v>
      </c>
      <c r="E53" s="39">
        <v>0</v>
      </c>
      <c r="F53" s="41">
        <f>+M53+O53</f>
        <v>0</v>
      </c>
      <c r="G53" s="41">
        <f>+N53</f>
        <v>0</v>
      </c>
      <c r="H53" s="37">
        <v>0</v>
      </c>
      <c r="I53" s="18">
        <v>37</v>
      </c>
      <c r="J53" s="18">
        <v>0</v>
      </c>
      <c r="K53" s="18">
        <v>0</v>
      </c>
      <c r="L53" s="18"/>
      <c r="M53" s="19">
        <v>0</v>
      </c>
      <c r="N53" s="18">
        <v>0</v>
      </c>
      <c r="O53" s="18">
        <v>0</v>
      </c>
      <c r="P53" s="20">
        <v>0</v>
      </c>
      <c r="Q53" s="17"/>
      <c r="R53" s="18">
        <v>37</v>
      </c>
    </row>
    <row r="54" spans="2:18" x14ac:dyDescent="0.25">
      <c r="B54" s="12" t="s">
        <v>62</v>
      </c>
      <c r="C54" s="12" t="s">
        <v>69</v>
      </c>
      <c r="D54" s="13">
        <v>0</v>
      </c>
      <c r="E54" s="40">
        <v>0</v>
      </c>
      <c r="F54" s="41">
        <f>+M54+O54</f>
        <v>0</v>
      </c>
      <c r="G54" s="41">
        <f>+N54</f>
        <v>0</v>
      </c>
      <c r="H54" s="13">
        <v>0</v>
      </c>
      <c r="I54" s="13">
        <v>36</v>
      </c>
      <c r="J54" s="13">
        <v>0</v>
      </c>
      <c r="K54" s="13">
        <v>0</v>
      </c>
      <c r="L54" s="12"/>
      <c r="M54" s="14">
        <v>0</v>
      </c>
      <c r="N54" s="13">
        <v>0</v>
      </c>
      <c r="O54" s="13">
        <v>0</v>
      </c>
      <c r="P54" s="15">
        <v>0</v>
      </c>
      <c r="Q54" s="12"/>
      <c r="R54" s="13">
        <v>36</v>
      </c>
    </row>
    <row r="55" spans="2:18" x14ac:dyDescent="0.25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</sheetData>
  <autoFilter ref="B3:T54" xr:uid="{4E7DAAC0-7425-4285-9494-80A60866DA6B}">
    <sortState xmlns:xlrd2="http://schemas.microsoft.com/office/spreadsheetml/2017/richdata2" ref="B4:T54">
      <sortCondition descending="1" ref="F3:F54"/>
    </sortState>
  </autoFilter>
  <pageMargins left="0.25" right="0.25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02FE-AA3E-4210-9052-1341B6CF9336}">
  <dimension ref="A2:L63"/>
  <sheetViews>
    <sheetView workbookViewId="0">
      <selection activeCell="G6" sqref="A1:XFD1048576"/>
    </sheetView>
  </sheetViews>
  <sheetFormatPr defaultRowHeight="15" outlineLevelRow="1" x14ac:dyDescent="0.25"/>
  <cols>
    <col min="2" max="5" width="12.7109375" customWidth="1"/>
    <col min="6" max="6" width="2.7109375" customWidth="1"/>
    <col min="7" max="9" width="12.7109375" customWidth="1"/>
    <col min="10" max="10" width="16.7109375" bestFit="1" customWidth="1"/>
    <col min="11" max="11" width="2.7109375" customWidth="1"/>
    <col min="12" max="12" width="13.7109375" bestFit="1" customWidth="1"/>
  </cols>
  <sheetData>
    <row r="2" spans="1:12" ht="21.75" thickBot="1" x14ac:dyDescent="0.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7.25" x14ac:dyDescent="0.4">
      <c r="B3" s="3" t="s">
        <v>1</v>
      </c>
      <c r="C3" s="4" t="s">
        <v>2</v>
      </c>
      <c r="D3" s="4" t="s">
        <v>3</v>
      </c>
      <c r="E3" s="4" t="s">
        <v>4</v>
      </c>
      <c r="F3" s="4"/>
      <c r="G3" s="5" t="s">
        <v>5</v>
      </c>
      <c r="H3" s="6" t="s">
        <v>6</v>
      </c>
      <c r="I3" s="6" t="s">
        <v>7</v>
      </c>
      <c r="J3" s="7" t="s">
        <v>8</v>
      </c>
      <c r="K3" s="3"/>
      <c r="L3" s="4" t="s">
        <v>9</v>
      </c>
    </row>
    <row r="4" spans="1:12" x14ac:dyDescent="0.25">
      <c r="B4" s="8" t="s">
        <v>10</v>
      </c>
      <c r="C4" s="9">
        <v>88</v>
      </c>
      <c r="D4" s="9">
        <v>0</v>
      </c>
      <c r="E4" s="9">
        <v>13</v>
      </c>
      <c r="F4" s="9"/>
      <c r="G4" s="10">
        <v>3</v>
      </c>
      <c r="H4" s="9">
        <v>9</v>
      </c>
      <c r="I4" s="9">
        <v>0</v>
      </c>
      <c r="J4" s="11">
        <v>12</v>
      </c>
      <c r="K4" s="8"/>
      <c r="L4" s="9">
        <v>87</v>
      </c>
    </row>
    <row r="5" spans="1:12" x14ac:dyDescent="0.25">
      <c r="B5" s="12" t="s">
        <v>11</v>
      </c>
      <c r="C5" s="13">
        <v>93</v>
      </c>
      <c r="D5" s="13">
        <v>12</v>
      </c>
      <c r="E5" s="13">
        <v>25</v>
      </c>
      <c r="F5" s="13"/>
      <c r="G5" s="14">
        <v>19</v>
      </c>
      <c r="H5" s="13">
        <v>17</v>
      </c>
      <c r="I5" s="13">
        <v>0</v>
      </c>
      <c r="J5" s="15">
        <v>36</v>
      </c>
      <c r="K5" s="12"/>
      <c r="L5" s="13">
        <v>92</v>
      </c>
    </row>
    <row r="6" spans="1:12" x14ac:dyDescent="0.25">
      <c r="B6" s="12" t="s">
        <v>12</v>
      </c>
      <c r="C6" s="13">
        <v>75</v>
      </c>
      <c r="D6" s="13">
        <v>0</v>
      </c>
      <c r="E6" s="13">
        <v>1</v>
      </c>
      <c r="F6" s="13"/>
      <c r="G6" s="14">
        <v>0</v>
      </c>
      <c r="H6" s="13">
        <v>0</v>
      </c>
      <c r="I6" s="13">
        <v>1</v>
      </c>
      <c r="J6" s="15">
        <v>1</v>
      </c>
      <c r="K6" s="12"/>
      <c r="L6" s="13">
        <v>75</v>
      </c>
    </row>
    <row r="7" spans="1:12" x14ac:dyDescent="0.25">
      <c r="B7" s="12" t="s">
        <v>13</v>
      </c>
      <c r="C7" s="13">
        <v>64</v>
      </c>
      <c r="D7" s="13">
        <v>5</v>
      </c>
      <c r="E7" s="13">
        <v>1</v>
      </c>
      <c r="F7" s="13"/>
      <c r="G7" s="14">
        <v>1</v>
      </c>
      <c r="H7" s="13">
        <v>1</v>
      </c>
      <c r="I7" s="13">
        <v>0</v>
      </c>
      <c r="J7" s="15">
        <v>2</v>
      </c>
      <c r="K7" s="12"/>
      <c r="L7" s="13">
        <v>60</v>
      </c>
    </row>
    <row r="8" spans="1:12" x14ac:dyDescent="0.25">
      <c r="B8" s="12" t="s">
        <v>14</v>
      </c>
      <c r="C8" s="13">
        <v>31</v>
      </c>
      <c r="D8" s="13">
        <v>0</v>
      </c>
      <c r="E8" s="13">
        <v>0</v>
      </c>
      <c r="F8" s="13"/>
      <c r="G8" s="14">
        <v>0</v>
      </c>
      <c r="H8" s="13">
        <v>0</v>
      </c>
      <c r="I8" s="13">
        <v>0</v>
      </c>
      <c r="J8" s="15">
        <v>0</v>
      </c>
      <c r="K8" s="12"/>
      <c r="L8" s="13">
        <v>31</v>
      </c>
    </row>
    <row r="9" spans="1:12" x14ac:dyDescent="0.25">
      <c r="B9" s="12" t="s">
        <v>15</v>
      </c>
      <c r="C9" s="13">
        <v>46</v>
      </c>
      <c r="D9" s="13">
        <v>9</v>
      </c>
      <c r="E9" s="13">
        <v>1</v>
      </c>
      <c r="F9" s="13"/>
      <c r="G9" s="14">
        <v>0</v>
      </c>
      <c r="H9" s="13">
        <v>2</v>
      </c>
      <c r="I9" s="13">
        <v>0</v>
      </c>
      <c r="J9" s="15">
        <v>2</v>
      </c>
      <c r="K9" s="12"/>
      <c r="L9" s="13">
        <v>38</v>
      </c>
    </row>
    <row r="10" spans="1:12" x14ac:dyDescent="0.25">
      <c r="B10" s="12" t="s">
        <v>16</v>
      </c>
      <c r="C10" s="13">
        <v>99</v>
      </c>
      <c r="D10" s="13">
        <v>0</v>
      </c>
      <c r="E10" s="13">
        <v>0</v>
      </c>
      <c r="F10" s="13"/>
      <c r="G10" s="14">
        <v>0</v>
      </c>
      <c r="H10" s="13">
        <v>0</v>
      </c>
      <c r="I10" s="13">
        <v>0</v>
      </c>
      <c r="J10" s="15">
        <v>0</v>
      </c>
      <c r="K10" s="12"/>
      <c r="L10" s="13">
        <v>99</v>
      </c>
    </row>
    <row r="11" spans="1:12" x14ac:dyDescent="0.25">
      <c r="B11" s="12" t="s">
        <v>17</v>
      </c>
      <c r="C11" s="13">
        <v>47</v>
      </c>
      <c r="D11" s="13">
        <v>3</v>
      </c>
      <c r="E11" s="13">
        <v>1</v>
      </c>
      <c r="F11" s="13"/>
      <c r="G11" s="14">
        <v>0</v>
      </c>
      <c r="H11" s="13">
        <v>2</v>
      </c>
      <c r="I11" s="13">
        <v>0</v>
      </c>
      <c r="J11" s="15">
        <v>2</v>
      </c>
      <c r="K11" s="12"/>
      <c r="L11" s="13">
        <v>45</v>
      </c>
    </row>
    <row r="12" spans="1:12" x14ac:dyDescent="0.25">
      <c r="B12" s="12" t="s">
        <v>18</v>
      </c>
      <c r="C12" s="13">
        <v>121</v>
      </c>
      <c r="D12" s="13">
        <v>22</v>
      </c>
      <c r="E12" s="13">
        <v>2</v>
      </c>
      <c r="F12" s="13"/>
      <c r="G12" s="14">
        <v>1</v>
      </c>
      <c r="H12" s="13">
        <v>16</v>
      </c>
      <c r="I12" s="13">
        <v>0</v>
      </c>
      <c r="J12" s="15">
        <v>17</v>
      </c>
      <c r="K12" s="12"/>
      <c r="L12" s="13">
        <v>114</v>
      </c>
    </row>
    <row r="13" spans="1:12" x14ac:dyDescent="0.25">
      <c r="B13" s="12" t="s">
        <v>19</v>
      </c>
      <c r="C13" s="13">
        <v>178</v>
      </c>
      <c r="D13" s="13">
        <v>36</v>
      </c>
      <c r="E13" s="13">
        <v>1</v>
      </c>
      <c r="F13" s="13"/>
      <c r="G13" s="14">
        <v>1</v>
      </c>
      <c r="H13" s="13">
        <v>40</v>
      </c>
      <c r="I13" s="13">
        <v>0</v>
      </c>
      <c r="J13" s="15">
        <v>41</v>
      </c>
      <c r="K13" s="12"/>
      <c r="L13" s="13">
        <v>178</v>
      </c>
    </row>
    <row r="14" spans="1:12" x14ac:dyDescent="0.25">
      <c r="B14" s="12" t="s">
        <v>20</v>
      </c>
      <c r="C14" s="13">
        <v>60</v>
      </c>
      <c r="D14" s="13">
        <v>4</v>
      </c>
      <c r="E14" s="13">
        <v>23</v>
      </c>
      <c r="F14" s="13"/>
      <c r="G14" s="14">
        <v>1</v>
      </c>
      <c r="H14" s="13">
        <v>8</v>
      </c>
      <c r="I14" s="13">
        <v>14</v>
      </c>
      <c r="J14" s="15">
        <v>23</v>
      </c>
      <c r="K14" s="12"/>
      <c r="L14" s="13">
        <v>56</v>
      </c>
    </row>
    <row r="15" spans="1:12" x14ac:dyDescent="0.25">
      <c r="B15" s="12" t="s">
        <v>21</v>
      </c>
      <c r="C15" s="13">
        <v>162</v>
      </c>
      <c r="D15" s="13">
        <v>0</v>
      </c>
      <c r="E15" s="13">
        <v>0</v>
      </c>
      <c r="F15" s="13"/>
      <c r="G15" s="14">
        <v>0</v>
      </c>
      <c r="H15" s="13">
        <v>0</v>
      </c>
      <c r="I15" s="13">
        <v>0</v>
      </c>
      <c r="J15" s="15">
        <v>0</v>
      </c>
      <c r="K15" s="12"/>
      <c r="L15" s="13">
        <v>162</v>
      </c>
    </row>
    <row r="16" spans="1:12" x14ac:dyDescent="0.25">
      <c r="A16" s="16"/>
      <c r="B16" s="12" t="s">
        <v>22</v>
      </c>
      <c r="C16" s="13">
        <v>110</v>
      </c>
      <c r="D16" s="13">
        <v>41</v>
      </c>
      <c r="E16" s="13">
        <v>6</v>
      </c>
      <c r="F16" s="13"/>
      <c r="G16" s="14">
        <v>0</v>
      </c>
      <c r="H16" s="13">
        <v>24</v>
      </c>
      <c r="I16" s="13">
        <v>0</v>
      </c>
      <c r="J16" s="15">
        <v>24</v>
      </c>
      <c r="K16" s="12"/>
      <c r="L16" s="13">
        <v>87</v>
      </c>
    </row>
    <row r="17" spans="1:12" x14ac:dyDescent="0.25">
      <c r="B17" s="12" t="s">
        <v>23</v>
      </c>
      <c r="C17" s="13">
        <v>56</v>
      </c>
      <c r="D17" s="13">
        <v>23</v>
      </c>
      <c r="E17" s="13">
        <v>15</v>
      </c>
      <c r="F17" s="13"/>
      <c r="G17" s="14">
        <v>12</v>
      </c>
      <c r="H17" s="13">
        <v>23</v>
      </c>
      <c r="I17" s="13">
        <v>0</v>
      </c>
      <c r="J17" s="15">
        <v>35</v>
      </c>
      <c r="K17" s="12"/>
      <c r="L17" s="13">
        <v>53</v>
      </c>
    </row>
    <row r="18" spans="1:12" x14ac:dyDescent="0.25">
      <c r="B18" s="12" t="s">
        <v>24</v>
      </c>
      <c r="C18" s="13">
        <v>37</v>
      </c>
      <c r="D18" s="13">
        <v>0</v>
      </c>
      <c r="E18" s="13">
        <v>0</v>
      </c>
      <c r="F18" s="13"/>
      <c r="G18" s="14">
        <v>0</v>
      </c>
      <c r="H18" s="13">
        <v>0</v>
      </c>
      <c r="I18" s="13">
        <v>0</v>
      </c>
      <c r="J18" s="15">
        <v>0</v>
      </c>
      <c r="K18" s="12"/>
      <c r="L18" s="13">
        <v>37</v>
      </c>
    </row>
    <row r="19" spans="1:12" x14ac:dyDescent="0.25">
      <c r="B19" s="12" t="s">
        <v>25</v>
      </c>
      <c r="C19" s="13">
        <v>102</v>
      </c>
      <c r="D19" s="13">
        <v>9</v>
      </c>
      <c r="E19" s="13">
        <v>13</v>
      </c>
      <c r="F19" s="13"/>
      <c r="G19" s="14">
        <v>1</v>
      </c>
      <c r="H19" s="13">
        <v>13</v>
      </c>
      <c r="I19" s="13">
        <v>2</v>
      </c>
      <c r="J19" s="15">
        <v>16</v>
      </c>
      <c r="K19" s="12"/>
      <c r="L19" s="13">
        <v>96</v>
      </c>
    </row>
    <row r="20" spans="1:12" x14ac:dyDescent="0.25">
      <c r="B20" s="12" t="s">
        <v>26</v>
      </c>
      <c r="C20" s="13">
        <v>100</v>
      </c>
      <c r="D20" s="13">
        <v>1</v>
      </c>
      <c r="E20" s="13">
        <v>2</v>
      </c>
      <c r="F20" s="13"/>
      <c r="G20" s="14">
        <v>0</v>
      </c>
      <c r="H20" s="13">
        <v>9</v>
      </c>
      <c r="I20" s="13">
        <v>0</v>
      </c>
      <c r="J20" s="15">
        <v>9</v>
      </c>
      <c r="K20" s="12"/>
      <c r="L20" s="13">
        <v>100</v>
      </c>
    </row>
    <row r="21" spans="1:12" x14ac:dyDescent="0.25">
      <c r="B21" s="12" t="s">
        <v>27</v>
      </c>
      <c r="C21" s="13">
        <v>234</v>
      </c>
      <c r="D21" s="13">
        <v>13</v>
      </c>
      <c r="E21" s="13">
        <v>0</v>
      </c>
      <c r="F21" s="13"/>
      <c r="G21" s="14">
        <v>0</v>
      </c>
      <c r="H21" s="13">
        <v>0</v>
      </c>
      <c r="I21" s="13">
        <v>0</v>
      </c>
      <c r="J21" s="15">
        <v>0</v>
      </c>
      <c r="K21" s="12"/>
      <c r="L21" s="13">
        <v>221</v>
      </c>
    </row>
    <row r="22" spans="1:12" x14ac:dyDescent="0.25">
      <c r="B22" s="12" t="s">
        <v>28</v>
      </c>
      <c r="C22" s="13">
        <v>73</v>
      </c>
      <c r="D22" s="13">
        <v>7</v>
      </c>
      <c r="E22" s="13">
        <v>3</v>
      </c>
      <c r="F22" s="13"/>
      <c r="G22" s="14">
        <v>1</v>
      </c>
      <c r="H22" s="13">
        <v>6</v>
      </c>
      <c r="I22" s="13">
        <v>0</v>
      </c>
      <c r="J22" s="15">
        <v>7</v>
      </c>
      <c r="K22" s="12"/>
      <c r="L22" s="13">
        <v>70</v>
      </c>
    </row>
    <row r="23" spans="1:12" x14ac:dyDescent="0.25">
      <c r="B23" s="12" t="s">
        <v>29</v>
      </c>
      <c r="C23" s="13">
        <v>233</v>
      </c>
      <c r="D23" s="13">
        <v>50</v>
      </c>
      <c r="E23" s="13">
        <v>12</v>
      </c>
      <c r="F23" s="13"/>
      <c r="G23" s="14">
        <v>1</v>
      </c>
      <c r="H23" s="13">
        <v>52</v>
      </c>
      <c r="I23" s="13">
        <v>0</v>
      </c>
      <c r="J23" s="15">
        <v>53</v>
      </c>
      <c r="K23" s="12"/>
      <c r="L23" s="13">
        <v>224</v>
      </c>
    </row>
    <row r="24" spans="1:12" x14ac:dyDescent="0.25">
      <c r="A24" s="16"/>
      <c r="B24" s="17" t="s">
        <v>30</v>
      </c>
      <c r="C24" s="18">
        <v>201</v>
      </c>
      <c r="D24" s="18">
        <v>22</v>
      </c>
      <c r="E24" s="18">
        <v>10</v>
      </c>
      <c r="F24" s="18"/>
      <c r="G24" s="19">
        <v>10</v>
      </c>
      <c r="H24" s="18">
        <v>2</v>
      </c>
      <c r="I24" s="18">
        <v>0</v>
      </c>
      <c r="J24" s="20">
        <v>12</v>
      </c>
      <c r="K24" s="17"/>
      <c r="L24" s="18">
        <v>181</v>
      </c>
    </row>
    <row r="25" spans="1:12" ht="15.75" thickBot="1" x14ac:dyDescent="0.3">
      <c r="B25" s="21" t="s">
        <v>31</v>
      </c>
      <c r="C25" s="22">
        <v>2210</v>
      </c>
      <c r="D25" s="22">
        <v>257</v>
      </c>
      <c r="E25" s="22">
        <v>129</v>
      </c>
      <c r="F25" s="22"/>
      <c r="G25" s="23">
        <v>51</v>
      </c>
      <c r="H25" s="24">
        <v>224</v>
      </c>
      <c r="I25" s="24">
        <v>17</v>
      </c>
      <c r="J25" s="25">
        <v>292</v>
      </c>
      <c r="K25" s="26"/>
      <c r="L25" s="22">
        <v>2106</v>
      </c>
    </row>
    <row r="26" spans="1:12" ht="15.75" thickBot="1" x14ac:dyDescent="0.3"/>
    <row r="27" spans="1:12" ht="17.25" x14ac:dyDescent="0.4">
      <c r="B27" s="3" t="s">
        <v>1</v>
      </c>
      <c r="C27" s="4" t="s">
        <v>2</v>
      </c>
      <c r="D27" s="4" t="s">
        <v>3</v>
      </c>
      <c r="E27" s="4" t="s">
        <v>4</v>
      </c>
      <c r="F27" s="4"/>
      <c r="G27" s="5" t="s">
        <v>5</v>
      </c>
      <c r="H27" s="6" t="s">
        <v>6</v>
      </c>
      <c r="I27" s="6" t="s">
        <v>7</v>
      </c>
      <c r="J27" s="7" t="s">
        <v>8</v>
      </c>
      <c r="K27" s="3"/>
      <c r="L27" s="4" t="s">
        <v>9</v>
      </c>
    </row>
    <row r="28" spans="1:12" x14ac:dyDescent="0.25">
      <c r="B28" s="8" t="s">
        <v>32</v>
      </c>
      <c r="C28" s="9">
        <v>157</v>
      </c>
      <c r="D28" s="9">
        <v>1</v>
      </c>
      <c r="E28" s="9">
        <v>11</v>
      </c>
      <c r="F28" s="8"/>
      <c r="G28" s="10">
        <v>9</v>
      </c>
      <c r="H28" s="9">
        <v>3</v>
      </c>
      <c r="I28" s="9">
        <v>0</v>
      </c>
      <c r="J28" s="11">
        <v>12</v>
      </c>
      <c r="K28" s="8"/>
      <c r="L28" s="9">
        <v>157</v>
      </c>
    </row>
    <row r="29" spans="1:12" x14ac:dyDescent="0.25">
      <c r="B29" s="12" t="s">
        <v>33</v>
      </c>
      <c r="C29" s="13">
        <v>62</v>
      </c>
      <c r="D29" s="13">
        <v>1</v>
      </c>
      <c r="E29" s="13">
        <v>7</v>
      </c>
      <c r="F29" s="12"/>
      <c r="G29" s="14">
        <v>8</v>
      </c>
      <c r="H29" s="13">
        <v>0</v>
      </c>
      <c r="I29" s="13">
        <v>0</v>
      </c>
      <c r="J29" s="15">
        <v>8</v>
      </c>
      <c r="K29" s="12"/>
      <c r="L29" s="13">
        <v>62</v>
      </c>
    </row>
    <row r="30" spans="1:12" x14ac:dyDescent="0.25">
      <c r="B30" s="12" t="s">
        <v>34</v>
      </c>
      <c r="C30" s="13">
        <v>127</v>
      </c>
      <c r="D30" s="13">
        <v>24</v>
      </c>
      <c r="E30" s="13">
        <v>4</v>
      </c>
      <c r="F30" s="12"/>
      <c r="G30" s="14">
        <v>3</v>
      </c>
      <c r="H30" s="13">
        <v>24</v>
      </c>
      <c r="I30" s="13">
        <v>0</v>
      </c>
      <c r="J30" s="15">
        <v>27</v>
      </c>
      <c r="K30" s="12"/>
      <c r="L30" s="13">
        <v>126</v>
      </c>
    </row>
    <row r="31" spans="1:12" x14ac:dyDescent="0.25">
      <c r="B31" s="12" t="s">
        <v>35</v>
      </c>
      <c r="C31" s="13">
        <v>129</v>
      </c>
      <c r="D31" s="13">
        <v>1</v>
      </c>
      <c r="E31" s="13">
        <v>23</v>
      </c>
      <c r="F31" s="12"/>
      <c r="G31" s="14">
        <v>21</v>
      </c>
      <c r="H31" s="13">
        <v>0</v>
      </c>
      <c r="I31" s="13">
        <v>3</v>
      </c>
      <c r="J31" s="15">
        <v>24</v>
      </c>
      <c r="K31" s="12"/>
      <c r="L31" s="13">
        <v>129</v>
      </c>
    </row>
    <row r="32" spans="1:12" x14ac:dyDescent="0.25">
      <c r="B32" s="12" t="s">
        <v>36</v>
      </c>
      <c r="C32" s="13">
        <v>198</v>
      </c>
      <c r="D32" s="13">
        <v>62</v>
      </c>
      <c r="E32" s="13">
        <v>3</v>
      </c>
      <c r="F32" s="12"/>
      <c r="G32" s="14">
        <v>0</v>
      </c>
      <c r="H32" s="13">
        <v>10</v>
      </c>
      <c r="I32" s="13">
        <v>1</v>
      </c>
      <c r="J32" s="15">
        <v>11</v>
      </c>
      <c r="K32" s="12"/>
      <c r="L32" s="13">
        <v>144</v>
      </c>
    </row>
    <row r="33" spans="2:12" x14ac:dyDescent="0.25">
      <c r="B33" s="12" t="s">
        <v>37</v>
      </c>
      <c r="C33" s="13">
        <v>95</v>
      </c>
      <c r="D33" s="13">
        <v>6</v>
      </c>
      <c r="E33" s="13">
        <v>0</v>
      </c>
      <c r="F33" s="12"/>
      <c r="G33" s="14">
        <v>0</v>
      </c>
      <c r="H33" s="13">
        <v>3</v>
      </c>
      <c r="I33" s="13">
        <v>0</v>
      </c>
      <c r="J33" s="15">
        <v>3</v>
      </c>
      <c r="K33" s="12"/>
      <c r="L33" s="13">
        <v>92</v>
      </c>
    </row>
    <row r="34" spans="2:12" x14ac:dyDescent="0.25">
      <c r="B34" s="12" t="s">
        <v>38</v>
      </c>
      <c r="C34" s="13">
        <v>76</v>
      </c>
      <c r="D34" s="13">
        <v>1</v>
      </c>
      <c r="E34" s="13">
        <v>0</v>
      </c>
      <c r="F34" s="12"/>
      <c r="G34" s="14">
        <v>0</v>
      </c>
      <c r="H34" s="13">
        <v>0</v>
      </c>
      <c r="I34" s="13">
        <v>0</v>
      </c>
      <c r="J34" s="15">
        <v>0</v>
      </c>
      <c r="K34" s="12"/>
      <c r="L34" s="13">
        <v>75</v>
      </c>
    </row>
    <row r="35" spans="2:12" x14ac:dyDescent="0.25">
      <c r="B35" s="12" t="s">
        <v>39</v>
      </c>
      <c r="C35" s="13">
        <v>289</v>
      </c>
      <c r="D35" s="13">
        <v>50</v>
      </c>
      <c r="E35" s="13">
        <v>6</v>
      </c>
      <c r="F35" s="12"/>
      <c r="G35" s="14">
        <v>0</v>
      </c>
      <c r="H35" s="13">
        <v>14</v>
      </c>
      <c r="I35" s="13">
        <v>0</v>
      </c>
      <c r="J35" s="15">
        <v>14</v>
      </c>
      <c r="K35" s="12"/>
      <c r="L35" s="13">
        <v>247</v>
      </c>
    </row>
    <row r="36" spans="2:12" hidden="1" outlineLevel="1" x14ac:dyDescent="0.25">
      <c r="B36" s="12" t="s">
        <v>40</v>
      </c>
      <c r="C36" s="13">
        <v>173</v>
      </c>
      <c r="D36" s="13">
        <v>0</v>
      </c>
      <c r="E36" s="13">
        <v>6</v>
      </c>
      <c r="F36" s="12"/>
      <c r="G36" s="14">
        <v>0</v>
      </c>
      <c r="H36" s="13">
        <v>4</v>
      </c>
      <c r="I36" s="13">
        <v>0</v>
      </c>
      <c r="J36" s="15">
        <v>4</v>
      </c>
      <c r="K36" s="12"/>
      <c r="L36" s="13">
        <v>171</v>
      </c>
    </row>
    <row r="37" spans="2:12" hidden="1" outlineLevel="1" x14ac:dyDescent="0.25">
      <c r="B37" s="12" t="s">
        <v>41</v>
      </c>
      <c r="C37" s="13">
        <v>116</v>
      </c>
      <c r="D37" s="13">
        <v>50</v>
      </c>
      <c r="E37" s="13">
        <v>0</v>
      </c>
      <c r="F37" s="12"/>
      <c r="G37" s="14">
        <v>0</v>
      </c>
      <c r="H37" s="13">
        <v>10</v>
      </c>
      <c r="I37" s="13">
        <v>0</v>
      </c>
      <c r="J37" s="15">
        <v>10</v>
      </c>
      <c r="K37" s="12"/>
      <c r="L37" s="13">
        <v>76</v>
      </c>
    </row>
    <row r="38" spans="2:12" collapsed="1" x14ac:dyDescent="0.25">
      <c r="B38" s="12" t="s">
        <v>42</v>
      </c>
      <c r="C38" s="13">
        <v>93</v>
      </c>
      <c r="D38" s="13">
        <v>4</v>
      </c>
      <c r="E38" s="13">
        <v>0</v>
      </c>
      <c r="F38" s="12"/>
      <c r="G38" s="14">
        <v>0</v>
      </c>
      <c r="H38" s="13">
        <v>1</v>
      </c>
      <c r="I38" s="13">
        <v>0</v>
      </c>
      <c r="J38" s="15">
        <v>1</v>
      </c>
      <c r="K38" s="12"/>
      <c r="L38" s="13">
        <v>90</v>
      </c>
    </row>
    <row r="39" spans="2:12" x14ac:dyDescent="0.25">
      <c r="B39" s="12" t="s">
        <v>43</v>
      </c>
      <c r="C39" s="13">
        <v>90</v>
      </c>
      <c r="D39" s="13">
        <v>1</v>
      </c>
      <c r="E39" s="13">
        <v>15</v>
      </c>
      <c r="F39" s="12"/>
      <c r="G39" s="14">
        <v>13</v>
      </c>
      <c r="H39" s="13">
        <v>0</v>
      </c>
      <c r="I39" s="13">
        <v>3</v>
      </c>
      <c r="J39" s="15">
        <v>16</v>
      </c>
      <c r="K39" s="12"/>
      <c r="L39" s="13">
        <v>90</v>
      </c>
    </row>
    <row r="40" spans="2:12" x14ac:dyDescent="0.25">
      <c r="B40" s="12" t="s">
        <v>44</v>
      </c>
      <c r="C40" s="13">
        <v>50</v>
      </c>
      <c r="D40" s="13">
        <v>0</v>
      </c>
      <c r="E40" s="13">
        <v>9</v>
      </c>
      <c r="F40" s="12"/>
      <c r="G40" s="14">
        <v>0</v>
      </c>
      <c r="H40" s="13">
        <v>11</v>
      </c>
      <c r="I40" s="13">
        <v>1</v>
      </c>
      <c r="J40" s="15">
        <v>12</v>
      </c>
      <c r="K40" s="12"/>
      <c r="L40" s="13">
        <v>50</v>
      </c>
    </row>
    <row r="41" spans="2:12" x14ac:dyDescent="0.25">
      <c r="B41" s="12" t="s">
        <v>45</v>
      </c>
      <c r="C41" s="13">
        <v>81</v>
      </c>
      <c r="D41" s="13">
        <v>2</v>
      </c>
      <c r="E41" s="13">
        <v>0</v>
      </c>
      <c r="F41" s="12"/>
      <c r="G41" s="14">
        <v>0</v>
      </c>
      <c r="H41" s="13">
        <v>0</v>
      </c>
      <c r="I41" s="13">
        <v>0</v>
      </c>
      <c r="J41" s="15">
        <v>0</v>
      </c>
      <c r="K41" s="12"/>
      <c r="L41" s="13">
        <v>79</v>
      </c>
    </row>
    <row r="42" spans="2:12" x14ac:dyDescent="0.25">
      <c r="B42" s="12" t="s">
        <v>46</v>
      </c>
      <c r="C42" s="13">
        <v>181</v>
      </c>
      <c r="D42" s="13">
        <v>7</v>
      </c>
      <c r="E42" s="13">
        <v>8</v>
      </c>
      <c r="F42" s="12"/>
      <c r="G42" s="14">
        <v>2</v>
      </c>
      <c r="H42" s="13">
        <v>7</v>
      </c>
      <c r="I42" s="13">
        <v>0</v>
      </c>
      <c r="J42" s="15">
        <v>9</v>
      </c>
      <c r="K42" s="12"/>
      <c r="L42" s="13">
        <v>175</v>
      </c>
    </row>
    <row r="43" spans="2:12" x14ac:dyDescent="0.25">
      <c r="B43" s="12" t="s">
        <v>47</v>
      </c>
      <c r="C43" s="13">
        <v>213</v>
      </c>
      <c r="D43" s="13">
        <v>46</v>
      </c>
      <c r="E43" s="13">
        <v>9</v>
      </c>
      <c r="F43" s="12"/>
      <c r="G43" s="14">
        <v>7</v>
      </c>
      <c r="H43" s="13">
        <v>45</v>
      </c>
      <c r="I43" s="13">
        <v>0</v>
      </c>
      <c r="J43" s="15">
        <v>52</v>
      </c>
      <c r="K43" s="12"/>
      <c r="L43" s="13">
        <v>210</v>
      </c>
    </row>
    <row r="44" spans="2:12" x14ac:dyDescent="0.25">
      <c r="B44" s="12" t="s">
        <v>48</v>
      </c>
      <c r="C44" s="13">
        <v>126</v>
      </c>
      <c r="D44" s="13">
        <v>15</v>
      </c>
      <c r="E44" s="13">
        <v>3</v>
      </c>
      <c r="F44" s="12"/>
      <c r="G44" s="14">
        <v>2</v>
      </c>
      <c r="H44" s="13">
        <v>4</v>
      </c>
      <c r="I44" s="13">
        <v>1</v>
      </c>
      <c r="J44" s="15">
        <v>7</v>
      </c>
      <c r="K44" s="12"/>
      <c r="L44" s="13">
        <v>115</v>
      </c>
    </row>
    <row r="45" spans="2:12" x14ac:dyDescent="0.25">
      <c r="B45" s="12" t="s">
        <v>49</v>
      </c>
      <c r="C45" s="13">
        <v>65</v>
      </c>
      <c r="D45" s="13">
        <v>3</v>
      </c>
      <c r="E45" s="13">
        <v>2</v>
      </c>
      <c r="F45" s="12"/>
      <c r="G45" s="14">
        <v>2</v>
      </c>
      <c r="H45" s="13">
        <v>0</v>
      </c>
      <c r="I45" s="13">
        <v>0</v>
      </c>
      <c r="J45" s="15">
        <v>2</v>
      </c>
      <c r="K45" s="12"/>
      <c r="L45" s="13">
        <v>62</v>
      </c>
    </row>
    <row r="46" spans="2:12" x14ac:dyDescent="0.25">
      <c r="B46" s="12" t="s">
        <v>50</v>
      </c>
      <c r="C46" s="13">
        <v>79</v>
      </c>
      <c r="D46" s="13">
        <v>5</v>
      </c>
      <c r="E46" s="13">
        <v>5</v>
      </c>
      <c r="F46" s="12"/>
      <c r="G46" s="14">
        <v>2</v>
      </c>
      <c r="H46" s="13">
        <v>8</v>
      </c>
      <c r="I46" s="13">
        <v>0</v>
      </c>
      <c r="J46" s="15">
        <v>10</v>
      </c>
      <c r="K46" s="12"/>
      <c r="L46" s="13">
        <v>79</v>
      </c>
    </row>
    <row r="47" spans="2:12" x14ac:dyDescent="0.25">
      <c r="B47" s="12" t="s">
        <v>51</v>
      </c>
      <c r="C47" s="13">
        <v>65</v>
      </c>
      <c r="D47" s="13">
        <v>0</v>
      </c>
      <c r="E47" s="13">
        <v>5</v>
      </c>
      <c r="F47" s="12"/>
      <c r="G47" s="14">
        <v>2</v>
      </c>
      <c r="H47" s="13">
        <v>0</v>
      </c>
      <c r="I47" s="13">
        <v>3</v>
      </c>
      <c r="J47" s="15">
        <v>5</v>
      </c>
      <c r="K47" s="12"/>
      <c r="L47" s="13">
        <v>65</v>
      </c>
    </row>
    <row r="48" spans="2:12" x14ac:dyDescent="0.25">
      <c r="B48" s="12" t="s">
        <v>52</v>
      </c>
      <c r="C48" s="13">
        <v>190</v>
      </c>
      <c r="D48" s="13">
        <v>34</v>
      </c>
      <c r="E48" s="13">
        <v>12</v>
      </c>
      <c r="F48" s="12"/>
      <c r="G48" s="14">
        <v>0</v>
      </c>
      <c r="H48" s="13">
        <v>45</v>
      </c>
      <c r="I48" s="13">
        <v>0</v>
      </c>
      <c r="J48" s="15">
        <v>45</v>
      </c>
      <c r="K48" s="12"/>
      <c r="L48" s="13">
        <v>189</v>
      </c>
    </row>
    <row r="49" spans="2:12" x14ac:dyDescent="0.25">
      <c r="B49" s="27" t="s">
        <v>53</v>
      </c>
      <c r="C49" s="28">
        <v>154</v>
      </c>
      <c r="D49" s="28">
        <v>11</v>
      </c>
      <c r="E49" s="28">
        <v>5</v>
      </c>
      <c r="F49" s="27"/>
      <c r="G49" s="29">
        <v>1</v>
      </c>
      <c r="H49" s="28">
        <v>1</v>
      </c>
      <c r="I49" s="28">
        <v>3</v>
      </c>
      <c r="J49" s="30">
        <v>5</v>
      </c>
      <c r="K49" s="27"/>
      <c r="L49" s="28">
        <v>143</v>
      </c>
    </row>
    <row r="50" spans="2:12" ht="15.75" thickBot="1" x14ac:dyDescent="0.3">
      <c r="B50" s="31" t="s">
        <v>54</v>
      </c>
      <c r="C50" s="31">
        <v>2809</v>
      </c>
      <c r="D50" s="31">
        <v>324</v>
      </c>
      <c r="E50" s="31">
        <v>133</v>
      </c>
      <c r="F50" s="32"/>
      <c r="G50" s="33">
        <v>72</v>
      </c>
      <c r="H50" s="34">
        <v>190</v>
      </c>
      <c r="I50" s="34">
        <v>15</v>
      </c>
      <c r="J50" s="35">
        <v>277</v>
      </c>
      <c r="K50" s="32"/>
      <c r="L50" s="31">
        <v>2626</v>
      </c>
    </row>
    <row r="51" spans="2:12" ht="15.75" thickBot="1" x14ac:dyDescent="0.3"/>
    <row r="52" spans="2:12" ht="17.25" x14ac:dyDescent="0.4">
      <c r="B52" s="3" t="s">
        <v>1</v>
      </c>
      <c r="C52" s="4" t="s">
        <v>2</v>
      </c>
      <c r="D52" s="4" t="s">
        <v>3</v>
      </c>
      <c r="E52" s="4" t="s">
        <v>4</v>
      </c>
      <c r="F52" s="4"/>
      <c r="G52" s="5" t="s">
        <v>5</v>
      </c>
      <c r="H52" s="6" t="s">
        <v>6</v>
      </c>
      <c r="I52" s="6" t="s">
        <v>7</v>
      </c>
      <c r="J52" s="7" t="s">
        <v>8</v>
      </c>
      <c r="K52" s="3"/>
      <c r="L52" s="4" t="s">
        <v>9</v>
      </c>
    </row>
    <row r="53" spans="2:12" x14ac:dyDescent="0.25">
      <c r="B53" s="8" t="s">
        <v>55</v>
      </c>
      <c r="C53" s="9">
        <v>87</v>
      </c>
      <c r="D53" s="9">
        <v>39</v>
      </c>
      <c r="E53" s="9">
        <v>1</v>
      </c>
      <c r="F53" s="8"/>
      <c r="G53" s="10">
        <v>1</v>
      </c>
      <c r="H53" s="9">
        <v>26</v>
      </c>
      <c r="I53" s="9">
        <v>0</v>
      </c>
      <c r="J53" s="11">
        <v>27</v>
      </c>
      <c r="K53" s="8"/>
      <c r="L53" s="9">
        <v>74</v>
      </c>
    </row>
    <row r="54" spans="2:12" x14ac:dyDescent="0.25">
      <c r="B54" s="12" t="s">
        <v>56</v>
      </c>
      <c r="C54" s="13">
        <v>34</v>
      </c>
      <c r="D54" s="13">
        <v>11</v>
      </c>
      <c r="E54" s="13">
        <v>4</v>
      </c>
      <c r="F54" s="12"/>
      <c r="G54" s="14">
        <v>2</v>
      </c>
      <c r="H54" s="13">
        <v>11</v>
      </c>
      <c r="I54" s="13">
        <v>2</v>
      </c>
      <c r="J54" s="15">
        <v>15</v>
      </c>
      <c r="K54" s="12"/>
      <c r="L54" s="13">
        <v>34</v>
      </c>
    </row>
    <row r="55" spans="2:12" x14ac:dyDescent="0.25">
      <c r="B55" s="12" t="s">
        <v>57</v>
      </c>
      <c r="C55" s="13">
        <v>39</v>
      </c>
      <c r="D55" s="13">
        <v>6</v>
      </c>
      <c r="E55" s="13">
        <v>8</v>
      </c>
      <c r="F55" s="12"/>
      <c r="G55" s="14">
        <v>4</v>
      </c>
      <c r="H55" s="13">
        <v>11</v>
      </c>
      <c r="I55" s="13">
        <v>0</v>
      </c>
      <c r="J55" s="15">
        <v>15</v>
      </c>
      <c r="K55" s="12"/>
      <c r="L55" s="13">
        <v>39</v>
      </c>
    </row>
    <row r="56" spans="2:12" x14ac:dyDescent="0.25">
      <c r="B56" s="12" t="s">
        <v>58</v>
      </c>
      <c r="C56" s="13">
        <v>47</v>
      </c>
      <c r="D56" s="13">
        <v>14</v>
      </c>
      <c r="E56" s="13">
        <v>8</v>
      </c>
      <c r="F56" s="12"/>
      <c r="G56" s="14">
        <v>8</v>
      </c>
      <c r="H56" s="13">
        <v>5</v>
      </c>
      <c r="I56" s="13">
        <v>0</v>
      </c>
      <c r="J56" s="15">
        <v>13</v>
      </c>
      <c r="K56" s="12"/>
      <c r="L56" s="13">
        <v>38</v>
      </c>
    </row>
    <row r="57" spans="2:12" x14ac:dyDescent="0.25">
      <c r="B57" s="12" t="s">
        <v>59</v>
      </c>
      <c r="C57" s="13">
        <v>62</v>
      </c>
      <c r="D57" s="13">
        <v>12</v>
      </c>
      <c r="E57" s="13">
        <v>11</v>
      </c>
      <c r="F57" s="12"/>
      <c r="G57" s="14">
        <v>0</v>
      </c>
      <c r="H57" s="13">
        <v>19</v>
      </c>
      <c r="I57" s="13">
        <v>1</v>
      </c>
      <c r="J57" s="15">
        <v>20</v>
      </c>
      <c r="K57" s="12"/>
      <c r="L57" s="13">
        <v>59</v>
      </c>
    </row>
    <row r="58" spans="2:12" x14ac:dyDescent="0.25">
      <c r="B58" s="12" t="s">
        <v>60</v>
      </c>
      <c r="C58" s="13">
        <v>50</v>
      </c>
      <c r="D58" s="13">
        <v>2</v>
      </c>
      <c r="E58" s="13">
        <v>2</v>
      </c>
      <c r="F58" s="12"/>
      <c r="G58" s="14">
        <v>2</v>
      </c>
      <c r="H58" s="13">
        <v>2</v>
      </c>
      <c r="I58" s="13">
        <v>0</v>
      </c>
      <c r="J58" s="15">
        <v>4</v>
      </c>
      <c r="K58" s="12"/>
      <c r="L58" s="13">
        <v>50</v>
      </c>
    </row>
    <row r="59" spans="2:12" x14ac:dyDescent="0.25">
      <c r="B59" s="12" t="s">
        <v>61</v>
      </c>
      <c r="C59" s="13">
        <v>44</v>
      </c>
      <c r="D59" s="13">
        <v>2</v>
      </c>
      <c r="E59" s="13">
        <v>9</v>
      </c>
      <c r="F59" s="12"/>
      <c r="G59" s="14">
        <v>2</v>
      </c>
      <c r="H59" s="13">
        <v>8</v>
      </c>
      <c r="I59" s="13">
        <v>0</v>
      </c>
      <c r="J59" s="15">
        <v>10</v>
      </c>
      <c r="K59" s="12"/>
      <c r="L59" s="13">
        <v>43</v>
      </c>
    </row>
    <row r="60" spans="2:12" x14ac:dyDescent="0.25">
      <c r="B60" s="12" t="s">
        <v>62</v>
      </c>
      <c r="C60" s="13">
        <v>36</v>
      </c>
      <c r="D60" s="13">
        <v>0</v>
      </c>
      <c r="E60" s="13">
        <v>0</v>
      </c>
      <c r="F60" s="12"/>
      <c r="G60" s="14">
        <v>0</v>
      </c>
      <c r="H60" s="13">
        <v>0</v>
      </c>
      <c r="I60" s="13">
        <v>0</v>
      </c>
      <c r="J60" s="15">
        <v>0</v>
      </c>
      <c r="K60" s="12"/>
      <c r="L60" s="13">
        <v>36</v>
      </c>
    </row>
    <row r="61" spans="2:12" x14ac:dyDescent="0.25">
      <c r="B61" s="12" t="s">
        <v>63</v>
      </c>
      <c r="C61" s="13">
        <v>45</v>
      </c>
      <c r="D61" s="13">
        <v>4</v>
      </c>
      <c r="E61" s="13">
        <v>0</v>
      </c>
      <c r="F61" s="12"/>
      <c r="G61" s="14">
        <v>0</v>
      </c>
      <c r="H61" s="13">
        <v>1</v>
      </c>
      <c r="I61" s="13">
        <v>0</v>
      </c>
      <c r="J61" s="15">
        <v>1</v>
      </c>
      <c r="K61" s="12"/>
      <c r="L61" s="13">
        <v>42</v>
      </c>
    </row>
    <row r="62" spans="2:12" x14ac:dyDescent="0.25">
      <c r="B62" s="17" t="s">
        <v>64</v>
      </c>
      <c r="C62" s="18">
        <v>44</v>
      </c>
      <c r="D62" s="18">
        <v>4</v>
      </c>
      <c r="E62" s="18">
        <v>1</v>
      </c>
      <c r="F62" s="17"/>
      <c r="G62" s="19">
        <v>0</v>
      </c>
      <c r="H62" s="18">
        <v>1</v>
      </c>
      <c r="I62" s="18">
        <v>0</v>
      </c>
      <c r="J62" s="20">
        <v>1</v>
      </c>
      <c r="K62" s="17"/>
      <c r="L62" s="18">
        <v>40</v>
      </c>
    </row>
    <row r="63" spans="2:12" ht="15.75" thickBot="1" x14ac:dyDescent="0.3">
      <c r="B63" s="21" t="s">
        <v>65</v>
      </c>
      <c r="C63" s="22">
        <v>488</v>
      </c>
      <c r="D63" s="22">
        <v>94</v>
      </c>
      <c r="E63" s="22">
        <v>44</v>
      </c>
      <c r="F63" s="21"/>
      <c r="G63" s="23">
        <v>19</v>
      </c>
      <c r="H63" s="24">
        <v>84</v>
      </c>
      <c r="I63" s="24">
        <v>3</v>
      </c>
      <c r="J63" s="25">
        <v>106</v>
      </c>
      <c r="K63" s="21"/>
      <c r="L63" s="22">
        <v>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E46FB0-5BE2-44BA-9831-97C0542F259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51aad5b-167b-4d6c-939c-63203bdf6bab"/>
    <ds:schemaRef ds:uri="c503ef68-8e6b-4103-88cd-6d3eed0e207f"/>
  </ds:schemaRefs>
</ds:datastoreItem>
</file>

<file path=customXml/itemProps2.xml><?xml version="1.0" encoding="utf-8"?>
<ds:datastoreItem xmlns:ds="http://schemas.openxmlformats.org/officeDocument/2006/customXml" ds:itemID="{2EEFC362-9539-4C34-8242-06E865B3E1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C5B9B7-C3A9-4ABA-A0D1-F27E1DA348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1aad5b-167b-4d6c-939c-63203bdf6bab"/>
    <ds:schemaRef ds:uri="c503ef68-8e6b-4103-88cd-6d3eed0e20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Stuart</dc:creator>
  <cp:lastModifiedBy>Jon Wyss</cp:lastModifiedBy>
  <cp:lastPrinted>2026-03-25T23:52:19Z</cp:lastPrinted>
  <dcterms:created xsi:type="dcterms:W3CDTF">2026-03-25T00:56:59Z</dcterms:created>
  <dcterms:modified xsi:type="dcterms:W3CDTF">2026-03-27T18:03:44Z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  <property fmtid="{D5CDD505-2E9C-101B-9397-08002B2CF9AE}" pid="3" name="MediaServiceImageTags">
    <vt:lpwstr/>
  </property>
</Properties>
</file>