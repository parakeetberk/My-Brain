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Corporate/Minutes &amp; Notes/Executive Strategy Meeting 2026-03/"/>
    </mc:Choice>
  </mc:AlternateContent>
  <xr:revisionPtr revIDLastSave="2" documentId="8_{9CAE761D-0C2A-443E-9E4B-3D66434BEC04}" xr6:coauthVersionLast="47" xr6:coauthVersionMax="47" xr10:uidLastSave="{7A9CCE7A-FD19-445C-ABC5-119A2DD0A7A7}"/>
  <bookViews>
    <workbookView xWindow="-120" yWindow="-120" windowWidth="29040" windowHeight="15720" xr2:uid="{39C256F3-3D73-4A72-911E-9B5F31B1DE03}"/>
  </bookViews>
  <sheets>
    <sheet name="Sheet1" sheetId="1" r:id="rId1"/>
  </sheet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8" i="1" s="1"/>
  <c r="E17" i="1"/>
  <c r="F17" i="1"/>
  <c r="G17" i="1"/>
  <c r="H17" i="1"/>
  <c r="C17" i="1"/>
  <c r="C18" i="1" s="1"/>
  <c r="D16" i="1"/>
  <c r="C16" i="1"/>
  <c r="E15" i="1"/>
  <c r="E16" i="1" s="1"/>
  <c r="D15" i="1"/>
  <c r="E14" i="1"/>
  <c r="F14" i="1" s="1"/>
  <c r="C12" i="1"/>
  <c r="F15" i="1" l="1"/>
  <c r="F16" i="1" s="1"/>
  <c r="F18" i="1" s="1"/>
  <c r="G14" i="1"/>
  <c r="E18" i="1"/>
  <c r="G15" i="1" l="1"/>
  <c r="G16" i="1" s="1"/>
  <c r="G18" i="1" s="1"/>
  <c r="H14" i="1"/>
  <c r="H15" i="1" s="1"/>
  <c r="H16" i="1" s="1"/>
  <c r="H18" i="1" s="1"/>
</calcChain>
</file>

<file path=xl/sharedStrings.xml><?xml version="1.0" encoding="utf-8"?>
<sst xmlns="http://schemas.openxmlformats.org/spreadsheetml/2006/main" count="15" uniqueCount="15">
  <si>
    <t>Home Cost</t>
  </si>
  <si>
    <t>In-fill Cost</t>
  </si>
  <si>
    <t>Interest Rate</t>
  </si>
  <si>
    <t>Amort</t>
  </si>
  <si>
    <t>Down Payment</t>
  </si>
  <si>
    <t>PP Rent 2026</t>
  </si>
  <si>
    <t>PP Market 2026</t>
  </si>
  <si>
    <t>2BR ROM</t>
  </si>
  <si>
    <t>POH Rent Disct to 2BR ROM</t>
  </si>
  <si>
    <t>POH Market Rent</t>
  </si>
  <si>
    <t>Home Purchase</t>
  </si>
  <si>
    <t>Payment</t>
  </si>
  <si>
    <t>Cost</t>
  </si>
  <si>
    <t>Market Lot Rent</t>
  </si>
  <si>
    <t>Total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</si>
</sst>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%_);\(#0.0%\)"/>
    <numFmt numFmtId="165" formatCode="#0%_);\(#0%\)"/>
  </numFmts>
  <fonts count="2" x14ac:knownFonts="1">
    <font>
      <sz val="11"/>
      <color theme="1"/>
      <name val="Aptos Narrow"/>
      <family val="2"/>
      <scheme val="minor"/>
    </font>
    <font>
      <sz val="11"/>
      <color indexed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7" fontId="0" fillId="0" borderId="0" xfId="0" applyNumberFormat="1"/>
    <xf numFmtId="37" fontId="1" fillId="0" borderId="0" xfId="0" applyNumberFormat="1" applyFont="1"/>
    <xf numFmtId="9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66A9-6A7A-4E88-85E0-B4CDAE22B648}">
  <dimension ref="B2:H18"/>
  <sheetViews>
    <sheetView tabSelected="1" zoomScale="150" zoomScaleNormal="150" workbookViewId="0">
      <selection activeCell="C15" sqref="C15"/>
    </sheetView>
  </sheetViews>
  <sheetFormatPr defaultRowHeight="15" x14ac:dyDescent="0.25"/>
  <cols>
    <col min="2" max="2" width="24.85546875" bestFit="1" customWidth="1"/>
    <col min="3" max="8" width="10.5703125" bestFit="1" customWidth="1"/>
  </cols>
  <sheetData>
    <row r="2" spans="2:8" x14ac:dyDescent="0.25">
      <c r="B2" t="s">
        <v>0</v>
      </c>
      <c r="C2" s="2">
        <v>65000</v>
      </c>
    </row>
    <row r="3" spans="2:8" x14ac:dyDescent="0.25">
      <c r="B3" t="s">
        <v>1</v>
      </c>
      <c r="C3" s="2">
        <v>35000</v>
      </c>
    </row>
    <row r="4" spans="2:8" x14ac:dyDescent="0.25">
      <c r="B4" t="s">
        <v>2</v>
      </c>
      <c r="C4" s="4">
        <v>0.1</v>
      </c>
    </row>
    <row r="5" spans="2:8" x14ac:dyDescent="0.25">
      <c r="B5" t="s">
        <v>3</v>
      </c>
      <c r="C5" s="2">
        <v>20</v>
      </c>
    </row>
    <row r="6" spans="2:8" x14ac:dyDescent="0.25">
      <c r="B6" t="s">
        <v>4</v>
      </c>
      <c r="C6" s="4">
        <v>0.05</v>
      </c>
    </row>
    <row r="8" spans="2:8" x14ac:dyDescent="0.25">
      <c r="B8" t="s">
        <v>5</v>
      </c>
      <c r="C8" s="2">
        <v>400</v>
      </c>
    </row>
    <row r="9" spans="2:8" x14ac:dyDescent="0.25">
      <c r="B9" t="s">
        <v>6</v>
      </c>
      <c r="C9" s="2">
        <v>640</v>
      </c>
    </row>
    <row r="10" spans="2:8" x14ac:dyDescent="0.25">
      <c r="B10" t="s">
        <v>7</v>
      </c>
      <c r="C10" s="2">
        <v>1448</v>
      </c>
    </row>
    <row r="11" spans="2:8" x14ac:dyDescent="0.25">
      <c r="B11" t="s">
        <v>8</v>
      </c>
      <c r="C11" s="5">
        <v>0.1</v>
      </c>
    </row>
    <row r="12" spans="2:8" x14ac:dyDescent="0.25">
      <c r="B12" t="s">
        <v>9</v>
      </c>
      <c r="C12" s="1">
        <f>+(1-C11)*C10</f>
        <v>1303.2</v>
      </c>
    </row>
    <row r="14" spans="2:8" x14ac:dyDescent="0.25">
      <c r="C14" t="s">
        <v>12</v>
      </c>
      <c r="D14" s="3">
        <v>0.1</v>
      </c>
      <c r="E14" s="3">
        <f>+D14+0.1</f>
        <v>0.2</v>
      </c>
      <c r="F14" s="3">
        <f>+E14+0.1</f>
        <v>0.30000000000000004</v>
      </c>
      <c r="G14" s="3">
        <f>+F14+0.1</f>
        <v>0.4</v>
      </c>
      <c r="H14" s="3">
        <f>+G14+0.1</f>
        <v>0.5</v>
      </c>
    </row>
    <row r="15" spans="2:8" x14ac:dyDescent="0.25">
      <c r="B15" t="s">
        <v>10</v>
      </c>
      <c r="C15" s="2">
        <v>100000</v>
      </c>
      <c r="D15" s="1">
        <f>+$C$15*(1-D14)</f>
        <v>90000</v>
      </c>
      <c r="E15" s="1">
        <f t="shared" ref="E15:H15" si="0">+$C$15*(1-E14)</f>
        <v>80000</v>
      </c>
      <c r="F15" s="1">
        <f t="shared" si="0"/>
        <v>70000</v>
      </c>
      <c r="G15" s="1">
        <f t="shared" si="0"/>
        <v>60000</v>
      </c>
      <c r="H15" s="1">
        <f t="shared" si="0"/>
        <v>50000</v>
      </c>
    </row>
    <row r="16" spans="2:8" x14ac:dyDescent="0.25">
      <c r="B16" t="s">
        <v>11</v>
      </c>
      <c r="C16" s="1">
        <f>-PMT($C$4,$C$5,C15*(1-$C$6),,)/12</f>
        <v>929.8886961159875</v>
      </c>
      <c r="D16" s="1">
        <f t="shared" ref="D16:H16" si="1">-PMT($C$4,$C$5,D15*(1-$C$6),,)/12</f>
        <v>836.89982650438878</v>
      </c>
      <c r="E16" s="1">
        <f t="shared" si="1"/>
        <v>743.91095689279007</v>
      </c>
      <c r="F16" s="1">
        <f t="shared" si="1"/>
        <v>650.92208728119124</v>
      </c>
      <c r="G16" s="1">
        <f t="shared" si="1"/>
        <v>557.93321766959252</v>
      </c>
      <c r="H16" s="1">
        <f t="shared" si="1"/>
        <v>464.94434805799375</v>
      </c>
    </row>
    <row r="17" spans="2:8" x14ac:dyDescent="0.25">
      <c r="B17" t="s">
        <v>13</v>
      </c>
      <c r="C17" s="1">
        <f>+$C$9</f>
        <v>640</v>
      </c>
      <c r="D17" s="1">
        <f t="shared" ref="D17:H17" si="2">+$C$9</f>
        <v>640</v>
      </c>
      <c r="E17" s="1">
        <f t="shared" si="2"/>
        <v>640</v>
      </c>
      <c r="F17" s="1">
        <f t="shared" si="2"/>
        <v>640</v>
      </c>
      <c r="G17" s="1">
        <f t="shared" si="2"/>
        <v>640</v>
      </c>
      <c r="H17" s="1">
        <f t="shared" si="2"/>
        <v>640</v>
      </c>
    </row>
    <row r="18" spans="2:8" x14ac:dyDescent="0.25">
      <c r="B18" t="s">
        <v>14</v>
      </c>
      <c r="C18" s="1">
        <f>+C17+C16</f>
        <v>1569.8886961159874</v>
      </c>
      <c r="D18" s="1">
        <f t="shared" ref="D18:H18" si="3">+D17+D16</f>
        <v>1476.8998265043888</v>
      </c>
      <c r="E18" s="1">
        <f t="shared" si="3"/>
        <v>1383.9109568927902</v>
      </c>
      <c r="F18" s="1">
        <f t="shared" si="3"/>
        <v>1290.9220872811911</v>
      </c>
      <c r="G18" s="1">
        <f t="shared" si="3"/>
        <v>1197.9332176695925</v>
      </c>
      <c r="H18" s="1">
        <f t="shared" si="3"/>
        <v>1104.9443480579937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EB9E2D-255E-42DC-9FDE-14BC7343F7D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51aad5b-167b-4d6c-939c-63203bdf6bab"/>
    <ds:schemaRef ds:uri="c503ef68-8e6b-4103-88cd-6d3eed0e207f"/>
  </ds:schemaRefs>
</ds:datastoreItem>
</file>

<file path=customXml/itemProps2.xml><?xml version="1.0" encoding="utf-8"?>
<ds:datastoreItem xmlns:ds="http://schemas.openxmlformats.org/officeDocument/2006/customXml" ds:itemID="{17D772E0-E0F8-42D8-9F1C-64159EC26B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6096C8-3413-438B-9576-B87C8CA1D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1aad5b-167b-4d6c-939c-63203bdf6bab"/>
    <ds:schemaRef ds:uri="c503ef68-8e6b-4103-88cd-6d3eed0e20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Wyss</dc:creator>
  <cp:lastModifiedBy>Jon Wyss</cp:lastModifiedBy>
  <dcterms:created xsi:type="dcterms:W3CDTF">2026-03-18T22:43:01Z</dcterms:created>
  <dcterms:modified xsi:type="dcterms:W3CDTF">2026-03-26T03:55:53Z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  <property fmtid="{D5CDD505-2E9C-101B-9397-08002B2CF9AE}" pid="3" name="MediaServiceImageTags">
    <vt:lpwstr/>
  </property>
</Properties>
</file>