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ccupied Lots" sheetId="2" state="visible" r:id="rId4"/>
    <sheet name="Sewer Monthly" sheetId="3" state="visible" r:id="rId5"/>
    <sheet name="Trash Monthly" sheetId="4" state="visible" r:id="rId6"/>
    <sheet name="WWTP Monthly" sheetId="5" state="visible" r:id="rId7"/>
    <sheet name="Exceptions" sheetId="6" state="visible" r:id="rId8"/>
    <sheet name="Source" sheetId="7" state="visible" r:id="rId9"/>
  </sheets>
  <definedNames>
    <definedName function="false" hidden="true" localSheetId="0" name="_xlnm._FilterDatabase" vbProcedure="false">Summary!$A$1:$M$63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<sst xmlns="http://schemas.openxmlformats.org/spreadsheetml/2006/main" count="861" uniqueCount="262">
  <si>
    <t xml:space="preserve">Community</t>
  </si>
  <si>
    <t xml:space="preserve">RM Code</t>
  </si>
  <si>
    <t xml:space="preserve">Sewer YTD</t>
  </si>
  <si>
    <t xml:space="preserve">WWTP YTD</t>
  </si>
  <si>
    <t xml:space="preserve">Sewer + WWTP</t>
  </si>
  <si>
    <t xml:space="preserve">Trash YTD</t>
  </si>
  <si>
    <t xml:space="preserve">Lot-months</t>
  </si>
  <si>
    <t xml:space="preserve">Avg occ lots</t>
  </si>
  <si>
    <t xml:space="preserve">Sewer /lot/mo</t>
  </si>
  <si>
    <t xml:space="preserve">WWTP /lot/mo</t>
  </si>
  <si>
    <t xml:space="preserve">Trash /lot/mo</t>
  </si>
  <si>
    <t xml:space="preserve">All-in /lot/mo</t>
  </si>
  <si>
    <t xml:space="preserve">Note</t>
  </si>
  <si>
    <t xml:space="preserve">American</t>
  </si>
  <si>
    <t xml:space="preserve">AMER</t>
  </si>
  <si>
    <t xml:space="preserve">no sewer expense booked</t>
  </si>
  <si>
    <t xml:space="preserve">Applegate MHC</t>
  </si>
  <si>
    <t xml:space="preserve">APPLE</t>
  </si>
  <si>
    <t xml:space="preserve">sewer via own WWTP</t>
  </si>
  <si>
    <t xml:space="preserve">Auburn Ridge</t>
  </si>
  <si>
    <t xml:space="preserve">ARD</t>
  </si>
  <si>
    <t xml:space="preserve">Bay Oaks Village II</t>
  </si>
  <si>
    <t xml:space="preserve">BOVIIPO</t>
  </si>
  <si>
    <t xml:space="preserve">Belle Haven</t>
  </si>
  <si>
    <t xml:space="preserve">BELL</t>
  </si>
  <si>
    <t xml:space="preserve">Brunswick Estates</t>
  </si>
  <si>
    <t xml:space="preserve">BRUN</t>
  </si>
  <si>
    <t xml:space="preserve">Carley's Mobile Home Park</t>
  </si>
  <si>
    <t xml:space="preserve">CARL</t>
  </si>
  <si>
    <t xml:space="preserve">Central Mobile Home Park</t>
  </si>
  <si>
    <t xml:space="preserve">CENT</t>
  </si>
  <si>
    <t xml:space="preserve">Congress Mobile Home Park</t>
  </si>
  <si>
    <t xml:space="preserve">CONG</t>
  </si>
  <si>
    <t xml:space="preserve">sold Jul-2026; no trash expense booked</t>
  </si>
  <si>
    <t xml:space="preserve">Crystal Acres</t>
  </si>
  <si>
    <t xml:space="preserve">CA</t>
  </si>
  <si>
    <t xml:space="preserve">Druid Oaks MHC</t>
  </si>
  <si>
    <t xml:space="preserve">DO</t>
  </si>
  <si>
    <t xml:space="preserve">Fox Creek</t>
  </si>
  <si>
    <t xml:space="preserve">FOX</t>
  </si>
  <si>
    <t xml:space="preserve">Geiger Key RV Resort</t>
  </si>
  <si>
    <t xml:space="preserve">GEIGRV</t>
  </si>
  <si>
    <t xml:space="preserve">Great Oak RV Resort</t>
  </si>
  <si>
    <t xml:space="preserve">GO</t>
  </si>
  <si>
    <t xml:space="preserve">Greene Pointe</t>
  </si>
  <si>
    <t xml:space="preserve">GPT</t>
  </si>
  <si>
    <t xml:space="preserve">Gulf Breeze MHC</t>
  </si>
  <si>
    <t xml:space="preserve">GULFPO</t>
  </si>
  <si>
    <t xml:space="preserve">Harbour Mobile Home Park</t>
  </si>
  <si>
    <t xml:space="preserve">HARB</t>
  </si>
  <si>
    <t xml:space="preserve">Hershey Park</t>
  </si>
  <si>
    <t xml:space="preserve">HP</t>
  </si>
  <si>
    <t xml:space="preserve">Hunter Springs MHP</t>
  </si>
  <si>
    <t xml:space="preserve">HSMHC</t>
  </si>
  <si>
    <t xml:space="preserve">J Bar J Estates</t>
  </si>
  <si>
    <t xml:space="preserve">JBJ</t>
  </si>
  <si>
    <t xml:space="preserve">Lake Saunders</t>
  </si>
  <si>
    <t xml:space="preserve">LS</t>
  </si>
  <si>
    <t xml:space="preserve">Lake Wales MHC</t>
  </si>
  <si>
    <t xml:space="preserve">LWPO</t>
  </si>
  <si>
    <t xml:space="preserve">Lamberton Lake MHC</t>
  </si>
  <si>
    <t xml:space="preserve">LLMHC</t>
  </si>
  <si>
    <t xml:space="preserve">Lucky Clover</t>
  </si>
  <si>
    <t xml:space="preserve">LUCK</t>
  </si>
  <si>
    <t xml:space="preserve">Mayflower Hills</t>
  </si>
  <si>
    <t xml:space="preserve">MAY</t>
  </si>
  <si>
    <t xml:space="preserve">McGregor Downs</t>
  </si>
  <si>
    <t xml:space="preserve">MCG</t>
  </si>
  <si>
    <t xml:space="preserve">occupancy only 5 of 8 months; no sewer expense booked</t>
  </si>
  <si>
    <t xml:space="preserve">Meadow Woods Mobile Home Park</t>
  </si>
  <si>
    <t xml:space="preserve">MWMHP</t>
  </si>
  <si>
    <t xml:space="preserve">Monson</t>
  </si>
  <si>
    <t xml:space="preserve">MON</t>
  </si>
  <si>
    <t xml:space="preserve">Northgate MH</t>
  </si>
  <si>
    <t xml:space="preserve">NGMH</t>
  </si>
  <si>
    <t xml:space="preserve">Northgate Utility</t>
  </si>
  <si>
    <t xml:space="preserve">NGU</t>
  </si>
  <si>
    <t xml:space="preserve">sewer via own WWTP; no trash expense booked</t>
  </si>
  <si>
    <t xml:space="preserve">Oakside MHP</t>
  </si>
  <si>
    <t xml:space="preserve">OAK</t>
  </si>
  <si>
    <t xml:space="preserve">Oceanaire MHC</t>
  </si>
  <si>
    <t xml:space="preserve">OCEANPO</t>
  </si>
  <si>
    <t xml:space="preserve">no trash expense booked</t>
  </si>
  <si>
    <t xml:space="preserve">Ormond Beach Oasis</t>
  </si>
  <si>
    <t xml:space="preserve">OBOPO</t>
  </si>
  <si>
    <t xml:space="preserve">Palm Haven Estates</t>
  </si>
  <si>
    <t xml:space="preserve">PPH</t>
  </si>
  <si>
    <t xml:space="preserve">Palm Spring Estates</t>
  </si>
  <si>
    <t xml:space="preserve">PSEPO</t>
  </si>
  <si>
    <t xml:space="preserve">Paradise Lakes</t>
  </si>
  <si>
    <t xml:space="preserve">PL</t>
  </si>
  <si>
    <t xml:space="preserve">Paradise Palms</t>
  </si>
  <si>
    <t xml:space="preserve">PP</t>
  </si>
  <si>
    <t xml:space="preserve">Parkwood Mobile Home Park</t>
  </si>
  <si>
    <t xml:space="preserve">PARK</t>
  </si>
  <si>
    <t xml:space="preserve">Redlands</t>
  </si>
  <si>
    <t xml:space="preserve">RED</t>
  </si>
  <si>
    <t xml:space="preserve">Regency I &amp; II</t>
  </si>
  <si>
    <t xml:space="preserve">REG</t>
  </si>
  <si>
    <t xml:space="preserve">occupancy only 6 of 8 months</t>
  </si>
  <si>
    <t xml:space="preserve">River Oaks RV Resort</t>
  </si>
  <si>
    <t xml:space="preserve">RO</t>
  </si>
  <si>
    <t xml:space="preserve">Riverwalk</t>
  </si>
  <si>
    <t xml:space="preserve">RW</t>
  </si>
  <si>
    <t xml:space="preserve">Riviera</t>
  </si>
  <si>
    <t xml:space="preserve">RIV</t>
  </si>
  <si>
    <t xml:space="preserve">Royal Oaks MHC</t>
  </si>
  <si>
    <t xml:space="preserve">ROYAL</t>
  </si>
  <si>
    <t xml:space="preserve">Sea Shells Manufactured Housing Community</t>
  </si>
  <si>
    <t xml:space="preserve">SS</t>
  </si>
  <si>
    <t xml:space="preserve">Shady Acres MHC</t>
  </si>
  <si>
    <t xml:space="preserve">SA</t>
  </si>
  <si>
    <t xml:space="preserve">Shady Oaks MHP</t>
  </si>
  <si>
    <t xml:space="preserve">SO</t>
  </si>
  <si>
    <t xml:space="preserve">Shell Pointe MHC</t>
  </si>
  <si>
    <t xml:space="preserve">SP</t>
  </si>
  <si>
    <t xml:space="preserve">sold Jul-2026</t>
  </si>
  <si>
    <t xml:space="preserve">Silver Breeze</t>
  </si>
  <si>
    <t xml:space="preserve">SILVER</t>
  </si>
  <si>
    <t xml:space="preserve">Silver Hill MHC</t>
  </si>
  <si>
    <t xml:space="preserve">SH</t>
  </si>
  <si>
    <t xml:space="preserve">Southgate</t>
  </si>
  <si>
    <t xml:space="preserve">SOUTH</t>
  </si>
  <si>
    <t xml:space="preserve">Su-Rene</t>
  </si>
  <si>
    <t xml:space="preserve">SUR</t>
  </si>
  <si>
    <t xml:space="preserve">Terrace Crossings</t>
  </si>
  <si>
    <t xml:space="preserve">TC</t>
  </si>
  <si>
    <t xml:space="preserve">The Oaks</t>
  </si>
  <si>
    <t xml:space="preserve">TO</t>
  </si>
  <si>
    <t xml:space="preserve">Town &amp; Country MHC</t>
  </si>
  <si>
    <t xml:space="preserve">TCMHCPO</t>
  </si>
  <si>
    <t xml:space="preserve">Triple S Marina</t>
  </si>
  <si>
    <t xml:space="preserve">SSS</t>
  </si>
  <si>
    <t xml:space="preserve">Vantage Oaks</t>
  </si>
  <si>
    <t xml:space="preserve">VO</t>
  </si>
  <si>
    <t xml:space="preserve">Westwood MHC</t>
  </si>
  <si>
    <t xml:space="preserve">WWPO</t>
  </si>
  <si>
    <t xml:space="preserve">Whispering Pines MA</t>
  </si>
  <si>
    <t xml:space="preserve">WPMA</t>
  </si>
  <si>
    <t xml:space="preserve">Whispering Pines MH FL</t>
  </si>
  <si>
    <t xml:space="preserve">WPMH</t>
  </si>
  <si>
    <t xml:space="preserve">Windward Knoll</t>
  </si>
  <si>
    <t xml:space="preserve">WIND</t>
  </si>
  <si>
    <t xml:space="preserve">Wolf Bay MHC</t>
  </si>
  <si>
    <t xml:space="preserve">WOLFPO</t>
  </si>
  <si>
    <t xml:space="preserve">PORTFOLIO TOTAL</t>
  </si>
  <si>
    <t xml:space="preserve">"Per lot / mo" = YTD account total divided by occupied lot-months (sum of occupied lots across Jan-Aug). It is cost per occupied lot, not per person.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</si>
  <si>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</si>
  <si>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</si>
  <si>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</si>
  <si>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</si>
  <si>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</si>
  <si>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</si>
  <si>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</si>
  <si>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</si>
  <si>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YTD Total</t>
  </si>
  <si>
    <t xml:space="preserve">Per lot / mo</t>
  </si>
  <si>
    <t xml:space="preserve">A. Occupied lots in RM but ZERO sewer, WWTP or trash expense booked in 2026</t>
  </si>
  <si>
    <t xml:space="preserve">Avg occupied lots</t>
  </si>
  <si>
    <t xml:space="preserve">Months of occupancy data</t>
  </si>
  <si>
    <t xml:space="preserve">Cambridge MHC</t>
  </si>
  <si>
    <t xml:space="preserve">CAMMHC</t>
  </si>
  <si>
    <t xml:space="preserve">BEDROCK MHC</t>
  </si>
  <si>
    <t xml:space="preserve">BMHC</t>
  </si>
  <si>
    <t xml:space="preserve">Valley View MHC</t>
  </si>
  <si>
    <t xml:space="preserve">VV</t>
  </si>
  <si>
    <t xml:space="preserve">Apple Creek</t>
  </si>
  <si>
    <t xml:space="preserve">ACMHC</t>
  </si>
  <si>
    <t xml:space="preserve">Parktown MHC</t>
  </si>
  <si>
    <t xml:space="preserve">PTMHC</t>
  </si>
  <si>
    <t xml:space="preserve">Countryside MHC</t>
  </si>
  <si>
    <t xml:space="preserve">CSMHC</t>
  </si>
  <si>
    <t xml:space="preserve">Cedar Grove Manufactured Housing Community</t>
  </si>
  <si>
    <t xml:space="preserve">CG</t>
  </si>
  <si>
    <t xml:space="preserve">Colonial Manufactured Housing Community</t>
  </si>
  <si>
    <t xml:space="preserve">C</t>
  </si>
  <si>
    <t xml:space="preserve">Lambeth Manufactured Housing Community</t>
  </si>
  <si>
    <t xml:space="preserve">LB</t>
  </si>
  <si>
    <t xml:space="preserve">xParkwood Manufactured Housing Community</t>
  </si>
  <si>
    <t xml:space="preserve">PW</t>
  </si>
  <si>
    <t xml:space="preserve">Everglades Mobile Home Park</t>
  </si>
  <si>
    <t xml:space="preserve">EG</t>
  </si>
  <si>
    <t xml:space="preserve">Royal Palm Trailer Park</t>
  </si>
  <si>
    <t xml:space="preserve">RP</t>
  </si>
  <si>
    <t xml:space="preserve">Tradewinds MHC</t>
  </si>
  <si>
    <t xml:space="preserve">TRADE</t>
  </si>
  <si>
    <t xml:space="preserve">Parakeet Communities</t>
  </si>
  <si>
    <t xml:space="preserve">PC</t>
  </si>
  <si>
    <t xml:space="preserve">Applegate Water</t>
  </si>
  <si>
    <t xml:space="preserve">AW</t>
  </si>
  <si>
    <t xml:space="preserve">Vantage Oaks Utility</t>
  </si>
  <si>
    <t xml:space="preserve">VOU</t>
  </si>
  <si>
    <t xml:space="preserve">Nalls Court MHC</t>
  </si>
  <si>
    <t xml:space="preserve">NALLS</t>
  </si>
  <si>
    <t xml:space="preserve">Hendersons MHC</t>
  </si>
  <si>
    <t xml:space="preserve">HENDS</t>
  </si>
  <si>
    <t xml:space="preserve">Northgate RV</t>
  </si>
  <si>
    <t xml:space="preserve">NGRV</t>
  </si>
  <si>
    <t xml:space="preserve">Bay Oaks Village I</t>
  </si>
  <si>
    <t xml:space="preserve">BOVIPO</t>
  </si>
  <si>
    <t xml:space="preserve">Shirleys Trailer Park I</t>
  </si>
  <si>
    <t xml:space="preserve">STPI</t>
  </si>
  <si>
    <t xml:space="preserve">Shirleys Trailer Park II</t>
  </si>
  <si>
    <t xml:space="preserve">STPII</t>
  </si>
  <si>
    <t xml:space="preserve">B. Sewer / trash expense booked but NO occupied lots in 2026 (no per-lot figure possible)</t>
  </si>
  <si>
    <t xml:space="preserve">Property</t>
  </si>
  <si>
    <t xml:space="preserve">Hunter Springs MHC</t>
  </si>
  <si>
    <t xml:space="preserve">HSRC</t>
  </si>
  <si>
    <t xml:space="preserve">Geiger Key Fish Camp Opco</t>
  </si>
  <si>
    <t xml:space="preserve">GKFC</t>
  </si>
  <si>
    <t xml:space="preserve">C. Legacy entity records folded into their current entity (expense split across both in 2026)</t>
  </si>
  <si>
    <t xml:space="preserve">Legacy record</t>
  </si>
  <si>
    <t xml:space="preserve">Legacy code</t>
  </si>
  <si>
    <t xml:space="preserve">Folded into</t>
  </si>
  <si>
    <t xml:space="preserve">Current code</t>
  </si>
  <si>
    <t xml:space="preserve">xTown &amp; Country MHC</t>
  </si>
  <si>
    <t xml:space="preserve">TCMHC</t>
  </si>
  <si>
    <t xml:space="preserve">xOceanaire MHC</t>
  </si>
  <si>
    <t xml:space="preserve">OCEAN</t>
  </si>
  <si>
    <t xml:space="preserve">xWolf Bay Manufactured Housing Community</t>
  </si>
  <si>
    <t xml:space="preserve">WOLF</t>
  </si>
  <si>
    <t xml:space="preserve">xPalm Spring Estates</t>
  </si>
  <si>
    <t xml:space="preserve">PSE</t>
  </si>
  <si>
    <t xml:space="preserve">xOrmond Beach Oasis</t>
  </si>
  <si>
    <t xml:space="preserve">OBO</t>
  </si>
  <si>
    <t xml:space="preserve">xBay Oaks Village I</t>
  </si>
  <si>
    <t xml:space="preserve">BOVI</t>
  </si>
  <si>
    <t xml:space="preserve">xBay Oaks Village II</t>
  </si>
  <si>
    <t xml:space="preserve">BOVII</t>
  </si>
  <si>
    <t xml:space="preserve">xGulf Breeze MHP</t>
  </si>
  <si>
    <t xml:space="preserve">GULF</t>
  </si>
  <si>
    <t xml:space="preserve">xWestwood MHP</t>
  </si>
  <si>
    <t xml:space="preserve">WW</t>
  </si>
  <si>
    <t xml:space="preserve">xLake Wales MHC</t>
  </si>
  <si>
    <t xml:space="preserve">LW</t>
  </si>
  <si>
    <t xml:space="preserve">D. Sold communities - shown for completeness, exclude from current-period metrics</t>
  </si>
  <si>
    <t xml:space="preserve">E. Partial-year occupancy - per-lot figures cover only the months with occupancy</t>
  </si>
  <si>
    <t xml:space="preserve">Months with occupancy</t>
  </si>
  <si>
    <t xml:space="preserve">Report</t>
  </si>
  <si>
    <t xml:space="preserve">RentViewer Data Warehouse (Rent Manager) via MCP - models VW_Budget_Comparison and VW_Rental_Unit_Listing</t>
  </si>
  <si>
    <t xml:space="preserve">Pulled</t>
  </si>
  <si>
    <t xml:space="preserve">2026-09-04</t>
  </si>
  <si>
    <t xml:space="preserve">Period</t>
  </si>
  <si>
    <t xml:space="preserve">2026-01-01 through 2026-08-31 (August is the last closed month; September is not closed)</t>
  </si>
  <si>
    <t xml:space="preserve">Sewer accounts</t>
  </si>
  <si>
    <t xml:space="preserve">51804 Sewer + 51810 Sewer Base Rate</t>
  </si>
  <si>
    <t xml:space="preserve">WWTP accounts</t>
  </si>
  <si>
    <t xml:space="preserve">51821 WWTP Dumping Fee + 51822 WWTP Maintenance + 51823 WWTP Service Call (self-operated plant - shown separately because it substitutes for municipal sewer)</t>
  </si>
  <si>
    <t xml:space="preserve">Trash accounts</t>
  </si>
  <si>
    <t xml:space="preserve">51811 Garbage Base + 51812 Garbage Overage + 51813 Roll Offs</t>
  </si>
  <si>
    <t xml:space="preserve">Excluded accounts</t>
  </si>
  <si>
    <t xml:space="preserve">51805 Water, 51801 Electric, 51808 Water Testing, 51817 Chlorine, 51819/51820 Private Water, 51816 Stormwater, 51815 Backflow, and all other 518xx</t>
  </si>
  <si>
    <t xml:space="preserve">Denominator</t>
  </si>
  <si>
    <t xml:space="preserve">Occupied units (unit-level, all unit types) from VW_Rental_Unit_Listing, occupiedUnits segment, by report month. Lot-months = sum of occupied lots across Jan-Aug.</t>
  </si>
  <si>
    <t xml:space="preserve">Per-lot basis</t>
  </si>
  <si>
    <t xml:space="preserve">Cost per OCCUPIED LOT per month. Rent Manager does not hold reliable occupant head-counts, so this is not cost per person.</t>
  </si>
  <si>
    <t xml:space="preserve">Entity merges</t>
  </si>
  <si>
    <t xml:space="preserve">Ten legacy "x" property records were folded into their current entity (see Exceptions tab C). Without this merge January 2026 expense is missing from the current record.</t>
  </si>
  <si>
    <t xml:space="preserve">Scope</t>
  </si>
  <si>
    <t xml:space="preserve">62 property records with both expense and 2026 occupancy. 24 records with occupancy but no expense and 2 with expense but no occupancy are listed on the Exceptions tab, not in the table.</t>
  </si>
  <si>
    <t xml:space="preserve">Measure</t>
  </si>
  <si>
    <t xml:space="preserve">VW_Budget_Comparison.totalActual (actual, not budget).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</si>
</sst>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"/>
    <numFmt numFmtId="167" formatCode="\$#,##0.00;&quot;($&quot;#,##0.00\);\-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 t="n">
        <f aca="false">'Sewer Monthly'!K2</f>
        <v>0</v>
      </c>
      <c r="D2" s="3" t="n">
        <f aca="false">'WWTP Monthly'!K2</f>
        <v>0</v>
      </c>
      <c r="E2" s="4" t="n">
        <f aca="false">C2+D2</f>
        <v>0</v>
      </c>
      <c r="F2" s="3" t="n">
        <f aca="false">'Trash Monthly'!K2</f>
        <v>4740</v>
      </c>
      <c r="G2" s="2" t="n">
        <f aca="false">'Occupied Lots'!K2</f>
        <v>316</v>
      </c>
      <c r="H2" s="5" t="n">
        <f aca="false">IFERROR(G2/8,0)</f>
        <v>39.5</v>
      </c>
      <c r="I2" s="6" t="n">
        <f aca="false">IFERROR(C2/$G2,0)</f>
        <v>0</v>
      </c>
      <c r="J2" s="6" t="n">
        <f aca="false">IFERROR(D2/$G2,0)</f>
        <v>0</v>
      </c>
      <c r="K2" s="6" t="n">
        <f aca="false">IFERROR(F2/$G2,0)</f>
        <v>15</v>
      </c>
      <c r="L2" s="7" t="n">
        <f aca="false">IFERROR((C2+D2+F2)/$G2,0)</f>
        <v>15</v>
      </c>
      <c r="M2" s="8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3" t="n">
        <f aca="false">'Sewer Monthly'!K3</f>
        <v>0</v>
      </c>
      <c r="D3" s="3" t="n">
        <f aca="false">'WWTP Monthly'!K3</f>
        <v>24963.4</v>
      </c>
      <c r="E3" s="4" t="n">
        <f aca="false">C3+D3</f>
        <v>24963.4</v>
      </c>
      <c r="F3" s="3" t="n">
        <f aca="false">'Trash Monthly'!K3</f>
        <v>18566.18</v>
      </c>
      <c r="G3" s="2" t="n">
        <f aca="false">'Occupied Lots'!K3</f>
        <v>590</v>
      </c>
      <c r="H3" s="5" t="n">
        <f aca="false">IFERROR(G3/8,0)</f>
        <v>73.75</v>
      </c>
      <c r="I3" s="6" t="n">
        <f aca="false">IFERROR(C3/$G3,0)</f>
        <v>0</v>
      </c>
      <c r="J3" s="6" t="n">
        <f aca="false">IFERROR(D3/$G3,0)</f>
        <v>42.3108474576271</v>
      </c>
      <c r="K3" s="6" t="n">
        <f aca="false">IFERROR(F3/$G3,0)</f>
        <v>31.4681016949153</v>
      </c>
      <c r="L3" s="7" t="n">
        <f aca="false">IFERROR((C3+D3+F3)/$G3,0)</f>
        <v>73.7789491525424</v>
      </c>
      <c r="M3" s="8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3" t="n">
        <f aca="false">'Sewer Monthly'!K4</f>
        <v>0</v>
      </c>
      <c r="D4" s="3" t="n">
        <f aca="false">'WWTP Monthly'!K4</f>
        <v>0</v>
      </c>
      <c r="E4" s="4" t="n">
        <f aca="false">C4+D4</f>
        <v>0</v>
      </c>
      <c r="F4" s="3" t="n">
        <f aca="false">'Trash Monthly'!K4</f>
        <v>3068.83</v>
      </c>
      <c r="G4" s="2" t="n">
        <f aca="false">'Occupied Lots'!K4</f>
        <v>1170</v>
      </c>
      <c r="H4" s="5" t="n">
        <f aca="false">IFERROR(G4/8,0)</f>
        <v>146.25</v>
      </c>
      <c r="I4" s="6" t="n">
        <f aca="false">IFERROR(C4/$G4,0)</f>
        <v>0</v>
      </c>
      <c r="J4" s="6" t="n">
        <f aca="false">IFERROR(D4/$G4,0)</f>
        <v>0</v>
      </c>
      <c r="K4" s="6" t="n">
        <f aca="false">IFERROR(F4/$G4,0)</f>
        <v>2.62293162393162</v>
      </c>
      <c r="L4" s="7" t="n">
        <f aca="false">IFERROR((C4+D4+F4)/$G4,0)</f>
        <v>2.62293162393162</v>
      </c>
      <c r="M4" s="8" t="s">
        <v>15</v>
      </c>
    </row>
    <row r="5" customFormat="false" ht="15" hidden="false" customHeight="false" outlineLevel="0" collapsed="false">
      <c r="A5" s="2" t="s">
        <v>21</v>
      </c>
      <c r="B5" s="2" t="s">
        <v>22</v>
      </c>
      <c r="C5" s="3" t="n">
        <f aca="false">'Sewer Monthly'!K5</f>
        <v>0</v>
      </c>
      <c r="D5" s="3" t="n">
        <f aca="false">'WWTP Monthly'!K5</f>
        <v>0</v>
      </c>
      <c r="E5" s="4" t="n">
        <f aca="false">C5+D5</f>
        <v>0</v>
      </c>
      <c r="F5" s="3" t="n">
        <f aca="false">'Trash Monthly'!K5</f>
        <v>5731.23</v>
      </c>
      <c r="G5" s="2" t="n">
        <f aca="false">'Occupied Lots'!K5</f>
        <v>151</v>
      </c>
      <c r="H5" s="5" t="n">
        <f aca="false">IFERROR(G5/8,0)</f>
        <v>18.875</v>
      </c>
      <c r="I5" s="6" t="n">
        <f aca="false">IFERROR(C5/$G5,0)</f>
        <v>0</v>
      </c>
      <c r="J5" s="6" t="n">
        <f aca="false">IFERROR(D5/$G5,0)</f>
        <v>0</v>
      </c>
      <c r="K5" s="6" t="n">
        <f aca="false">IFERROR(F5/$G5,0)</f>
        <v>37.9551655629139</v>
      </c>
      <c r="L5" s="7" t="n">
        <f aca="false">IFERROR((C5+D5+F5)/$G5,0)</f>
        <v>37.9551655629139</v>
      </c>
      <c r="M5" s="8" t="s">
        <v>15</v>
      </c>
    </row>
    <row r="6" customFormat="false" ht="15" hidden="false" customHeight="false" outlineLevel="0" collapsed="false">
      <c r="A6" s="2" t="s">
        <v>23</v>
      </c>
      <c r="B6" s="2" t="s">
        <v>24</v>
      </c>
      <c r="C6" s="3" t="n">
        <f aca="false">'Sewer Monthly'!K6</f>
        <v>21706.77</v>
      </c>
      <c r="D6" s="3" t="n">
        <f aca="false">'WWTP Monthly'!K6</f>
        <v>0</v>
      </c>
      <c r="E6" s="4" t="n">
        <f aca="false">C6+D6</f>
        <v>21706.77</v>
      </c>
      <c r="F6" s="3" t="n">
        <f aca="false">'Trash Monthly'!K6</f>
        <v>8814.65</v>
      </c>
      <c r="G6" s="2" t="n">
        <f aca="false">'Occupied Lots'!K6</f>
        <v>439</v>
      </c>
      <c r="H6" s="5" t="n">
        <f aca="false">IFERROR(G6/8,0)</f>
        <v>54.875</v>
      </c>
      <c r="I6" s="6" t="n">
        <f aca="false">IFERROR(C6/$G6,0)</f>
        <v>49.4459453302961</v>
      </c>
      <c r="J6" s="6" t="n">
        <f aca="false">IFERROR(D6/$G6,0)</f>
        <v>0</v>
      </c>
      <c r="K6" s="6" t="n">
        <f aca="false">IFERROR(F6/$G6,0)</f>
        <v>20.0789293849658</v>
      </c>
      <c r="L6" s="7" t="n">
        <f aca="false">IFERROR((C6+D6+F6)/$G6,0)</f>
        <v>69.524874715262</v>
      </c>
      <c r="M6" s="8"/>
    </row>
    <row r="7" customFormat="false" ht="15" hidden="false" customHeight="false" outlineLevel="0" collapsed="false">
      <c r="A7" s="2" t="s">
        <v>25</v>
      </c>
      <c r="B7" s="2" t="s">
        <v>26</v>
      </c>
      <c r="C7" s="3" t="n">
        <f aca="false">'Sewer Monthly'!K7</f>
        <v>2200.71</v>
      </c>
      <c r="D7" s="3" t="n">
        <f aca="false">'WWTP Monthly'!K7</f>
        <v>0</v>
      </c>
      <c r="E7" s="4" t="n">
        <f aca="false">C7+D7</f>
        <v>2200.71</v>
      </c>
      <c r="F7" s="3" t="n">
        <f aca="false">'Trash Monthly'!K7</f>
        <v>2886.58</v>
      </c>
      <c r="G7" s="2" t="n">
        <f aca="false">'Occupied Lots'!K7</f>
        <v>398</v>
      </c>
      <c r="H7" s="5" t="n">
        <f aca="false">IFERROR(G7/8,0)</f>
        <v>49.75</v>
      </c>
      <c r="I7" s="6" t="n">
        <f aca="false">IFERROR(C7/$G7,0)</f>
        <v>5.52942211055276</v>
      </c>
      <c r="J7" s="6" t="n">
        <f aca="false">IFERROR(D7/$G7,0)</f>
        <v>0</v>
      </c>
      <c r="K7" s="6" t="n">
        <f aca="false">IFERROR(F7/$G7,0)</f>
        <v>7.2527135678392</v>
      </c>
      <c r="L7" s="7" t="n">
        <f aca="false">IFERROR((C7+D7+F7)/$G7,0)</f>
        <v>12.782135678392</v>
      </c>
      <c r="M7" s="8"/>
    </row>
    <row r="8" customFormat="false" ht="15" hidden="false" customHeight="false" outlineLevel="0" collapsed="false">
      <c r="A8" s="2" t="s">
        <v>27</v>
      </c>
      <c r="B8" s="2" t="s">
        <v>28</v>
      </c>
      <c r="C8" s="3" t="n">
        <f aca="false">'Sewer Monthly'!K8</f>
        <v>3375</v>
      </c>
      <c r="D8" s="3" t="n">
        <f aca="false">'WWTP Monthly'!K8</f>
        <v>73</v>
      </c>
      <c r="E8" s="4" t="n">
        <f aca="false">C8+D8</f>
        <v>3448</v>
      </c>
      <c r="F8" s="3" t="n">
        <f aca="false">'Trash Monthly'!K8</f>
        <v>50731.52</v>
      </c>
      <c r="G8" s="2" t="n">
        <f aca="false">'Occupied Lots'!K8</f>
        <v>605</v>
      </c>
      <c r="H8" s="5" t="n">
        <f aca="false">IFERROR(G8/8,0)</f>
        <v>75.625</v>
      </c>
      <c r="I8" s="6" t="n">
        <f aca="false">IFERROR(C8/$G8,0)</f>
        <v>5.57851239669422</v>
      </c>
      <c r="J8" s="6" t="n">
        <f aca="false">IFERROR(D8/$G8,0)</f>
        <v>0.120661157024793</v>
      </c>
      <c r="K8" s="6" t="n">
        <f aca="false">IFERROR(F8/$G8,0)</f>
        <v>83.8537520661157</v>
      </c>
      <c r="L8" s="7" t="n">
        <f aca="false">IFERROR((C8+D8+F8)/$G8,0)</f>
        <v>89.5529256198347</v>
      </c>
      <c r="M8" s="8"/>
    </row>
    <row r="9" customFormat="false" ht="15" hidden="false" customHeight="false" outlineLevel="0" collapsed="false">
      <c r="A9" s="2" t="s">
        <v>29</v>
      </c>
      <c r="B9" s="2" t="s">
        <v>30</v>
      </c>
      <c r="C9" s="3" t="n">
        <f aca="false">'Sewer Monthly'!K9</f>
        <v>21374.47</v>
      </c>
      <c r="D9" s="3" t="n">
        <f aca="false">'WWTP Monthly'!K9</f>
        <v>658.31</v>
      </c>
      <c r="E9" s="4" t="n">
        <f aca="false">C9+D9</f>
        <v>22032.78</v>
      </c>
      <c r="F9" s="3" t="n">
        <f aca="false">'Trash Monthly'!K9</f>
        <v>39073.05</v>
      </c>
      <c r="G9" s="2" t="n">
        <f aca="false">'Occupied Lots'!K9</f>
        <v>459</v>
      </c>
      <c r="H9" s="5" t="n">
        <f aca="false">IFERROR(G9/8,0)</f>
        <v>57.375</v>
      </c>
      <c r="I9" s="6" t="n">
        <f aca="false">IFERROR(C9/$G9,0)</f>
        <v>46.5674727668845</v>
      </c>
      <c r="J9" s="6" t="n">
        <f aca="false">IFERROR(D9/$G9,0)</f>
        <v>1.4342265795207</v>
      </c>
      <c r="K9" s="6" t="n">
        <f aca="false">IFERROR(F9/$G9,0)</f>
        <v>85.1264705882353</v>
      </c>
      <c r="L9" s="7" t="n">
        <f aca="false">IFERROR((C9+D9+F9)/$G9,0)</f>
        <v>133.128169934641</v>
      </c>
      <c r="M9" s="8"/>
    </row>
    <row r="10" customFormat="false" ht="15" hidden="false" customHeight="false" outlineLevel="0" collapsed="false">
      <c r="A10" s="2" t="s">
        <v>31</v>
      </c>
      <c r="B10" s="2" t="s">
        <v>32</v>
      </c>
      <c r="C10" s="3" t="n">
        <f aca="false">'Sewer Monthly'!K10</f>
        <v>7145.39</v>
      </c>
      <c r="D10" s="3" t="n">
        <f aca="false">'WWTP Monthly'!K10</f>
        <v>1399</v>
      </c>
      <c r="E10" s="4" t="n">
        <f aca="false">C10+D10</f>
        <v>8544.39</v>
      </c>
      <c r="F10" s="3" t="n">
        <f aca="false">'Trash Monthly'!K10</f>
        <v>0</v>
      </c>
      <c r="G10" s="2" t="n">
        <f aca="false">'Occupied Lots'!K10</f>
        <v>248</v>
      </c>
      <c r="H10" s="5" t="n">
        <f aca="false">IFERROR(G10/8,0)</f>
        <v>31</v>
      </c>
      <c r="I10" s="6" t="n">
        <f aca="false">IFERROR(C10/$G10,0)</f>
        <v>28.8120564516129</v>
      </c>
      <c r="J10" s="6" t="n">
        <f aca="false">IFERROR(D10/$G10,0)</f>
        <v>5.64112903225807</v>
      </c>
      <c r="K10" s="6" t="n">
        <f aca="false">IFERROR(F10/$G10,0)</f>
        <v>0</v>
      </c>
      <c r="L10" s="7" t="n">
        <f aca="false">IFERROR((C10+D10+F10)/$G10,0)</f>
        <v>34.453185483871</v>
      </c>
      <c r="M10" s="8" t="s">
        <v>33</v>
      </c>
    </row>
    <row r="11" customFormat="false" ht="15" hidden="false" customHeight="false" outlineLevel="0" collapsed="false">
      <c r="A11" s="2" t="s">
        <v>34</v>
      </c>
      <c r="B11" s="2" t="s">
        <v>35</v>
      </c>
      <c r="C11" s="3" t="n">
        <f aca="false">'Sewer Monthly'!K11</f>
        <v>0</v>
      </c>
      <c r="D11" s="3" t="n">
        <f aca="false">'WWTP Monthly'!K11</f>
        <v>0</v>
      </c>
      <c r="E11" s="4" t="n">
        <f aca="false">C11+D11</f>
        <v>0</v>
      </c>
      <c r="F11" s="3" t="n">
        <f aca="false">'Trash Monthly'!K11</f>
        <v>7287.48</v>
      </c>
      <c r="G11" s="2" t="n">
        <f aca="false">'Occupied Lots'!K11</f>
        <v>187</v>
      </c>
      <c r="H11" s="5" t="n">
        <f aca="false">IFERROR(G11/8,0)</f>
        <v>23.375</v>
      </c>
      <c r="I11" s="6" t="n">
        <f aca="false">IFERROR(C11/$G11,0)</f>
        <v>0</v>
      </c>
      <c r="J11" s="6" t="n">
        <f aca="false">IFERROR(D11/$G11,0)</f>
        <v>0</v>
      </c>
      <c r="K11" s="6" t="n">
        <f aca="false">IFERROR(F11/$G11,0)</f>
        <v>38.9704812834225</v>
      </c>
      <c r="L11" s="7" t="n">
        <f aca="false">IFERROR((C11+D11+F11)/$G11,0)</f>
        <v>38.9704812834225</v>
      </c>
      <c r="M11" s="8" t="s">
        <v>15</v>
      </c>
    </row>
    <row r="12" customFormat="false" ht="15" hidden="false" customHeight="false" outlineLevel="0" collapsed="false">
      <c r="A12" s="2" t="s">
        <v>36</v>
      </c>
      <c r="B12" s="2" t="s">
        <v>37</v>
      </c>
      <c r="C12" s="3" t="n">
        <f aca="false">'Sewer Monthly'!K12</f>
        <v>0</v>
      </c>
      <c r="D12" s="3" t="n">
        <f aca="false">'WWTP Monthly'!K12</f>
        <v>0</v>
      </c>
      <c r="E12" s="4" t="n">
        <f aca="false">C12+D12</f>
        <v>0</v>
      </c>
      <c r="F12" s="3" t="n">
        <f aca="false">'Trash Monthly'!K12</f>
        <v>1233.99</v>
      </c>
      <c r="G12" s="2" t="n">
        <f aca="false">'Occupied Lots'!K12</f>
        <v>783</v>
      </c>
      <c r="H12" s="5" t="n">
        <f aca="false">IFERROR(G12/8,0)</f>
        <v>97.875</v>
      </c>
      <c r="I12" s="6" t="n">
        <f aca="false">IFERROR(C12/$G12,0)</f>
        <v>0</v>
      </c>
      <c r="J12" s="6" t="n">
        <f aca="false">IFERROR(D12/$G12,0)</f>
        <v>0</v>
      </c>
      <c r="K12" s="6" t="n">
        <f aca="false">IFERROR(F12/$G12,0)</f>
        <v>1.57597701149425</v>
      </c>
      <c r="L12" s="7" t="n">
        <f aca="false">IFERROR((C12+D12+F12)/$G12,0)</f>
        <v>1.57597701149425</v>
      </c>
      <c r="M12" s="8" t="s">
        <v>15</v>
      </c>
    </row>
    <row r="13" customFormat="false" ht="15" hidden="false" customHeight="false" outlineLevel="0" collapsed="false">
      <c r="A13" s="2" t="s">
        <v>38</v>
      </c>
      <c r="B13" s="2" t="s">
        <v>39</v>
      </c>
      <c r="C13" s="3" t="n">
        <f aca="false">'Sewer Monthly'!K13</f>
        <v>2228.41</v>
      </c>
      <c r="D13" s="3" t="n">
        <f aca="false">'WWTP Monthly'!K13</f>
        <v>0</v>
      </c>
      <c r="E13" s="4" t="n">
        <f aca="false">C13+D13</f>
        <v>2228.41</v>
      </c>
      <c r="F13" s="3" t="n">
        <f aca="false">'Trash Monthly'!K13</f>
        <v>20387.24</v>
      </c>
      <c r="G13" s="2" t="n">
        <f aca="false">'Occupied Lots'!K13</f>
        <v>812</v>
      </c>
      <c r="H13" s="5" t="n">
        <f aca="false">IFERROR(G13/8,0)</f>
        <v>101.5</v>
      </c>
      <c r="I13" s="6" t="n">
        <f aca="false">IFERROR(C13/$G13,0)</f>
        <v>2.74434729064039</v>
      </c>
      <c r="J13" s="6" t="n">
        <f aca="false">IFERROR(D13/$G13,0)</f>
        <v>0</v>
      </c>
      <c r="K13" s="6" t="n">
        <f aca="false">IFERROR(F13/$G13,0)</f>
        <v>25.1074384236453</v>
      </c>
      <c r="L13" s="7" t="n">
        <f aca="false">IFERROR((C13+D13+F13)/$G13,0)</f>
        <v>27.8517857142857</v>
      </c>
      <c r="M13" s="8"/>
    </row>
    <row r="14" customFormat="false" ht="15" hidden="false" customHeight="false" outlineLevel="0" collapsed="false">
      <c r="A14" s="2" t="s">
        <v>40</v>
      </c>
      <c r="B14" s="2" t="s">
        <v>41</v>
      </c>
      <c r="C14" s="3" t="n">
        <f aca="false">'Sewer Monthly'!K14</f>
        <v>7314.66</v>
      </c>
      <c r="D14" s="3" t="n">
        <f aca="false">'WWTP Monthly'!K14</f>
        <v>0</v>
      </c>
      <c r="E14" s="4" t="n">
        <f aca="false">C14+D14</f>
        <v>7314.66</v>
      </c>
      <c r="F14" s="3" t="n">
        <f aca="false">'Trash Monthly'!K14</f>
        <v>20696.27</v>
      </c>
      <c r="G14" s="2" t="n">
        <f aca="false">'Occupied Lots'!K14</f>
        <v>330</v>
      </c>
      <c r="H14" s="5" t="n">
        <f aca="false">IFERROR(G14/8,0)</f>
        <v>41.25</v>
      </c>
      <c r="I14" s="6" t="n">
        <f aca="false">IFERROR(C14/$G14,0)</f>
        <v>22.1656363636364</v>
      </c>
      <c r="J14" s="6" t="n">
        <f aca="false">IFERROR(D14/$G14,0)</f>
        <v>0</v>
      </c>
      <c r="K14" s="6" t="n">
        <f aca="false">IFERROR(F14/$G14,0)</f>
        <v>62.7159696969697</v>
      </c>
      <c r="L14" s="7" t="n">
        <f aca="false">IFERROR((C14+D14+F14)/$G14,0)</f>
        <v>84.8816060606061</v>
      </c>
      <c r="M14" s="8"/>
    </row>
    <row r="15" customFormat="false" ht="15" hidden="false" customHeight="false" outlineLevel="0" collapsed="false">
      <c r="A15" s="2" t="s">
        <v>42</v>
      </c>
      <c r="B15" s="2" t="s">
        <v>43</v>
      </c>
      <c r="C15" s="3" t="n">
        <f aca="false">'Sewer Monthly'!K15</f>
        <v>0</v>
      </c>
      <c r="D15" s="3" t="n">
        <f aca="false">'WWTP Monthly'!K15</f>
        <v>29863.48</v>
      </c>
      <c r="E15" s="4" t="n">
        <f aca="false">C15+D15</f>
        <v>29863.48</v>
      </c>
      <c r="F15" s="3" t="n">
        <f aca="false">'Trash Monthly'!K15</f>
        <v>20214.48</v>
      </c>
      <c r="G15" s="2" t="n">
        <f aca="false">'Occupied Lots'!K15</f>
        <v>1088</v>
      </c>
      <c r="H15" s="5" t="n">
        <f aca="false">IFERROR(G15/8,0)</f>
        <v>136</v>
      </c>
      <c r="I15" s="6" t="n">
        <f aca="false">IFERROR(C15/$G15,0)</f>
        <v>0</v>
      </c>
      <c r="J15" s="6" t="n">
        <f aca="false">IFERROR(D15/$G15,0)</f>
        <v>27.4480514705882</v>
      </c>
      <c r="K15" s="6" t="n">
        <f aca="false">IFERROR(F15/$G15,0)</f>
        <v>18.5794852941176</v>
      </c>
      <c r="L15" s="7" t="n">
        <f aca="false">IFERROR((C15+D15+F15)/$G15,0)</f>
        <v>46.0275367647059</v>
      </c>
      <c r="M15" s="8" t="s">
        <v>18</v>
      </c>
    </row>
    <row r="16" customFormat="false" ht="15" hidden="false" customHeight="false" outlineLevel="0" collapsed="false">
      <c r="A16" s="2" t="s">
        <v>44</v>
      </c>
      <c r="B16" s="2" t="s">
        <v>45</v>
      </c>
      <c r="C16" s="3" t="n">
        <f aca="false">'Sewer Monthly'!K16</f>
        <v>132</v>
      </c>
      <c r="D16" s="3" t="n">
        <f aca="false">'WWTP Monthly'!K16</f>
        <v>0</v>
      </c>
      <c r="E16" s="4" t="n">
        <f aca="false">C16+D16</f>
        <v>132</v>
      </c>
      <c r="F16" s="3" t="n">
        <f aca="false">'Trash Monthly'!K16</f>
        <v>10024.2</v>
      </c>
      <c r="G16" s="2" t="n">
        <f aca="false">'Occupied Lots'!K16</f>
        <v>719</v>
      </c>
      <c r="H16" s="5" t="n">
        <f aca="false">IFERROR(G16/8,0)</f>
        <v>89.875</v>
      </c>
      <c r="I16" s="6" t="n">
        <f aca="false">IFERROR(C16/$G16,0)</f>
        <v>0.183588317107093</v>
      </c>
      <c r="J16" s="6" t="n">
        <f aca="false">IFERROR(D16/$G16,0)</f>
        <v>0</v>
      </c>
      <c r="K16" s="6" t="n">
        <f aca="false">IFERROR(F16/$G16,0)</f>
        <v>13.9418636995828</v>
      </c>
      <c r="L16" s="7" t="n">
        <f aca="false">IFERROR((C16+D16+F16)/$G16,0)</f>
        <v>14.1254520166898</v>
      </c>
      <c r="M16" s="8"/>
    </row>
    <row r="17" customFormat="false" ht="15" hidden="false" customHeight="false" outlineLevel="0" collapsed="false">
      <c r="A17" s="2" t="s">
        <v>46</v>
      </c>
      <c r="B17" s="2" t="s">
        <v>47</v>
      </c>
      <c r="C17" s="3" t="n">
        <f aca="false">'Sewer Monthly'!K17</f>
        <v>2140.48</v>
      </c>
      <c r="D17" s="3" t="n">
        <f aca="false">'WWTP Monthly'!K17</f>
        <v>0</v>
      </c>
      <c r="E17" s="4" t="n">
        <f aca="false">C17+D17</f>
        <v>2140.48</v>
      </c>
      <c r="F17" s="3" t="n">
        <f aca="false">'Trash Monthly'!K17</f>
        <v>1750</v>
      </c>
      <c r="G17" s="2" t="n">
        <f aca="false">'Occupied Lots'!K17</f>
        <v>212</v>
      </c>
      <c r="H17" s="5" t="n">
        <f aca="false">IFERROR(G17/8,0)</f>
        <v>26.5</v>
      </c>
      <c r="I17" s="6" t="n">
        <f aca="false">IFERROR(C17/$G17,0)</f>
        <v>10.0966037735849</v>
      </c>
      <c r="J17" s="6" t="n">
        <f aca="false">IFERROR(D17/$G17,0)</f>
        <v>0</v>
      </c>
      <c r="K17" s="6" t="n">
        <f aca="false">IFERROR(F17/$G17,0)</f>
        <v>8.25471698113208</v>
      </c>
      <c r="L17" s="7" t="n">
        <f aca="false">IFERROR((C17+D17+F17)/$G17,0)</f>
        <v>18.351320754717</v>
      </c>
      <c r="M17" s="8"/>
    </row>
    <row r="18" customFormat="false" ht="15" hidden="false" customHeight="false" outlineLevel="0" collapsed="false">
      <c r="A18" s="2" t="s">
        <v>48</v>
      </c>
      <c r="B18" s="2" t="s">
        <v>49</v>
      </c>
      <c r="C18" s="3" t="n">
        <f aca="false">'Sewer Monthly'!K18</f>
        <v>9259.3</v>
      </c>
      <c r="D18" s="3" t="n">
        <f aca="false">'WWTP Monthly'!K18</f>
        <v>0</v>
      </c>
      <c r="E18" s="4" t="n">
        <f aca="false">C18+D18</f>
        <v>9259.3</v>
      </c>
      <c r="F18" s="3" t="n">
        <f aca="false">'Trash Monthly'!K18</f>
        <v>19976.97</v>
      </c>
      <c r="G18" s="2" t="n">
        <f aca="false">'Occupied Lots'!K18</f>
        <v>284</v>
      </c>
      <c r="H18" s="5" t="n">
        <f aca="false">IFERROR(G18/8,0)</f>
        <v>35.5</v>
      </c>
      <c r="I18" s="6" t="n">
        <f aca="false">IFERROR(C18/$G18,0)</f>
        <v>32.6031690140845</v>
      </c>
      <c r="J18" s="6" t="n">
        <f aca="false">IFERROR(D18/$G18,0)</f>
        <v>0</v>
      </c>
      <c r="K18" s="6" t="n">
        <f aca="false">IFERROR(F18/$G18,0)</f>
        <v>70.3414436619718</v>
      </c>
      <c r="L18" s="7" t="n">
        <f aca="false">IFERROR((C18+D18+F18)/$G18,0)</f>
        <v>102.944612676056</v>
      </c>
      <c r="M18" s="8"/>
    </row>
    <row r="19" customFormat="false" ht="15" hidden="false" customHeight="false" outlineLevel="0" collapsed="false">
      <c r="A19" s="2" t="s">
        <v>50</v>
      </c>
      <c r="B19" s="2" t="s">
        <v>51</v>
      </c>
      <c r="C19" s="3" t="n">
        <f aca="false">'Sewer Monthly'!K19</f>
        <v>463.05</v>
      </c>
      <c r="D19" s="3" t="n">
        <f aca="false">'WWTP Monthly'!K19</f>
        <v>0</v>
      </c>
      <c r="E19" s="4" t="n">
        <f aca="false">C19+D19</f>
        <v>463.05</v>
      </c>
      <c r="F19" s="3" t="n">
        <f aca="false">'Trash Monthly'!K19</f>
        <v>27898.49</v>
      </c>
      <c r="G19" s="2" t="n">
        <f aca="false">'Occupied Lots'!K19</f>
        <v>600</v>
      </c>
      <c r="H19" s="5" t="n">
        <f aca="false">IFERROR(G19/8,0)</f>
        <v>75</v>
      </c>
      <c r="I19" s="6" t="n">
        <f aca="false">IFERROR(C19/$G19,0)</f>
        <v>0.77175</v>
      </c>
      <c r="J19" s="6" t="n">
        <f aca="false">IFERROR(D19/$G19,0)</f>
        <v>0</v>
      </c>
      <c r="K19" s="6" t="n">
        <f aca="false">IFERROR(F19/$G19,0)</f>
        <v>46.4974833333333</v>
      </c>
      <c r="L19" s="7" t="n">
        <f aca="false">IFERROR((C19+D19+F19)/$G19,0)</f>
        <v>47.2692333333333</v>
      </c>
      <c r="M19" s="8"/>
    </row>
    <row r="20" customFormat="false" ht="15" hidden="false" customHeight="false" outlineLevel="0" collapsed="false">
      <c r="A20" s="2" t="s">
        <v>52</v>
      </c>
      <c r="B20" s="2" t="s">
        <v>53</v>
      </c>
      <c r="C20" s="3" t="n">
        <f aca="false">'Sewer Monthly'!K20</f>
        <v>704.77</v>
      </c>
      <c r="D20" s="3" t="n">
        <f aca="false">'WWTP Monthly'!K20</f>
        <v>0</v>
      </c>
      <c r="E20" s="4" t="n">
        <f aca="false">C20+D20</f>
        <v>704.77</v>
      </c>
      <c r="F20" s="3" t="n">
        <f aca="false">'Trash Monthly'!K20</f>
        <v>1399.64</v>
      </c>
      <c r="G20" s="2" t="n">
        <f aca="false">'Occupied Lots'!K20</f>
        <v>105</v>
      </c>
      <c r="H20" s="5" t="n">
        <f aca="false">IFERROR(G20/8,0)</f>
        <v>13.125</v>
      </c>
      <c r="I20" s="6" t="n">
        <f aca="false">IFERROR(C20/$G20,0)</f>
        <v>6.71209523809524</v>
      </c>
      <c r="J20" s="6" t="n">
        <f aca="false">IFERROR(D20/$G20,0)</f>
        <v>0</v>
      </c>
      <c r="K20" s="6" t="n">
        <f aca="false">IFERROR(F20/$G20,0)</f>
        <v>13.3299047619048</v>
      </c>
      <c r="L20" s="7" t="n">
        <f aca="false">IFERROR((C20+D20+F20)/$G20,0)</f>
        <v>20.042</v>
      </c>
      <c r="M20" s="8"/>
    </row>
    <row r="21" customFormat="false" ht="15" hidden="false" customHeight="false" outlineLevel="0" collapsed="false">
      <c r="A21" s="2" t="s">
        <v>54</v>
      </c>
      <c r="B21" s="2" t="s">
        <v>55</v>
      </c>
      <c r="C21" s="3" t="n">
        <f aca="false">'Sewer Monthly'!K21</f>
        <v>6547.5</v>
      </c>
      <c r="D21" s="3" t="n">
        <f aca="false">'WWTP Monthly'!K21</f>
        <v>0</v>
      </c>
      <c r="E21" s="4" t="n">
        <f aca="false">C21+D21</f>
        <v>6547.5</v>
      </c>
      <c r="F21" s="3" t="n">
        <f aca="false">'Trash Monthly'!K21</f>
        <v>44397.85</v>
      </c>
      <c r="G21" s="2" t="n">
        <f aca="false">'Occupied Lots'!K21</f>
        <v>799</v>
      </c>
      <c r="H21" s="5" t="n">
        <f aca="false">IFERROR(G21/8,0)</f>
        <v>99.875</v>
      </c>
      <c r="I21" s="6" t="n">
        <f aca="false">IFERROR(C21/$G21,0)</f>
        <v>8.19461827284105</v>
      </c>
      <c r="J21" s="6" t="n">
        <f aca="false">IFERROR(D21/$G21,0)</f>
        <v>0</v>
      </c>
      <c r="K21" s="6" t="n">
        <f aca="false">IFERROR(F21/$G21,0)</f>
        <v>55.5667709637046</v>
      </c>
      <c r="L21" s="7" t="n">
        <f aca="false">IFERROR((C21+D21+F21)/$G21,0)</f>
        <v>63.7613892365457</v>
      </c>
      <c r="M21" s="8"/>
    </row>
    <row r="22" customFormat="false" ht="15" hidden="false" customHeight="false" outlineLevel="0" collapsed="false">
      <c r="A22" s="2" t="s">
        <v>56</v>
      </c>
      <c r="B22" s="2" t="s">
        <v>57</v>
      </c>
      <c r="C22" s="3" t="n">
        <f aca="false">'Sewer Monthly'!K22</f>
        <v>0</v>
      </c>
      <c r="D22" s="3" t="n">
        <f aca="false">'WWTP Monthly'!K22</f>
        <v>1147.5</v>
      </c>
      <c r="E22" s="4" t="n">
        <f aca="false">C22+D22</f>
        <v>1147.5</v>
      </c>
      <c r="F22" s="3" t="n">
        <f aca="false">'Trash Monthly'!K22</f>
        <v>7776.65</v>
      </c>
      <c r="G22" s="2" t="n">
        <f aca="false">'Occupied Lots'!K22</f>
        <v>346</v>
      </c>
      <c r="H22" s="5" t="n">
        <f aca="false">IFERROR(G22/8,0)</f>
        <v>43.25</v>
      </c>
      <c r="I22" s="6" t="n">
        <f aca="false">IFERROR(C22/$G22,0)</f>
        <v>0</v>
      </c>
      <c r="J22" s="6" t="n">
        <f aca="false">IFERROR(D22/$G22,0)</f>
        <v>3.31647398843931</v>
      </c>
      <c r="K22" s="6" t="n">
        <f aca="false">IFERROR(F22/$G22,0)</f>
        <v>22.4758670520231</v>
      </c>
      <c r="L22" s="7" t="n">
        <f aca="false">IFERROR((C22+D22+F22)/$G22,0)</f>
        <v>25.7923410404624</v>
      </c>
      <c r="M22" s="8" t="s">
        <v>18</v>
      </c>
    </row>
    <row r="23" customFormat="false" ht="15" hidden="false" customHeight="false" outlineLevel="0" collapsed="false">
      <c r="A23" s="2" t="s">
        <v>58</v>
      </c>
      <c r="B23" s="2" t="s">
        <v>59</v>
      </c>
      <c r="C23" s="3" t="n">
        <f aca="false">'Sewer Monthly'!K23</f>
        <v>10514.21</v>
      </c>
      <c r="D23" s="3" t="n">
        <f aca="false">'WWTP Monthly'!K23</f>
        <v>0</v>
      </c>
      <c r="E23" s="4" t="n">
        <f aca="false">C23+D23</f>
        <v>10514.21</v>
      </c>
      <c r="F23" s="3" t="n">
        <f aca="false">'Trash Monthly'!K23</f>
        <v>7427.66</v>
      </c>
      <c r="G23" s="2" t="n">
        <f aca="false">'Occupied Lots'!K23</f>
        <v>198</v>
      </c>
      <c r="H23" s="5" t="n">
        <f aca="false">IFERROR(G23/8,0)</f>
        <v>24.75</v>
      </c>
      <c r="I23" s="6" t="n">
        <f aca="false">IFERROR(C23/$G23,0)</f>
        <v>53.1020707070707</v>
      </c>
      <c r="J23" s="6" t="n">
        <f aca="false">IFERROR(D23/$G23,0)</f>
        <v>0</v>
      </c>
      <c r="K23" s="6" t="n">
        <f aca="false">IFERROR(F23/$G23,0)</f>
        <v>37.5134343434344</v>
      </c>
      <c r="L23" s="7" t="n">
        <f aca="false">IFERROR((C23+D23+F23)/$G23,0)</f>
        <v>90.6155050505051</v>
      </c>
      <c r="M23" s="8"/>
    </row>
    <row r="24" customFormat="false" ht="15" hidden="false" customHeight="false" outlineLevel="0" collapsed="false">
      <c r="A24" s="2" t="s">
        <v>60</v>
      </c>
      <c r="B24" s="2" t="s">
        <v>61</v>
      </c>
      <c r="C24" s="3" t="n">
        <f aca="false">'Sewer Monthly'!K24</f>
        <v>17140.99</v>
      </c>
      <c r="D24" s="3" t="n">
        <f aca="false">'WWTP Monthly'!K24</f>
        <v>0</v>
      </c>
      <c r="E24" s="4" t="n">
        <f aca="false">C24+D24</f>
        <v>17140.99</v>
      </c>
      <c r="F24" s="3" t="n">
        <f aca="false">'Trash Monthly'!K24</f>
        <v>6748.42</v>
      </c>
      <c r="G24" s="2" t="n">
        <f aca="false">'Occupied Lots'!K24</f>
        <v>280</v>
      </c>
      <c r="H24" s="5" t="n">
        <f aca="false">IFERROR(G24/8,0)</f>
        <v>35</v>
      </c>
      <c r="I24" s="6" t="n">
        <f aca="false">IFERROR(C24/$G24,0)</f>
        <v>61.2178214285714</v>
      </c>
      <c r="J24" s="6" t="n">
        <f aca="false">IFERROR(D24/$G24,0)</f>
        <v>0</v>
      </c>
      <c r="K24" s="6" t="n">
        <f aca="false">IFERROR(F24/$G24,0)</f>
        <v>24.1015</v>
      </c>
      <c r="L24" s="7" t="n">
        <f aca="false">IFERROR((C24+D24+F24)/$G24,0)</f>
        <v>85.3193214285714</v>
      </c>
      <c r="M24" s="8"/>
    </row>
    <row r="25" customFormat="false" ht="15" hidden="false" customHeight="false" outlineLevel="0" collapsed="false">
      <c r="A25" s="2" t="s">
        <v>62</v>
      </c>
      <c r="B25" s="2" t="s">
        <v>63</v>
      </c>
      <c r="C25" s="3" t="n">
        <f aca="false">'Sewer Monthly'!K25</f>
        <v>0</v>
      </c>
      <c r="D25" s="3" t="n">
        <f aca="false">'WWTP Monthly'!K25</f>
        <v>0</v>
      </c>
      <c r="E25" s="4" t="n">
        <f aca="false">C25+D25</f>
        <v>0</v>
      </c>
      <c r="F25" s="3" t="n">
        <f aca="false">'Trash Monthly'!K25</f>
        <v>14726.38</v>
      </c>
      <c r="G25" s="2" t="n">
        <f aca="false">'Occupied Lots'!K25</f>
        <v>728</v>
      </c>
      <c r="H25" s="5" t="n">
        <f aca="false">IFERROR(G25/8,0)</f>
        <v>91</v>
      </c>
      <c r="I25" s="6" t="n">
        <f aca="false">IFERROR(C25/$G25,0)</f>
        <v>0</v>
      </c>
      <c r="J25" s="6" t="n">
        <f aca="false">IFERROR(D25/$G25,0)</f>
        <v>0</v>
      </c>
      <c r="K25" s="6" t="n">
        <f aca="false">IFERROR(F25/$G25,0)</f>
        <v>20.228543956044</v>
      </c>
      <c r="L25" s="7" t="n">
        <f aca="false">IFERROR((C25+D25+F25)/$G25,0)</f>
        <v>20.228543956044</v>
      </c>
      <c r="M25" s="8" t="s">
        <v>15</v>
      </c>
    </row>
    <row r="26" customFormat="false" ht="15" hidden="false" customHeight="false" outlineLevel="0" collapsed="false">
      <c r="A26" s="2" t="s">
        <v>64</v>
      </c>
      <c r="B26" s="2" t="s">
        <v>65</v>
      </c>
      <c r="C26" s="3" t="n">
        <f aca="false">'Sewer Monthly'!K26</f>
        <v>0</v>
      </c>
      <c r="D26" s="3" t="n">
        <f aca="false">'WWTP Monthly'!K26</f>
        <v>0</v>
      </c>
      <c r="E26" s="4" t="n">
        <f aca="false">C26+D26</f>
        <v>0</v>
      </c>
      <c r="F26" s="3" t="n">
        <f aca="false">'Trash Monthly'!K26</f>
        <v>22257.65</v>
      </c>
      <c r="G26" s="2" t="n">
        <f aca="false">'Occupied Lots'!K26</f>
        <v>392</v>
      </c>
      <c r="H26" s="5" t="n">
        <f aca="false">IFERROR(G26/8,0)</f>
        <v>49</v>
      </c>
      <c r="I26" s="6" t="n">
        <f aca="false">IFERROR(C26/$G26,0)</f>
        <v>0</v>
      </c>
      <c r="J26" s="6" t="n">
        <f aca="false">IFERROR(D26/$G26,0)</f>
        <v>0</v>
      </c>
      <c r="K26" s="6" t="n">
        <f aca="false">IFERROR(F26/$G26,0)</f>
        <v>56.7797193877551</v>
      </c>
      <c r="L26" s="7" t="n">
        <f aca="false">IFERROR((C26+D26+F26)/$G26,0)</f>
        <v>56.7797193877551</v>
      </c>
      <c r="M26" s="8" t="s">
        <v>15</v>
      </c>
    </row>
    <row r="27" customFormat="false" ht="15" hidden="false" customHeight="false" outlineLevel="0" collapsed="false">
      <c r="A27" s="2" t="s">
        <v>66</v>
      </c>
      <c r="B27" s="2" t="s">
        <v>67</v>
      </c>
      <c r="C27" s="3" t="n">
        <f aca="false">'Sewer Monthly'!K27</f>
        <v>0</v>
      </c>
      <c r="D27" s="3" t="n">
        <f aca="false">'WWTP Monthly'!K27</f>
        <v>0</v>
      </c>
      <c r="E27" s="4" t="n">
        <f aca="false">C27+D27</f>
        <v>0</v>
      </c>
      <c r="F27" s="3" t="n">
        <f aca="false">'Trash Monthly'!K27</f>
        <v>10005.83</v>
      </c>
      <c r="G27" s="2" t="n">
        <f aca="false">'Occupied Lots'!K27</f>
        <v>1013</v>
      </c>
      <c r="H27" s="5" t="n">
        <f aca="false">IFERROR(G27/5,0)</f>
        <v>202.6</v>
      </c>
      <c r="I27" s="6" t="n">
        <f aca="false">IFERROR(C27/$G27,0)</f>
        <v>0</v>
      </c>
      <c r="J27" s="6" t="n">
        <f aca="false">IFERROR(D27/$G27,0)</f>
        <v>0</v>
      </c>
      <c r="K27" s="6" t="n">
        <f aca="false">IFERROR(F27/$G27,0)</f>
        <v>9.87742349457058</v>
      </c>
      <c r="L27" s="7" t="n">
        <f aca="false">IFERROR((C27+D27+F27)/$G27,0)</f>
        <v>9.87742349457058</v>
      </c>
      <c r="M27" s="8" t="s">
        <v>68</v>
      </c>
    </row>
    <row r="28" customFormat="false" ht="15" hidden="false" customHeight="false" outlineLevel="0" collapsed="false">
      <c r="A28" s="2" t="s">
        <v>69</v>
      </c>
      <c r="B28" s="2" t="s">
        <v>70</v>
      </c>
      <c r="C28" s="3" t="n">
        <f aca="false">'Sewer Monthly'!K28</f>
        <v>13829.48</v>
      </c>
      <c r="D28" s="3" t="n">
        <f aca="false">'WWTP Monthly'!K28</f>
        <v>0</v>
      </c>
      <c r="E28" s="4" t="n">
        <f aca="false">C28+D28</f>
        <v>13829.48</v>
      </c>
      <c r="F28" s="3" t="n">
        <f aca="false">'Trash Monthly'!K28</f>
        <v>17988.26</v>
      </c>
      <c r="G28" s="2" t="n">
        <f aca="false">'Occupied Lots'!K28</f>
        <v>528</v>
      </c>
      <c r="H28" s="5" t="n">
        <f aca="false">IFERROR(G28/8,0)</f>
        <v>66</v>
      </c>
      <c r="I28" s="6" t="n">
        <f aca="false">IFERROR(C28/$G28,0)</f>
        <v>26.192196969697</v>
      </c>
      <c r="J28" s="6" t="n">
        <f aca="false">IFERROR(D28/$G28,0)</f>
        <v>0</v>
      </c>
      <c r="K28" s="6" t="n">
        <f aca="false">IFERROR(F28/$G28,0)</f>
        <v>34.0686742424242</v>
      </c>
      <c r="L28" s="7" t="n">
        <f aca="false">IFERROR((C28+D28+F28)/$G28,0)</f>
        <v>60.2608712121212</v>
      </c>
      <c r="M28" s="8"/>
    </row>
    <row r="29" customFormat="false" ht="15" hidden="false" customHeight="false" outlineLevel="0" collapsed="false">
      <c r="A29" s="2" t="s">
        <v>71</v>
      </c>
      <c r="B29" s="2" t="s">
        <v>72</v>
      </c>
      <c r="C29" s="3" t="n">
        <f aca="false">'Sewer Monthly'!K29</f>
        <v>25156.19</v>
      </c>
      <c r="D29" s="3" t="n">
        <f aca="false">'WWTP Monthly'!K29</f>
        <v>0</v>
      </c>
      <c r="E29" s="4" t="n">
        <f aca="false">C29+D29</f>
        <v>25156.19</v>
      </c>
      <c r="F29" s="3" t="n">
        <f aca="false">'Trash Monthly'!K29</f>
        <v>11595.88</v>
      </c>
      <c r="G29" s="2" t="n">
        <f aca="false">'Occupied Lots'!K29</f>
        <v>472</v>
      </c>
      <c r="H29" s="5" t="n">
        <f aca="false">IFERROR(G29/8,0)</f>
        <v>59</v>
      </c>
      <c r="I29" s="6" t="n">
        <f aca="false">IFERROR(C29/$G29,0)</f>
        <v>53.2970127118644</v>
      </c>
      <c r="J29" s="6" t="n">
        <f aca="false">IFERROR(D29/$G29,0)</f>
        <v>0</v>
      </c>
      <c r="K29" s="6" t="n">
        <f aca="false">IFERROR(F29/$G29,0)</f>
        <v>24.5675423728814</v>
      </c>
      <c r="L29" s="7" t="n">
        <f aca="false">IFERROR((C29+D29+F29)/$G29,0)</f>
        <v>77.8645550847458</v>
      </c>
      <c r="M29" s="8"/>
    </row>
    <row r="30" customFormat="false" ht="15" hidden="false" customHeight="false" outlineLevel="0" collapsed="false">
      <c r="A30" s="2" t="s">
        <v>73</v>
      </c>
      <c r="B30" s="2" t="s">
        <v>74</v>
      </c>
      <c r="C30" s="3" t="n">
        <f aca="false">'Sewer Monthly'!K30</f>
        <v>0</v>
      </c>
      <c r="D30" s="3" t="n">
        <f aca="false">'WWTP Monthly'!K30</f>
        <v>2093.69</v>
      </c>
      <c r="E30" s="4" t="n">
        <f aca="false">C30+D30</f>
        <v>2093.69</v>
      </c>
      <c r="F30" s="3" t="n">
        <f aca="false">'Trash Monthly'!K30</f>
        <v>2447.73</v>
      </c>
      <c r="G30" s="2" t="n">
        <f aca="false">'Occupied Lots'!K30</f>
        <v>1496</v>
      </c>
      <c r="H30" s="5" t="n">
        <f aca="false">IFERROR(G30/8,0)</f>
        <v>187</v>
      </c>
      <c r="I30" s="6" t="n">
        <f aca="false">IFERROR(C30/$G30,0)</f>
        <v>0</v>
      </c>
      <c r="J30" s="6" t="n">
        <f aca="false">IFERROR(D30/$G30,0)</f>
        <v>1.39952540106952</v>
      </c>
      <c r="K30" s="6" t="n">
        <f aca="false">IFERROR(F30/$G30,0)</f>
        <v>1.63618315508021</v>
      </c>
      <c r="L30" s="7" t="n">
        <f aca="false">IFERROR((C30+D30+F30)/$G30,0)</f>
        <v>3.03570855614973</v>
      </c>
      <c r="M30" s="8" t="s">
        <v>18</v>
      </c>
    </row>
    <row r="31" customFormat="false" ht="15" hidden="false" customHeight="false" outlineLevel="0" collapsed="false">
      <c r="A31" s="2" t="s">
        <v>75</v>
      </c>
      <c r="B31" s="2" t="s">
        <v>76</v>
      </c>
      <c r="C31" s="3" t="n">
        <f aca="false">'Sewer Monthly'!K31</f>
        <v>0</v>
      </c>
      <c r="D31" s="3" t="n">
        <f aca="false">'WWTP Monthly'!K31</f>
        <v>18278</v>
      </c>
      <c r="E31" s="4" t="n">
        <f aca="false">C31+D31</f>
        <v>18278</v>
      </c>
      <c r="F31" s="3" t="n">
        <f aca="false">'Trash Monthly'!K31</f>
        <v>0</v>
      </c>
      <c r="G31" s="2" t="n">
        <f aca="false">'Occupied Lots'!K31</f>
        <v>560</v>
      </c>
      <c r="H31" s="5" t="n">
        <f aca="false">IFERROR(G31/8,0)</f>
        <v>70</v>
      </c>
      <c r="I31" s="6" t="n">
        <f aca="false">IFERROR(C31/$G31,0)</f>
        <v>0</v>
      </c>
      <c r="J31" s="6" t="n">
        <f aca="false">IFERROR(D31/$G31,0)</f>
        <v>32.6392857142857</v>
      </c>
      <c r="K31" s="6" t="n">
        <f aca="false">IFERROR(F31/$G31,0)</f>
        <v>0</v>
      </c>
      <c r="L31" s="7" t="n">
        <f aca="false">IFERROR((C31+D31+F31)/$G31,0)</f>
        <v>32.6392857142857</v>
      </c>
      <c r="M31" s="8" t="s">
        <v>77</v>
      </c>
    </row>
    <row r="32" customFormat="false" ht="15" hidden="false" customHeight="false" outlineLevel="0" collapsed="false">
      <c r="A32" s="2" t="s">
        <v>78</v>
      </c>
      <c r="B32" s="2" t="s">
        <v>79</v>
      </c>
      <c r="C32" s="3" t="n">
        <f aca="false">'Sewer Monthly'!K32</f>
        <v>33447.3</v>
      </c>
      <c r="D32" s="3" t="n">
        <f aca="false">'WWTP Monthly'!K32</f>
        <v>575</v>
      </c>
      <c r="E32" s="4" t="n">
        <f aca="false">C32+D32</f>
        <v>34022.3</v>
      </c>
      <c r="F32" s="3" t="n">
        <f aca="false">'Trash Monthly'!K32</f>
        <v>10851.3</v>
      </c>
      <c r="G32" s="2" t="n">
        <f aca="false">'Occupied Lots'!K32</f>
        <v>707</v>
      </c>
      <c r="H32" s="5" t="n">
        <f aca="false">IFERROR(G32/8,0)</f>
        <v>88.375</v>
      </c>
      <c r="I32" s="6" t="n">
        <f aca="false">IFERROR(C32/$G32,0)</f>
        <v>47.3087694483734</v>
      </c>
      <c r="J32" s="6" t="n">
        <f aca="false">IFERROR(D32/$G32,0)</f>
        <v>0.813295615275813</v>
      </c>
      <c r="K32" s="6" t="n">
        <f aca="false">IFERROR(F32/$G32,0)</f>
        <v>15.3483734087695</v>
      </c>
      <c r="L32" s="7" t="n">
        <f aca="false">IFERROR((C32+D32+F32)/$G32,0)</f>
        <v>63.4704384724187</v>
      </c>
      <c r="M32" s="8"/>
    </row>
    <row r="33" customFormat="false" ht="15" hidden="false" customHeight="false" outlineLevel="0" collapsed="false">
      <c r="A33" s="2" t="s">
        <v>80</v>
      </c>
      <c r="B33" s="2" t="s">
        <v>81</v>
      </c>
      <c r="C33" s="3" t="n">
        <f aca="false">'Sewer Monthly'!K33</f>
        <v>7446.7</v>
      </c>
      <c r="D33" s="3" t="n">
        <f aca="false">'WWTP Monthly'!K33</f>
        <v>0</v>
      </c>
      <c r="E33" s="4" t="n">
        <f aca="false">C33+D33</f>
        <v>7446.7</v>
      </c>
      <c r="F33" s="3" t="n">
        <f aca="false">'Trash Monthly'!K33</f>
        <v>0</v>
      </c>
      <c r="G33" s="2" t="n">
        <f aca="false">'Occupied Lots'!K33</f>
        <v>363</v>
      </c>
      <c r="H33" s="5" t="n">
        <f aca="false">IFERROR(G33/8,0)</f>
        <v>45.375</v>
      </c>
      <c r="I33" s="6" t="n">
        <f aca="false">IFERROR(C33/$G33,0)</f>
        <v>20.5143250688705</v>
      </c>
      <c r="J33" s="6" t="n">
        <f aca="false">IFERROR(D33/$G33,0)</f>
        <v>0</v>
      </c>
      <c r="K33" s="6" t="n">
        <f aca="false">IFERROR(F33/$G33,0)</f>
        <v>0</v>
      </c>
      <c r="L33" s="7" t="n">
        <f aca="false">IFERROR((C33+D33+F33)/$G33,0)</f>
        <v>20.5143250688705</v>
      </c>
      <c r="M33" s="8" t="s">
        <v>82</v>
      </c>
    </row>
    <row r="34" customFormat="false" ht="15" hidden="false" customHeight="false" outlineLevel="0" collapsed="false">
      <c r="A34" s="2" t="s">
        <v>83</v>
      </c>
      <c r="B34" s="2" t="s">
        <v>84</v>
      </c>
      <c r="C34" s="3" t="n">
        <f aca="false">'Sewer Monthly'!K34</f>
        <v>13990.28</v>
      </c>
      <c r="D34" s="3" t="n">
        <f aca="false">'WWTP Monthly'!K34</f>
        <v>0</v>
      </c>
      <c r="E34" s="4" t="n">
        <f aca="false">C34+D34</f>
        <v>13990.28</v>
      </c>
      <c r="F34" s="3" t="n">
        <f aca="false">'Trash Monthly'!K34</f>
        <v>17468.17</v>
      </c>
      <c r="G34" s="2" t="n">
        <f aca="false">'Occupied Lots'!K34</f>
        <v>318</v>
      </c>
      <c r="H34" s="5" t="n">
        <f aca="false">IFERROR(G34/8,0)</f>
        <v>39.75</v>
      </c>
      <c r="I34" s="6" t="n">
        <f aca="false">IFERROR(C34/$G34,0)</f>
        <v>43.9945911949686</v>
      </c>
      <c r="J34" s="6" t="n">
        <f aca="false">IFERROR(D34/$G34,0)</f>
        <v>0</v>
      </c>
      <c r="K34" s="6" t="n">
        <f aca="false">IFERROR(F34/$G34,0)</f>
        <v>54.9313522012579</v>
      </c>
      <c r="L34" s="7" t="n">
        <f aca="false">IFERROR((C34+D34+F34)/$G34,0)</f>
        <v>98.9259433962264</v>
      </c>
      <c r="M34" s="8"/>
    </row>
    <row r="35" customFormat="false" ht="15" hidden="false" customHeight="false" outlineLevel="0" collapsed="false">
      <c r="A35" s="2" t="s">
        <v>85</v>
      </c>
      <c r="B35" s="2" t="s">
        <v>86</v>
      </c>
      <c r="C35" s="3" t="n">
        <f aca="false">'Sewer Monthly'!K35</f>
        <v>1814.62</v>
      </c>
      <c r="D35" s="3" t="n">
        <f aca="false">'WWTP Monthly'!K35</f>
        <v>0</v>
      </c>
      <c r="E35" s="4" t="n">
        <f aca="false">C35+D35</f>
        <v>1814.62</v>
      </c>
      <c r="F35" s="3" t="n">
        <f aca="false">'Trash Monthly'!K35</f>
        <v>6990.74</v>
      </c>
      <c r="G35" s="2" t="n">
        <f aca="false">'Occupied Lots'!K35</f>
        <v>290</v>
      </c>
      <c r="H35" s="5" t="n">
        <f aca="false">IFERROR(G35/8,0)</f>
        <v>36.25</v>
      </c>
      <c r="I35" s="6" t="n">
        <f aca="false">IFERROR(C35/$G35,0)</f>
        <v>6.25731034482759</v>
      </c>
      <c r="J35" s="6" t="n">
        <f aca="false">IFERROR(D35/$G35,0)</f>
        <v>0</v>
      </c>
      <c r="K35" s="6" t="n">
        <f aca="false">IFERROR(F35/$G35,0)</f>
        <v>24.106</v>
      </c>
      <c r="L35" s="7" t="n">
        <f aca="false">IFERROR((C35+D35+F35)/$G35,0)</f>
        <v>30.3633103448276</v>
      </c>
      <c r="M35" s="8"/>
    </row>
    <row r="36" customFormat="false" ht="15" hidden="false" customHeight="false" outlineLevel="0" collapsed="false">
      <c r="A36" s="2" t="s">
        <v>87</v>
      </c>
      <c r="B36" s="2" t="s">
        <v>88</v>
      </c>
      <c r="C36" s="3" t="n">
        <f aca="false">'Sewer Monthly'!K36</f>
        <v>17525.98</v>
      </c>
      <c r="D36" s="3" t="n">
        <f aca="false">'WWTP Monthly'!K36</f>
        <v>209.21</v>
      </c>
      <c r="E36" s="4" t="n">
        <f aca="false">C36+D36</f>
        <v>17735.19</v>
      </c>
      <c r="F36" s="3" t="n">
        <f aca="false">'Trash Monthly'!K36</f>
        <v>10992.48</v>
      </c>
      <c r="G36" s="2" t="n">
        <f aca="false">'Occupied Lots'!K36</f>
        <v>265</v>
      </c>
      <c r="H36" s="5" t="n">
        <f aca="false">IFERROR(G36/8,0)</f>
        <v>33.125</v>
      </c>
      <c r="I36" s="6" t="n">
        <f aca="false">IFERROR(C36/$G36,0)</f>
        <v>66.1357735849057</v>
      </c>
      <c r="J36" s="6" t="n">
        <f aca="false">IFERROR(D36/$G36,0)</f>
        <v>0.789471698113208</v>
      </c>
      <c r="K36" s="6" t="n">
        <f aca="false">IFERROR(F36/$G36,0)</f>
        <v>41.4810566037736</v>
      </c>
      <c r="L36" s="7" t="n">
        <f aca="false">IFERROR((C36+D36+F36)/$G36,0)</f>
        <v>108.406301886792</v>
      </c>
      <c r="M36" s="8"/>
    </row>
    <row r="37" customFormat="false" ht="15" hidden="false" customHeight="false" outlineLevel="0" collapsed="false">
      <c r="A37" s="2" t="s">
        <v>89</v>
      </c>
      <c r="B37" s="2" t="s">
        <v>90</v>
      </c>
      <c r="C37" s="3" t="n">
        <f aca="false">'Sewer Monthly'!K37</f>
        <v>0</v>
      </c>
      <c r="D37" s="3" t="n">
        <f aca="false">'WWTP Monthly'!K37</f>
        <v>23257.11</v>
      </c>
      <c r="E37" s="4" t="n">
        <f aca="false">C37+D37</f>
        <v>23257.11</v>
      </c>
      <c r="F37" s="3" t="n">
        <f aca="false">'Trash Monthly'!K37</f>
        <v>8305.3</v>
      </c>
      <c r="G37" s="2" t="n">
        <f aca="false">'Occupied Lots'!K37</f>
        <v>1255</v>
      </c>
      <c r="H37" s="5" t="n">
        <f aca="false">IFERROR(G37/8,0)</f>
        <v>156.875</v>
      </c>
      <c r="I37" s="6" t="n">
        <f aca="false">IFERROR(C37/$G37,0)</f>
        <v>0</v>
      </c>
      <c r="J37" s="6" t="n">
        <f aca="false">IFERROR(D37/$G37,0)</f>
        <v>18.531561752988</v>
      </c>
      <c r="K37" s="6" t="n">
        <f aca="false">IFERROR(F37/$G37,0)</f>
        <v>6.61776892430279</v>
      </c>
      <c r="L37" s="7" t="n">
        <f aca="false">IFERROR((C37+D37+F37)/$G37,0)</f>
        <v>25.1493306772908</v>
      </c>
      <c r="M37" s="8" t="s">
        <v>18</v>
      </c>
    </row>
    <row r="38" customFormat="false" ht="15" hidden="false" customHeight="false" outlineLevel="0" collapsed="false">
      <c r="A38" s="2" t="s">
        <v>91</v>
      </c>
      <c r="B38" s="2" t="s">
        <v>92</v>
      </c>
      <c r="C38" s="3" t="n">
        <f aca="false">'Sewer Monthly'!K38</f>
        <v>0</v>
      </c>
      <c r="D38" s="3" t="n">
        <f aca="false">'WWTP Monthly'!K38</f>
        <v>0</v>
      </c>
      <c r="E38" s="4" t="n">
        <f aca="false">C38+D38</f>
        <v>0</v>
      </c>
      <c r="F38" s="3" t="n">
        <f aca="false">'Trash Monthly'!K38</f>
        <v>5092.77</v>
      </c>
      <c r="G38" s="2" t="n">
        <f aca="false">'Occupied Lots'!K38</f>
        <v>315</v>
      </c>
      <c r="H38" s="5" t="n">
        <f aca="false">IFERROR(G38/8,0)</f>
        <v>39.375</v>
      </c>
      <c r="I38" s="6" t="n">
        <f aca="false">IFERROR(C38/$G38,0)</f>
        <v>0</v>
      </c>
      <c r="J38" s="6" t="n">
        <f aca="false">IFERROR(D38/$G38,0)</f>
        <v>0</v>
      </c>
      <c r="K38" s="6" t="n">
        <f aca="false">IFERROR(F38/$G38,0)</f>
        <v>16.1675238095238</v>
      </c>
      <c r="L38" s="7" t="n">
        <f aca="false">IFERROR((C38+D38+F38)/$G38,0)</f>
        <v>16.1675238095238</v>
      </c>
      <c r="M38" s="8" t="s">
        <v>15</v>
      </c>
    </row>
    <row r="39" customFormat="false" ht="15" hidden="false" customHeight="false" outlineLevel="0" collapsed="false">
      <c r="A39" s="2" t="s">
        <v>93</v>
      </c>
      <c r="B39" s="2" t="s">
        <v>94</v>
      </c>
      <c r="C39" s="3" t="n">
        <f aca="false">'Sewer Monthly'!K39</f>
        <v>40447.8</v>
      </c>
      <c r="D39" s="3" t="n">
        <f aca="false">'WWTP Monthly'!K39</f>
        <v>511.29</v>
      </c>
      <c r="E39" s="4" t="n">
        <f aca="false">C39+D39</f>
        <v>40959.09</v>
      </c>
      <c r="F39" s="3" t="n">
        <f aca="false">'Trash Monthly'!K39</f>
        <v>23688.9</v>
      </c>
      <c r="G39" s="2" t="n">
        <f aca="false">'Occupied Lots'!K39</f>
        <v>508</v>
      </c>
      <c r="H39" s="5" t="n">
        <f aca="false">IFERROR(G39/8,0)</f>
        <v>63.5</v>
      </c>
      <c r="I39" s="6" t="n">
        <f aca="false">IFERROR(C39/$G39,0)</f>
        <v>79.6216535433071</v>
      </c>
      <c r="J39" s="6" t="n">
        <f aca="false">IFERROR(D39/$G39,0)</f>
        <v>1.00647637795276</v>
      </c>
      <c r="K39" s="6" t="n">
        <f aca="false">IFERROR(F39/$G39,0)</f>
        <v>46.6316929133858</v>
      </c>
      <c r="L39" s="7" t="n">
        <f aca="false">IFERROR((C39+D39+F39)/$G39,0)</f>
        <v>127.259822834646</v>
      </c>
      <c r="M39" s="8"/>
    </row>
    <row r="40" customFormat="false" ht="15" hidden="false" customHeight="false" outlineLevel="0" collapsed="false">
      <c r="A40" s="2" t="s">
        <v>95</v>
      </c>
      <c r="B40" s="2" t="s">
        <v>96</v>
      </c>
      <c r="C40" s="3" t="n">
        <f aca="false">'Sewer Monthly'!K40</f>
        <v>1050</v>
      </c>
      <c r="D40" s="3" t="n">
        <f aca="false">'WWTP Monthly'!K40</f>
        <v>14819.38</v>
      </c>
      <c r="E40" s="4" t="n">
        <f aca="false">C40+D40</f>
        <v>15869.38</v>
      </c>
      <c r="F40" s="3" t="n">
        <f aca="false">'Trash Monthly'!K40</f>
        <v>17858.28</v>
      </c>
      <c r="G40" s="2" t="n">
        <f aca="false">'Occupied Lots'!K40</f>
        <v>648</v>
      </c>
      <c r="H40" s="5" t="n">
        <f aca="false">IFERROR(G40/8,0)</f>
        <v>81</v>
      </c>
      <c r="I40" s="6" t="n">
        <f aca="false">IFERROR(C40/$G40,0)</f>
        <v>1.62037037037037</v>
      </c>
      <c r="J40" s="6" t="n">
        <f aca="false">IFERROR(D40/$G40,0)</f>
        <v>22.8694135802469</v>
      </c>
      <c r="K40" s="6" t="n">
        <f aca="false">IFERROR(F40/$G40,0)</f>
        <v>27.5590740740741</v>
      </c>
      <c r="L40" s="7" t="n">
        <f aca="false">IFERROR((C40+D40+F40)/$G40,0)</f>
        <v>52.0488580246914</v>
      </c>
      <c r="M40" s="8"/>
    </row>
    <row r="41" customFormat="false" ht="15" hidden="false" customHeight="false" outlineLevel="0" collapsed="false">
      <c r="A41" s="2" t="s">
        <v>97</v>
      </c>
      <c r="B41" s="2" t="s">
        <v>98</v>
      </c>
      <c r="C41" s="3" t="n">
        <f aca="false">'Sewer Monthly'!K41</f>
        <v>-165</v>
      </c>
      <c r="D41" s="3" t="n">
        <f aca="false">'WWTP Monthly'!K41</f>
        <v>0</v>
      </c>
      <c r="E41" s="4" t="n">
        <f aca="false">C41+D41</f>
        <v>-165</v>
      </c>
      <c r="F41" s="3" t="n">
        <f aca="false">'Trash Monthly'!K41</f>
        <v>48796.23</v>
      </c>
      <c r="G41" s="2" t="n">
        <f aca="false">'Occupied Lots'!K41</f>
        <v>2360</v>
      </c>
      <c r="H41" s="5" t="n">
        <f aca="false">IFERROR(G41/6,0)</f>
        <v>393.333333333333</v>
      </c>
      <c r="I41" s="6" t="n">
        <f aca="false">IFERROR(C41/$G41,0)</f>
        <v>-0.0699152542372881</v>
      </c>
      <c r="J41" s="6" t="n">
        <f aca="false">IFERROR(D41/$G41,0)</f>
        <v>0</v>
      </c>
      <c r="K41" s="6" t="n">
        <f aca="false">IFERROR(F41/$G41,0)</f>
        <v>20.6763686440678</v>
      </c>
      <c r="L41" s="7" t="n">
        <f aca="false">IFERROR((C41+D41+F41)/$G41,0)</f>
        <v>20.6064533898305</v>
      </c>
      <c r="M41" s="8" t="s">
        <v>99</v>
      </c>
    </row>
    <row r="42" customFormat="false" ht="15" hidden="false" customHeight="false" outlineLevel="0" collapsed="false">
      <c r="A42" s="2" t="s">
        <v>100</v>
      </c>
      <c r="B42" s="2" t="s">
        <v>101</v>
      </c>
      <c r="C42" s="3" t="n">
        <f aca="false">'Sewer Monthly'!K42</f>
        <v>0</v>
      </c>
      <c r="D42" s="3" t="n">
        <f aca="false">'WWTP Monthly'!K42</f>
        <v>1950</v>
      </c>
      <c r="E42" s="4" t="n">
        <f aca="false">C42+D42</f>
        <v>1950</v>
      </c>
      <c r="F42" s="3" t="n">
        <f aca="false">'Trash Monthly'!K42</f>
        <v>14885.1</v>
      </c>
      <c r="G42" s="2" t="n">
        <f aca="false">'Occupied Lots'!K42</f>
        <v>350</v>
      </c>
      <c r="H42" s="5" t="n">
        <f aca="false">IFERROR(G42/8,0)</f>
        <v>43.75</v>
      </c>
      <c r="I42" s="6" t="n">
        <f aca="false">IFERROR(C42/$G42,0)</f>
        <v>0</v>
      </c>
      <c r="J42" s="6" t="n">
        <f aca="false">IFERROR(D42/$G42,0)</f>
        <v>5.57142857142857</v>
      </c>
      <c r="K42" s="6" t="n">
        <f aca="false">IFERROR(F42/$G42,0)</f>
        <v>42.5288571428571</v>
      </c>
      <c r="L42" s="7" t="n">
        <f aca="false">IFERROR((C42+D42+F42)/$G42,0)</f>
        <v>48.1002857142857</v>
      </c>
      <c r="M42" s="8" t="s">
        <v>18</v>
      </c>
    </row>
    <row r="43" customFormat="false" ht="15" hidden="false" customHeight="false" outlineLevel="0" collapsed="false">
      <c r="A43" s="2" t="s">
        <v>102</v>
      </c>
      <c r="B43" s="2" t="s">
        <v>103</v>
      </c>
      <c r="C43" s="3" t="n">
        <f aca="false">'Sewer Monthly'!K43</f>
        <v>92824.96</v>
      </c>
      <c r="D43" s="3" t="n">
        <f aca="false">'WWTP Monthly'!K43</f>
        <v>4485</v>
      </c>
      <c r="E43" s="4" t="n">
        <f aca="false">C43+D43</f>
        <v>97309.96</v>
      </c>
      <c r="F43" s="3" t="n">
        <f aca="false">'Trash Monthly'!K43</f>
        <v>35037.53</v>
      </c>
      <c r="G43" s="2" t="n">
        <f aca="false">'Occupied Lots'!K43</f>
        <v>1354</v>
      </c>
      <c r="H43" s="5" t="n">
        <f aca="false">IFERROR(G43/8,0)</f>
        <v>169.25</v>
      </c>
      <c r="I43" s="6" t="n">
        <f aca="false">IFERROR(C43/$G43,0)</f>
        <v>68.5561004431315</v>
      </c>
      <c r="J43" s="6" t="n">
        <f aca="false">IFERROR(D43/$G43,0)</f>
        <v>3.31240768094535</v>
      </c>
      <c r="K43" s="6" t="n">
        <f aca="false">IFERROR(F43/$G43,0)</f>
        <v>25.8770531757755</v>
      </c>
      <c r="L43" s="7" t="n">
        <f aca="false">IFERROR((C43+D43+F43)/$G43,0)</f>
        <v>97.7455612998523</v>
      </c>
      <c r="M43" s="8"/>
    </row>
    <row r="44" customFormat="false" ht="15" hidden="false" customHeight="false" outlineLevel="0" collapsed="false">
      <c r="A44" s="2" t="s">
        <v>104</v>
      </c>
      <c r="B44" s="2" t="s">
        <v>105</v>
      </c>
      <c r="C44" s="3" t="n">
        <f aca="false">'Sewer Monthly'!K44</f>
        <v>3690.21</v>
      </c>
      <c r="D44" s="3" t="n">
        <f aca="false">'WWTP Monthly'!K44</f>
        <v>0</v>
      </c>
      <c r="E44" s="4" t="n">
        <f aca="false">C44+D44</f>
        <v>3690.21</v>
      </c>
      <c r="F44" s="3" t="n">
        <f aca="false">'Trash Monthly'!K44</f>
        <v>78571.02</v>
      </c>
      <c r="G44" s="2" t="n">
        <f aca="false">'Occupied Lots'!K44</f>
        <v>1304</v>
      </c>
      <c r="H44" s="5" t="n">
        <f aca="false">IFERROR(G44/8,0)</f>
        <v>163</v>
      </c>
      <c r="I44" s="6" t="n">
        <f aca="false">IFERROR(C44/$G44,0)</f>
        <v>2.82991564417178</v>
      </c>
      <c r="J44" s="6" t="n">
        <f aca="false">IFERROR(D44/$G44,0)</f>
        <v>0</v>
      </c>
      <c r="K44" s="6" t="n">
        <f aca="false">IFERROR(F44/$G44,0)</f>
        <v>60.2538496932515</v>
      </c>
      <c r="L44" s="7" t="n">
        <f aca="false">IFERROR((C44+D44+F44)/$G44,0)</f>
        <v>63.0837653374233</v>
      </c>
      <c r="M44" s="8"/>
    </row>
    <row r="45" customFormat="false" ht="15" hidden="false" customHeight="false" outlineLevel="0" collapsed="false">
      <c r="A45" s="2" t="s">
        <v>106</v>
      </c>
      <c r="B45" s="2" t="s">
        <v>107</v>
      </c>
      <c r="C45" s="3" t="n">
        <f aca="false">'Sewer Monthly'!K45</f>
        <v>0</v>
      </c>
      <c r="D45" s="3" t="n">
        <f aca="false">'WWTP Monthly'!K45</f>
        <v>25193.34</v>
      </c>
      <c r="E45" s="4" t="n">
        <f aca="false">C45+D45</f>
        <v>25193.34</v>
      </c>
      <c r="F45" s="3" t="n">
        <f aca="false">'Trash Monthly'!K45</f>
        <v>825</v>
      </c>
      <c r="G45" s="2" t="n">
        <f aca="false">'Occupied Lots'!K45</f>
        <v>242</v>
      </c>
      <c r="H45" s="5" t="n">
        <f aca="false">IFERROR(G45/8,0)</f>
        <v>30.25</v>
      </c>
      <c r="I45" s="6" t="n">
        <f aca="false">IFERROR(C45/$G45,0)</f>
        <v>0</v>
      </c>
      <c r="J45" s="6" t="n">
        <f aca="false">IFERROR(D45/$G45,0)</f>
        <v>104.104710743802</v>
      </c>
      <c r="K45" s="6" t="n">
        <f aca="false">IFERROR(F45/$G45,0)</f>
        <v>3.40909090909091</v>
      </c>
      <c r="L45" s="7" t="n">
        <f aca="false">IFERROR((C45+D45+F45)/$G45,0)</f>
        <v>107.513801652893</v>
      </c>
      <c r="M45" s="8" t="s">
        <v>18</v>
      </c>
    </row>
    <row r="46" customFormat="false" ht="15" hidden="false" customHeight="false" outlineLevel="0" collapsed="false">
      <c r="A46" s="2" t="s">
        <v>108</v>
      </c>
      <c r="B46" s="2" t="s">
        <v>109</v>
      </c>
      <c r="C46" s="3" t="n">
        <f aca="false">'Sewer Monthly'!K46</f>
        <v>42271.84</v>
      </c>
      <c r="D46" s="3" t="n">
        <f aca="false">'WWTP Monthly'!K46</f>
        <v>0</v>
      </c>
      <c r="E46" s="4" t="n">
        <f aca="false">C46+D46</f>
        <v>42271.84</v>
      </c>
      <c r="F46" s="3" t="n">
        <f aca="false">'Trash Monthly'!K46</f>
        <v>14954.82</v>
      </c>
      <c r="G46" s="2" t="n">
        <f aca="false">'Occupied Lots'!K46</f>
        <v>723</v>
      </c>
      <c r="H46" s="5" t="n">
        <f aca="false">IFERROR(G46/8,0)</f>
        <v>90.375</v>
      </c>
      <c r="I46" s="6" t="n">
        <f aca="false">IFERROR(C46/$G46,0)</f>
        <v>58.467275242047</v>
      </c>
      <c r="J46" s="6" t="n">
        <f aca="false">IFERROR(D46/$G46,0)</f>
        <v>0</v>
      </c>
      <c r="K46" s="6" t="n">
        <f aca="false">IFERROR(F46/$G46,0)</f>
        <v>20.684398340249</v>
      </c>
      <c r="L46" s="7" t="n">
        <f aca="false">IFERROR((C46+D46+F46)/$G46,0)</f>
        <v>79.151673582296</v>
      </c>
      <c r="M46" s="8"/>
    </row>
    <row r="47" customFormat="false" ht="15" hidden="false" customHeight="false" outlineLevel="0" collapsed="false">
      <c r="A47" s="2" t="s">
        <v>110</v>
      </c>
      <c r="B47" s="2" t="s">
        <v>111</v>
      </c>
      <c r="C47" s="3" t="n">
        <f aca="false">'Sewer Monthly'!K47</f>
        <v>0</v>
      </c>
      <c r="D47" s="3" t="n">
        <f aca="false">'WWTP Monthly'!K47</f>
        <v>15900.07</v>
      </c>
      <c r="E47" s="4" t="n">
        <f aca="false">C47+D47</f>
        <v>15900.07</v>
      </c>
      <c r="F47" s="3" t="n">
        <f aca="false">'Trash Monthly'!K47</f>
        <v>942.09</v>
      </c>
      <c r="G47" s="2" t="n">
        <f aca="false">'Occupied Lots'!K47</f>
        <v>1285</v>
      </c>
      <c r="H47" s="5" t="n">
        <f aca="false">IFERROR(G47/8,0)</f>
        <v>160.625</v>
      </c>
      <c r="I47" s="6" t="n">
        <f aca="false">IFERROR(C47/$G47,0)</f>
        <v>0</v>
      </c>
      <c r="J47" s="6" t="n">
        <f aca="false">IFERROR(D47/$G47,0)</f>
        <v>12.3735953307393</v>
      </c>
      <c r="K47" s="6" t="n">
        <f aca="false">IFERROR(F47/$G47,0)</f>
        <v>0.733143968871595</v>
      </c>
      <c r="L47" s="7" t="n">
        <f aca="false">IFERROR((C47+D47+F47)/$G47,0)</f>
        <v>13.1067392996109</v>
      </c>
      <c r="M47" s="8" t="s">
        <v>18</v>
      </c>
    </row>
    <row r="48" customFormat="false" ht="15" hidden="false" customHeight="false" outlineLevel="0" collapsed="false">
      <c r="A48" s="2" t="s">
        <v>112</v>
      </c>
      <c r="B48" s="2" t="s">
        <v>113</v>
      </c>
      <c r="C48" s="3" t="n">
        <f aca="false">'Sewer Monthly'!K48</f>
        <v>2497.5</v>
      </c>
      <c r="D48" s="3" t="n">
        <f aca="false">'WWTP Monthly'!K48</f>
        <v>674.82</v>
      </c>
      <c r="E48" s="4" t="n">
        <f aca="false">C48+D48</f>
        <v>3172.32</v>
      </c>
      <c r="F48" s="3" t="n">
        <f aca="false">'Trash Monthly'!K48</f>
        <v>24400.49</v>
      </c>
      <c r="G48" s="2" t="n">
        <f aca="false">'Occupied Lots'!K48</f>
        <v>296</v>
      </c>
      <c r="H48" s="5" t="n">
        <f aca="false">IFERROR(G48/8,0)</f>
        <v>37</v>
      </c>
      <c r="I48" s="6" t="n">
        <f aca="false">IFERROR(C48/$G48,0)</f>
        <v>8.4375</v>
      </c>
      <c r="J48" s="6" t="n">
        <f aca="false">IFERROR(D48/$G48,0)</f>
        <v>2.2797972972973</v>
      </c>
      <c r="K48" s="6" t="n">
        <f aca="false">IFERROR(F48/$G48,0)</f>
        <v>82.4340878378378</v>
      </c>
      <c r="L48" s="7" t="n">
        <f aca="false">IFERROR((C48+D48+F48)/$G48,0)</f>
        <v>93.1513851351351</v>
      </c>
      <c r="M48" s="8"/>
    </row>
    <row r="49" customFormat="false" ht="15" hidden="false" customHeight="false" outlineLevel="0" collapsed="false">
      <c r="A49" s="2" t="s">
        <v>114</v>
      </c>
      <c r="B49" s="2" t="s">
        <v>115</v>
      </c>
      <c r="C49" s="3" t="n">
        <f aca="false">'Sewer Monthly'!K49</f>
        <v>8363.68</v>
      </c>
      <c r="D49" s="3" t="n">
        <f aca="false">'WWTP Monthly'!K49</f>
        <v>0</v>
      </c>
      <c r="E49" s="4" t="n">
        <f aca="false">C49+D49</f>
        <v>8363.68</v>
      </c>
      <c r="F49" s="3" t="n">
        <f aca="false">'Trash Monthly'!K49</f>
        <v>4359.54</v>
      </c>
      <c r="G49" s="2" t="n">
        <f aca="false">'Occupied Lots'!K49</f>
        <v>494</v>
      </c>
      <c r="H49" s="5" t="n">
        <f aca="false">IFERROR(G49/8,0)</f>
        <v>61.75</v>
      </c>
      <c r="I49" s="6" t="n">
        <f aca="false">IFERROR(C49/$G49,0)</f>
        <v>16.9305263157895</v>
      </c>
      <c r="J49" s="6" t="n">
        <f aca="false">IFERROR(D49/$G49,0)</f>
        <v>0</v>
      </c>
      <c r="K49" s="6" t="n">
        <f aca="false">IFERROR(F49/$G49,0)</f>
        <v>8.82497975708502</v>
      </c>
      <c r="L49" s="7" t="n">
        <f aca="false">IFERROR((C49+D49+F49)/$G49,0)</f>
        <v>25.7555060728745</v>
      </c>
      <c r="M49" s="8" t="s">
        <v>116</v>
      </c>
    </row>
    <row r="50" customFormat="false" ht="15" hidden="false" customHeight="false" outlineLevel="0" collapsed="false">
      <c r="A50" s="2" t="s">
        <v>117</v>
      </c>
      <c r="B50" s="2" t="s">
        <v>118</v>
      </c>
      <c r="C50" s="3" t="n">
        <f aca="false">'Sewer Monthly'!K50</f>
        <v>0</v>
      </c>
      <c r="D50" s="3" t="n">
        <f aca="false">'WWTP Monthly'!K50</f>
        <v>0</v>
      </c>
      <c r="E50" s="4" t="n">
        <f aca="false">C50+D50</f>
        <v>0</v>
      </c>
      <c r="F50" s="3" t="n">
        <f aca="false">'Trash Monthly'!K50</f>
        <v>6651.2</v>
      </c>
      <c r="G50" s="2" t="n">
        <f aca="false">'Occupied Lots'!K50</f>
        <v>69</v>
      </c>
      <c r="H50" s="5" t="n">
        <f aca="false">IFERROR(G50/8,0)</f>
        <v>8.625</v>
      </c>
      <c r="I50" s="6" t="n">
        <f aca="false">IFERROR(C50/$G50,0)</f>
        <v>0</v>
      </c>
      <c r="J50" s="6" t="n">
        <f aca="false">IFERROR(D50/$G50,0)</f>
        <v>0</v>
      </c>
      <c r="K50" s="6" t="n">
        <f aca="false">IFERROR(F50/$G50,0)</f>
        <v>96.3942028985507</v>
      </c>
      <c r="L50" s="7" t="n">
        <f aca="false">IFERROR((C50+D50+F50)/$G50,0)</f>
        <v>96.3942028985507</v>
      </c>
      <c r="M50" s="8" t="s">
        <v>15</v>
      </c>
    </row>
    <row r="51" customFormat="false" ht="15" hidden="false" customHeight="false" outlineLevel="0" collapsed="false">
      <c r="A51" s="2" t="s">
        <v>119</v>
      </c>
      <c r="B51" s="2" t="s">
        <v>120</v>
      </c>
      <c r="C51" s="3" t="n">
        <f aca="false">'Sewer Monthly'!K51</f>
        <v>26881.8</v>
      </c>
      <c r="D51" s="3" t="n">
        <f aca="false">'WWTP Monthly'!K51</f>
        <v>0</v>
      </c>
      <c r="E51" s="4" t="n">
        <f aca="false">C51+D51</f>
        <v>26881.8</v>
      </c>
      <c r="F51" s="3" t="n">
        <f aca="false">'Trash Monthly'!K51</f>
        <v>11614</v>
      </c>
      <c r="G51" s="2" t="n">
        <f aca="false">'Occupied Lots'!K51</f>
        <v>855</v>
      </c>
      <c r="H51" s="5" t="n">
        <f aca="false">IFERROR(G51/8,0)</f>
        <v>106.875</v>
      </c>
      <c r="I51" s="6" t="n">
        <f aca="false">IFERROR(C51/$G51,0)</f>
        <v>31.440701754386</v>
      </c>
      <c r="J51" s="6" t="n">
        <f aca="false">IFERROR(D51/$G51,0)</f>
        <v>0</v>
      </c>
      <c r="K51" s="6" t="n">
        <f aca="false">IFERROR(F51/$G51,0)</f>
        <v>13.5836257309942</v>
      </c>
      <c r="L51" s="7" t="n">
        <f aca="false">IFERROR((C51+D51+F51)/$G51,0)</f>
        <v>45.0243274853801</v>
      </c>
      <c r="M51" s="8"/>
    </row>
    <row r="52" customFormat="false" ht="15" hidden="false" customHeight="false" outlineLevel="0" collapsed="false">
      <c r="A52" s="2" t="s">
        <v>121</v>
      </c>
      <c r="B52" s="2" t="s">
        <v>122</v>
      </c>
      <c r="C52" s="3" t="n">
        <f aca="false">'Sewer Monthly'!K52</f>
        <v>32345.84</v>
      </c>
      <c r="D52" s="3" t="n">
        <f aca="false">'WWTP Monthly'!K52</f>
        <v>0</v>
      </c>
      <c r="E52" s="4" t="n">
        <f aca="false">C52+D52</f>
        <v>32345.84</v>
      </c>
      <c r="F52" s="3" t="n">
        <f aca="false">'Trash Monthly'!K52</f>
        <v>11866.37</v>
      </c>
      <c r="G52" s="2" t="n">
        <f aca="false">'Occupied Lots'!K52</f>
        <v>618</v>
      </c>
      <c r="H52" s="5" t="n">
        <f aca="false">IFERROR(G52/8,0)</f>
        <v>77.25</v>
      </c>
      <c r="I52" s="6" t="n">
        <f aca="false">IFERROR(C52/$G52,0)</f>
        <v>52.3395469255663</v>
      </c>
      <c r="J52" s="6" t="n">
        <f aca="false">IFERROR(D52/$G52,0)</f>
        <v>0</v>
      </c>
      <c r="K52" s="6" t="n">
        <f aca="false">IFERROR(F52/$G52,0)</f>
        <v>19.2012459546926</v>
      </c>
      <c r="L52" s="7" t="n">
        <f aca="false">IFERROR((C52+D52+F52)/$G52,0)</f>
        <v>71.5407928802589</v>
      </c>
      <c r="M52" s="8"/>
    </row>
    <row r="53" customFormat="false" ht="15" hidden="false" customHeight="false" outlineLevel="0" collapsed="false">
      <c r="A53" s="2" t="s">
        <v>123</v>
      </c>
      <c r="B53" s="2" t="s">
        <v>124</v>
      </c>
      <c r="C53" s="3" t="n">
        <f aca="false">'Sewer Monthly'!K53</f>
        <v>0</v>
      </c>
      <c r="D53" s="3" t="n">
        <f aca="false">'WWTP Monthly'!K53</f>
        <v>14401.7</v>
      </c>
      <c r="E53" s="4" t="n">
        <f aca="false">C53+D53</f>
        <v>14401.7</v>
      </c>
      <c r="F53" s="3" t="n">
        <f aca="false">'Trash Monthly'!K53</f>
        <v>825</v>
      </c>
      <c r="G53" s="2" t="n">
        <f aca="false">'Occupied Lots'!K53</f>
        <v>541</v>
      </c>
      <c r="H53" s="5" t="n">
        <f aca="false">IFERROR(G53/8,0)</f>
        <v>67.625</v>
      </c>
      <c r="I53" s="6" t="n">
        <f aca="false">IFERROR(C53/$G53,0)</f>
        <v>0</v>
      </c>
      <c r="J53" s="6" t="n">
        <f aca="false">IFERROR(D53/$G53,0)</f>
        <v>26.6205175600739</v>
      </c>
      <c r="K53" s="6" t="n">
        <f aca="false">IFERROR(F53/$G53,0)</f>
        <v>1.52495378927911</v>
      </c>
      <c r="L53" s="7" t="n">
        <f aca="false">IFERROR((C53+D53+F53)/$G53,0)</f>
        <v>28.1454713493531</v>
      </c>
      <c r="M53" s="8" t="s">
        <v>18</v>
      </c>
    </row>
    <row r="54" customFormat="false" ht="15" hidden="false" customHeight="false" outlineLevel="0" collapsed="false">
      <c r="A54" s="2" t="s">
        <v>125</v>
      </c>
      <c r="B54" s="2" t="s">
        <v>126</v>
      </c>
      <c r="C54" s="3" t="n">
        <f aca="false">'Sewer Monthly'!K54</f>
        <v>0</v>
      </c>
      <c r="D54" s="3" t="n">
        <f aca="false">'WWTP Monthly'!K54</f>
        <v>0</v>
      </c>
      <c r="E54" s="4" t="n">
        <f aca="false">C54+D54</f>
        <v>0</v>
      </c>
      <c r="F54" s="3" t="n">
        <f aca="false">'Trash Monthly'!K54</f>
        <v>372.85</v>
      </c>
      <c r="G54" s="2" t="n">
        <f aca="false">'Occupied Lots'!K54</f>
        <v>476</v>
      </c>
      <c r="H54" s="5" t="n">
        <f aca="false">IFERROR(G54/8,0)</f>
        <v>59.5</v>
      </c>
      <c r="I54" s="6" t="n">
        <f aca="false">IFERROR(C54/$G54,0)</f>
        <v>0</v>
      </c>
      <c r="J54" s="6" t="n">
        <f aca="false">IFERROR(D54/$G54,0)</f>
        <v>0</v>
      </c>
      <c r="K54" s="6" t="n">
        <f aca="false">IFERROR(F54/$G54,0)</f>
        <v>0.783298319327731</v>
      </c>
      <c r="L54" s="7" t="n">
        <f aca="false">IFERROR((C54+D54+F54)/$G54,0)</f>
        <v>0.783298319327731</v>
      </c>
      <c r="M54" s="8" t="s">
        <v>15</v>
      </c>
    </row>
    <row r="55" customFormat="false" ht="15" hidden="false" customHeight="false" outlineLevel="0" collapsed="false">
      <c r="A55" s="2" t="s">
        <v>127</v>
      </c>
      <c r="B55" s="2" t="s">
        <v>128</v>
      </c>
      <c r="C55" s="3" t="n">
        <f aca="false">'Sewer Monthly'!K55</f>
        <v>0</v>
      </c>
      <c r="D55" s="3" t="n">
        <f aca="false">'WWTP Monthly'!K55</f>
        <v>74234.55</v>
      </c>
      <c r="E55" s="4" t="n">
        <f aca="false">C55+D55</f>
        <v>74234.55</v>
      </c>
      <c r="F55" s="3" t="n">
        <f aca="false">'Trash Monthly'!K55</f>
        <v>29364.71</v>
      </c>
      <c r="G55" s="2" t="n">
        <f aca="false">'Occupied Lots'!K55</f>
        <v>1110</v>
      </c>
      <c r="H55" s="5" t="n">
        <f aca="false">IFERROR(G55/8,0)</f>
        <v>138.75</v>
      </c>
      <c r="I55" s="6" t="n">
        <f aca="false">IFERROR(C55/$G55,0)</f>
        <v>0</v>
      </c>
      <c r="J55" s="6" t="n">
        <f aca="false">IFERROR(D55/$G55,0)</f>
        <v>66.877972972973</v>
      </c>
      <c r="K55" s="6" t="n">
        <f aca="false">IFERROR(F55/$G55,0)</f>
        <v>26.4546936936937</v>
      </c>
      <c r="L55" s="7" t="n">
        <f aca="false">IFERROR((C55+D55+F55)/$G55,0)</f>
        <v>93.3326666666667</v>
      </c>
      <c r="M55" s="8" t="s">
        <v>18</v>
      </c>
    </row>
    <row r="56" customFormat="false" ht="15" hidden="false" customHeight="false" outlineLevel="0" collapsed="false">
      <c r="A56" s="2" t="s">
        <v>129</v>
      </c>
      <c r="B56" s="2" t="s">
        <v>130</v>
      </c>
      <c r="C56" s="3" t="n">
        <f aca="false">'Sewer Monthly'!K56</f>
        <v>10629.28</v>
      </c>
      <c r="D56" s="3" t="n">
        <f aca="false">'WWTP Monthly'!K56</f>
        <v>0</v>
      </c>
      <c r="E56" s="4" t="n">
        <f aca="false">C56+D56</f>
        <v>10629.28</v>
      </c>
      <c r="F56" s="3" t="n">
        <f aca="false">'Trash Monthly'!K56</f>
        <v>38330.13</v>
      </c>
      <c r="G56" s="2" t="n">
        <f aca="false">'Occupied Lots'!K56</f>
        <v>288</v>
      </c>
      <c r="H56" s="5" t="n">
        <f aca="false">IFERROR(G56/8,0)</f>
        <v>36</v>
      </c>
      <c r="I56" s="6" t="n">
        <f aca="false">IFERROR(C56/$G56,0)</f>
        <v>36.9072222222222</v>
      </c>
      <c r="J56" s="6" t="n">
        <f aca="false">IFERROR(D56/$G56,0)</f>
        <v>0</v>
      </c>
      <c r="K56" s="6" t="n">
        <f aca="false">IFERROR(F56/$G56,0)</f>
        <v>133.090729166667</v>
      </c>
      <c r="L56" s="7" t="n">
        <f aca="false">IFERROR((C56+D56+F56)/$G56,0)</f>
        <v>169.997951388889</v>
      </c>
      <c r="M56" s="8"/>
    </row>
    <row r="57" customFormat="false" ht="15" hidden="false" customHeight="false" outlineLevel="0" collapsed="false">
      <c r="A57" s="2" t="s">
        <v>131</v>
      </c>
      <c r="B57" s="2" t="s">
        <v>132</v>
      </c>
      <c r="C57" s="3" t="n">
        <f aca="false">'Sewer Monthly'!K57</f>
        <v>4464</v>
      </c>
      <c r="D57" s="3" t="n">
        <f aca="false">'WWTP Monthly'!K57</f>
        <v>407.17</v>
      </c>
      <c r="E57" s="4" t="n">
        <f aca="false">C57+D57</f>
        <v>4871.17</v>
      </c>
      <c r="F57" s="3" t="n">
        <f aca="false">'Trash Monthly'!K57</f>
        <v>18868.53</v>
      </c>
      <c r="G57" s="2" t="n">
        <f aca="false">'Occupied Lots'!K57</f>
        <v>1796</v>
      </c>
      <c r="H57" s="5" t="n">
        <f aca="false">IFERROR(G57/8,0)</f>
        <v>224.5</v>
      </c>
      <c r="I57" s="6" t="n">
        <f aca="false">IFERROR(C57/$G57,0)</f>
        <v>2.48552338530067</v>
      </c>
      <c r="J57" s="6" t="n">
        <f aca="false">IFERROR(D57/$G57,0)</f>
        <v>0.226709354120267</v>
      </c>
      <c r="K57" s="6" t="n">
        <f aca="false">IFERROR(F57/$G57,0)</f>
        <v>10.5058630289532</v>
      </c>
      <c r="L57" s="7" t="n">
        <f aca="false">IFERROR((C57+D57+F57)/$G57,0)</f>
        <v>13.2180957683742</v>
      </c>
      <c r="M57" s="8"/>
    </row>
    <row r="58" customFormat="false" ht="15" hidden="false" customHeight="false" outlineLevel="0" collapsed="false">
      <c r="A58" s="2" t="s">
        <v>133</v>
      </c>
      <c r="B58" s="2" t="s">
        <v>134</v>
      </c>
      <c r="C58" s="3" t="n">
        <f aca="false">'Sewer Monthly'!K58</f>
        <v>229.34</v>
      </c>
      <c r="D58" s="3" t="n">
        <f aca="false">'WWTP Monthly'!K58</f>
        <v>40314.65</v>
      </c>
      <c r="E58" s="4" t="n">
        <f aca="false">C58+D58</f>
        <v>40543.99</v>
      </c>
      <c r="F58" s="3" t="n">
        <f aca="false">'Trash Monthly'!K58</f>
        <v>23528.94</v>
      </c>
      <c r="G58" s="2" t="n">
        <f aca="false">'Occupied Lots'!K58</f>
        <v>1355</v>
      </c>
      <c r="H58" s="5" t="n">
        <f aca="false">IFERROR(G58/8,0)</f>
        <v>169.375</v>
      </c>
      <c r="I58" s="6" t="n">
        <f aca="false">IFERROR(C58/$G58,0)</f>
        <v>0.169254612546125</v>
      </c>
      <c r="J58" s="6" t="n">
        <f aca="false">IFERROR(D58/$G58,0)</f>
        <v>29.7525092250923</v>
      </c>
      <c r="K58" s="6" t="n">
        <f aca="false">IFERROR(F58/$G58,0)</f>
        <v>17.3645313653137</v>
      </c>
      <c r="L58" s="7" t="n">
        <f aca="false">IFERROR((C58+D58+F58)/$G58,0)</f>
        <v>47.286295202952</v>
      </c>
      <c r="M58" s="8"/>
    </row>
    <row r="59" customFormat="false" ht="15" hidden="false" customHeight="false" outlineLevel="0" collapsed="false">
      <c r="A59" s="2" t="s">
        <v>135</v>
      </c>
      <c r="B59" s="2" t="s">
        <v>136</v>
      </c>
      <c r="C59" s="3" t="n">
        <f aca="false">'Sewer Monthly'!K59</f>
        <v>0</v>
      </c>
      <c r="D59" s="3" t="n">
        <f aca="false">'WWTP Monthly'!K59</f>
        <v>0</v>
      </c>
      <c r="E59" s="4" t="n">
        <f aca="false">C59+D59</f>
        <v>0</v>
      </c>
      <c r="F59" s="3" t="n">
        <f aca="false">'Trash Monthly'!K59</f>
        <v>8412.27</v>
      </c>
      <c r="G59" s="2" t="n">
        <f aca="false">'Occupied Lots'!K59</f>
        <v>320</v>
      </c>
      <c r="H59" s="5" t="n">
        <f aca="false">IFERROR(G59/8,0)</f>
        <v>40</v>
      </c>
      <c r="I59" s="6" t="n">
        <f aca="false">IFERROR(C59/$G59,0)</f>
        <v>0</v>
      </c>
      <c r="J59" s="6" t="n">
        <f aca="false">IFERROR(D59/$G59,0)</f>
        <v>0</v>
      </c>
      <c r="K59" s="6" t="n">
        <f aca="false">IFERROR(F59/$G59,0)</f>
        <v>26.28834375</v>
      </c>
      <c r="L59" s="7" t="n">
        <f aca="false">IFERROR((C59+D59+F59)/$G59,0)</f>
        <v>26.28834375</v>
      </c>
      <c r="M59" s="8" t="s">
        <v>15</v>
      </c>
    </row>
    <row r="60" customFormat="false" ht="15" hidden="false" customHeight="false" outlineLevel="0" collapsed="false">
      <c r="A60" s="2" t="s">
        <v>137</v>
      </c>
      <c r="B60" s="2" t="s">
        <v>138</v>
      </c>
      <c r="C60" s="3" t="n">
        <f aca="false">'Sewer Monthly'!K60</f>
        <v>0</v>
      </c>
      <c r="D60" s="3" t="n">
        <f aca="false">'WWTP Monthly'!K60</f>
        <v>0</v>
      </c>
      <c r="E60" s="4" t="n">
        <f aca="false">C60+D60</f>
        <v>0</v>
      </c>
      <c r="F60" s="3" t="n">
        <f aca="false">'Trash Monthly'!K60</f>
        <v>4320</v>
      </c>
      <c r="G60" s="2" t="n">
        <f aca="false">'Occupied Lots'!K60</f>
        <v>424</v>
      </c>
      <c r="H60" s="5" t="n">
        <f aca="false">IFERROR(G60/8,0)</f>
        <v>53</v>
      </c>
      <c r="I60" s="6" t="n">
        <f aca="false">IFERROR(C60/$G60,0)</f>
        <v>0</v>
      </c>
      <c r="J60" s="6" t="n">
        <f aca="false">IFERROR(D60/$G60,0)</f>
        <v>0</v>
      </c>
      <c r="K60" s="6" t="n">
        <f aca="false">IFERROR(F60/$G60,0)</f>
        <v>10.188679245283</v>
      </c>
      <c r="L60" s="7" t="n">
        <f aca="false">IFERROR((C60+D60+F60)/$G60,0)</f>
        <v>10.188679245283</v>
      </c>
      <c r="M60" s="8" t="s">
        <v>15</v>
      </c>
    </row>
    <row r="61" customFormat="false" ht="15" hidden="false" customHeight="false" outlineLevel="0" collapsed="false">
      <c r="A61" s="2" t="s">
        <v>139</v>
      </c>
      <c r="B61" s="2" t="s">
        <v>140</v>
      </c>
      <c r="C61" s="3" t="n">
        <f aca="false">'Sewer Monthly'!K61</f>
        <v>6187.19</v>
      </c>
      <c r="D61" s="3" t="n">
        <f aca="false">'WWTP Monthly'!K61</f>
        <v>9483.8</v>
      </c>
      <c r="E61" s="4" t="n">
        <f aca="false">C61+D61</f>
        <v>15670.99</v>
      </c>
      <c r="F61" s="3" t="n">
        <f aca="false">'Trash Monthly'!K61</f>
        <v>31802.83</v>
      </c>
      <c r="G61" s="2" t="n">
        <f aca="false">'Occupied Lots'!K61</f>
        <v>1057</v>
      </c>
      <c r="H61" s="5" t="n">
        <f aca="false">IFERROR(G61/8,0)</f>
        <v>132.125</v>
      </c>
      <c r="I61" s="6" t="n">
        <f aca="false">IFERROR(C61/$G61,0)</f>
        <v>5.85353831598865</v>
      </c>
      <c r="J61" s="6" t="n">
        <f aca="false">IFERROR(D61/$G61,0)</f>
        <v>8.97237464522233</v>
      </c>
      <c r="K61" s="6" t="n">
        <f aca="false">IFERROR(F61/$G61,0)</f>
        <v>30.0878240302744</v>
      </c>
      <c r="L61" s="7" t="n">
        <f aca="false">IFERROR((C61+D61+F61)/$G61,0)</f>
        <v>44.9137369914853</v>
      </c>
      <c r="M61" s="8"/>
    </row>
    <row r="62" customFormat="false" ht="15" hidden="false" customHeight="false" outlineLevel="0" collapsed="false">
      <c r="A62" s="2" t="s">
        <v>141</v>
      </c>
      <c r="B62" s="2" t="s">
        <v>142</v>
      </c>
      <c r="C62" s="3" t="n">
        <f aca="false">'Sewer Monthly'!K62</f>
        <v>0</v>
      </c>
      <c r="D62" s="3" t="n">
        <f aca="false">'WWTP Monthly'!K62</f>
        <v>42143.72</v>
      </c>
      <c r="E62" s="4" t="n">
        <f aca="false">C62+D62</f>
        <v>42143.72</v>
      </c>
      <c r="F62" s="3" t="n">
        <f aca="false">'Trash Monthly'!K62</f>
        <v>36206.81</v>
      </c>
      <c r="G62" s="2" t="n">
        <f aca="false">'Occupied Lots'!K62</f>
        <v>1092</v>
      </c>
      <c r="H62" s="5" t="n">
        <f aca="false">IFERROR(G62/8,0)</f>
        <v>136.5</v>
      </c>
      <c r="I62" s="6" t="n">
        <f aca="false">IFERROR(C62/$G62,0)</f>
        <v>0</v>
      </c>
      <c r="J62" s="6" t="n">
        <f aca="false">IFERROR(D62/$G62,0)</f>
        <v>38.5931501831502</v>
      </c>
      <c r="K62" s="6" t="n">
        <f aca="false">IFERROR(F62/$G62,0)</f>
        <v>33.1564194139194</v>
      </c>
      <c r="L62" s="7" t="n">
        <f aca="false">IFERROR((C62+D62+F62)/$G62,0)</f>
        <v>71.7495695970696</v>
      </c>
      <c r="M62" s="8" t="s">
        <v>18</v>
      </c>
    </row>
    <row r="63" customFormat="false" ht="15" hidden="false" customHeight="false" outlineLevel="0" collapsed="false">
      <c r="A63" s="2" t="s">
        <v>143</v>
      </c>
      <c r="B63" s="2" t="s">
        <v>144</v>
      </c>
      <c r="C63" s="3" t="n">
        <f aca="false">'Sewer Monthly'!K63</f>
        <v>15129.45</v>
      </c>
      <c r="D63" s="3" t="n">
        <f aca="false">'WWTP Monthly'!K63</f>
        <v>941.93</v>
      </c>
      <c r="E63" s="4" t="n">
        <f aca="false">C63+D63</f>
        <v>16071.38</v>
      </c>
      <c r="F63" s="3" t="n">
        <f aca="false">'Trash Monthly'!K63</f>
        <v>11801.88</v>
      </c>
      <c r="G63" s="2" t="n">
        <f aca="false">'Occupied Lots'!K63</f>
        <v>326</v>
      </c>
      <c r="H63" s="5" t="n">
        <f aca="false">IFERROR(G63/8,0)</f>
        <v>40.75</v>
      </c>
      <c r="I63" s="6" t="n">
        <f aca="false">IFERROR(C63/$G63,0)</f>
        <v>46.4093558282209</v>
      </c>
      <c r="J63" s="6" t="n">
        <f aca="false">IFERROR(D63/$G63,0)</f>
        <v>2.88935582822086</v>
      </c>
      <c r="K63" s="6" t="n">
        <f aca="false">IFERROR(F63/$G63,0)</f>
        <v>36.2020858895706</v>
      </c>
      <c r="L63" s="7" t="n">
        <f aca="false">IFERROR((C63+D63+F63)/$G63,0)</f>
        <v>85.5007975460123</v>
      </c>
      <c r="M63" s="8"/>
    </row>
    <row r="64" customFormat="false" ht="15" hidden="false" customHeight="false" outlineLevel="0" collapsed="false">
      <c r="A64" s="9" t="s">
        <v>145</v>
      </c>
      <c r="C64" s="10" t="n">
        <f aca="false">SUM(C2:C63)</f>
        <v>512306.15</v>
      </c>
      <c r="D64" s="10" t="n">
        <f aca="false">SUM(D2:D63)</f>
        <v>347979.12</v>
      </c>
      <c r="E64" s="10" t="n">
        <f aca="false">SUM(E2:E63)</f>
        <v>860285.27</v>
      </c>
      <c r="F64" s="10" t="n">
        <f aca="false">SUM(F2:F63)</f>
        <v>967838.39</v>
      </c>
      <c r="G64" s="11" t="n">
        <f aca="false">SUM(G2:G63)</f>
        <v>39712</v>
      </c>
      <c r="I64" s="12" t="n">
        <f aca="false">IFERROR(C64/$G64,0)</f>
        <v>12.9005376208703</v>
      </c>
      <c r="J64" s="12" t="n">
        <f aca="false">IFERROR(D64/$G64,0)</f>
        <v>8.76256849315069</v>
      </c>
      <c r="K64" s="12" t="n">
        <f aca="false">IFERROR(F64/$G64,0)</f>
        <v>24.3714340753425</v>
      </c>
      <c r="L64" s="12" t="n">
        <f aca="false">IFERROR((C64+D64+F64)/$G64,0)</f>
        <v>46.0345401893634</v>
      </c>
    </row>
    <row r="66" customFormat="false" ht="15" hidden="false" customHeight="false" outlineLevel="0" collapsed="false">
      <c r="A66" s="13" t="s">
        <v>146</v>
      </c>
    </row>
  </sheetData>
  <autoFilter ref="A1:M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10" min="3" style="0" width="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6</v>
      </c>
    </row>
    <row r="2" customFormat="false" ht="15" hidden="false" customHeight="false" outlineLevel="0" collapsed="false">
      <c r="A2" s="14" t="s">
        <v>13</v>
      </c>
      <c r="B2" s="14" t="s">
        <v>14</v>
      </c>
      <c r="C2" s="14" t="n">
        <v>39</v>
      </c>
      <c r="D2" s="14" t="n">
        <v>39</v>
      </c>
      <c r="E2" s="14" t="n">
        <v>39</v>
      </c>
      <c r="F2" s="14" t="n">
        <v>39</v>
      </c>
      <c r="G2" s="14" t="n">
        <v>40</v>
      </c>
      <c r="H2" s="14" t="n">
        <v>40</v>
      </c>
      <c r="I2" s="14" t="n">
        <v>40</v>
      </c>
      <c r="J2" s="14" t="n">
        <v>40</v>
      </c>
      <c r="K2" s="9" t="n">
        <f aca="false">SUM(C2:J2)</f>
        <v>316</v>
      </c>
    </row>
    <row r="3" customFormat="false" ht="15" hidden="false" customHeight="false" outlineLevel="0" collapsed="false">
      <c r="A3" s="14" t="s">
        <v>16</v>
      </c>
      <c r="B3" s="14" t="s">
        <v>17</v>
      </c>
      <c r="C3" s="14" t="n">
        <v>74</v>
      </c>
      <c r="D3" s="14" t="n">
        <v>74</v>
      </c>
      <c r="E3" s="14" t="n">
        <v>74</v>
      </c>
      <c r="F3" s="14" t="n">
        <v>74</v>
      </c>
      <c r="G3" s="14" t="n">
        <v>74</v>
      </c>
      <c r="H3" s="14" t="n">
        <v>74</v>
      </c>
      <c r="I3" s="14" t="n">
        <v>74</v>
      </c>
      <c r="J3" s="14" t="n">
        <v>72</v>
      </c>
      <c r="K3" s="9" t="n">
        <f aca="false">SUM(C3:J3)</f>
        <v>590</v>
      </c>
    </row>
    <row r="4" customFormat="false" ht="15" hidden="false" customHeight="false" outlineLevel="0" collapsed="false">
      <c r="A4" s="14" t="s">
        <v>19</v>
      </c>
      <c r="B4" s="14" t="s">
        <v>20</v>
      </c>
      <c r="C4" s="14" t="n">
        <v>147</v>
      </c>
      <c r="D4" s="14" t="n">
        <v>147</v>
      </c>
      <c r="E4" s="14" t="n">
        <v>145</v>
      </c>
      <c r="F4" s="14" t="n">
        <v>146</v>
      </c>
      <c r="G4" s="14" t="n">
        <v>148</v>
      </c>
      <c r="H4" s="14" t="n">
        <v>146</v>
      </c>
      <c r="I4" s="14" t="n">
        <v>146</v>
      </c>
      <c r="J4" s="14" t="n">
        <v>145</v>
      </c>
      <c r="K4" s="9" t="n">
        <f aca="false">SUM(C4:J4)</f>
        <v>1170</v>
      </c>
    </row>
    <row r="5" customFormat="false" ht="15" hidden="false" customHeight="false" outlineLevel="0" collapsed="false">
      <c r="A5" s="14" t="s">
        <v>21</v>
      </c>
      <c r="B5" s="14" t="s">
        <v>22</v>
      </c>
      <c r="C5" s="14" t="n">
        <v>20</v>
      </c>
      <c r="D5" s="14" t="n">
        <v>19</v>
      </c>
      <c r="E5" s="14" t="n">
        <v>19</v>
      </c>
      <c r="F5" s="14" t="n">
        <v>19</v>
      </c>
      <c r="G5" s="14" t="n">
        <v>19</v>
      </c>
      <c r="H5" s="14" t="n">
        <v>19</v>
      </c>
      <c r="I5" s="14" t="n">
        <v>18</v>
      </c>
      <c r="J5" s="14" t="n">
        <v>18</v>
      </c>
      <c r="K5" s="9" t="n">
        <f aca="false">SUM(C5:J5)</f>
        <v>151</v>
      </c>
    </row>
    <row r="6" customFormat="false" ht="15" hidden="false" customHeight="false" outlineLevel="0" collapsed="false">
      <c r="A6" s="14" t="s">
        <v>23</v>
      </c>
      <c r="B6" s="14" t="s">
        <v>24</v>
      </c>
      <c r="C6" s="14" t="n">
        <v>56</v>
      </c>
      <c r="D6" s="14" t="n">
        <v>56</v>
      </c>
      <c r="E6" s="14" t="n">
        <v>56</v>
      </c>
      <c r="F6" s="14" t="n">
        <v>56</v>
      </c>
      <c r="G6" s="14" t="n">
        <v>56</v>
      </c>
      <c r="H6" s="14" t="n">
        <v>53</v>
      </c>
      <c r="I6" s="14" t="n">
        <v>53</v>
      </c>
      <c r="J6" s="14" t="n">
        <v>53</v>
      </c>
      <c r="K6" s="9" t="n">
        <f aca="false">SUM(C6:J6)</f>
        <v>439</v>
      </c>
    </row>
    <row r="7" customFormat="false" ht="15" hidden="false" customHeight="false" outlineLevel="0" collapsed="false">
      <c r="A7" s="14" t="s">
        <v>25</v>
      </c>
      <c r="B7" s="14" t="s">
        <v>26</v>
      </c>
      <c r="C7" s="14" t="n">
        <v>54</v>
      </c>
      <c r="D7" s="14" t="n">
        <v>54</v>
      </c>
      <c r="E7" s="14" t="n">
        <v>52</v>
      </c>
      <c r="F7" s="14" t="n">
        <v>49</v>
      </c>
      <c r="G7" s="14" t="n">
        <v>48</v>
      </c>
      <c r="H7" s="14" t="n">
        <v>47</v>
      </c>
      <c r="I7" s="14" t="n">
        <v>47</v>
      </c>
      <c r="J7" s="14" t="n">
        <v>47</v>
      </c>
      <c r="K7" s="9" t="n">
        <f aca="false">SUM(C7:J7)</f>
        <v>398</v>
      </c>
    </row>
    <row r="8" customFormat="false" ht="15" hidden="false" customHeight="false" outlineLevel="0" collapsed="false">
      <c r="A8" s="14" t="s">
        <v>27</v>
      </c>
      <c r="B8" s="14" t="s">
        <v>28</v>
      </c>
      <c r="C8" s="14" t="n">
        <v>75</v>
      </c>
      <c r="D8" s="14" t="n">
        <v>75</v>
      </c>
      <c r="E8" s="14" t="n">
        <v>75</v>
      </c>
      <c r="F8" s="14" t="n">
        <v>76</v>
      </c>
      <c r="G8" s="14" t="n">
        <v>76</v>
      </c>
      <c r="H8" s="14" t="n">
        <v>76</v>
      </c>
      <c r="I8" s="14" t="n">
        <v>76</v>
      </c>
      <c r="J8" s="14" t="n">
        <v>76</v>
      </c>
      <c r="K8" s="9" t="n">
        <f aca="false">SUM(C8:J8)</f>
        <v>605</v>
      </c>
    </row>
    <row r="9" customFormat="false" ht="15" hidden="false" customHeight="false" outlineLevel="0" collapsed="false">
      <c r="A9" s="14" t="s">
        <v>29</v>
      </c>
      <c r="B9" s="14" t="s">
        <v>30</v>
      </c>
      <c r="C9" s="14" t="n">
        <v>59</v>
      </c>
      <c r="D9" s="14" t="n">
        <v>58</v>
      </c>
      <c r="E9" s="14" t="n">
        <v>58</v>
      </c>
      <c r="F9" s="14" t="n">
        <v>57</v>
      </c>
      <c r="G9" s="14" t="n">
        <v>57</v>
      </c>
      <c r="H9" s="14" t="n">
        <v>57</v>
      </c>
      <c r="I9" s="14" t="n">
        <v>57</v>
      </c>
      <c r="J9" s="14" t="n">
        <v>56</v>
      </c>
      <c r="K9" s="9" t="n">
        <f aca="false">SUM(C9:J9)</f>
        <v>459</v>
      </c>
    </row>
    <row r="10" customFormat="false" ht="15" hidden="false" customHeight="false" outlineLevel="0" collapsed="false">
      <c r="A10" s="14" t="s">
        <v>31</v>
      </c>
      <c r="B10" s="14" t="s">
        <v>32</v>
      </c>
      <c r="C10" s="14" t="n">
        <v>31</v>
      </c>
      <c r="D10" s="14" t="n">
        <v>31</v>
      </c>
      <c r="E10" s="14" t="n">
        <v>31</v>
      </c>
      <c r="F10" s="14" t="n">
        <v>31</v>
      </c>
      <c r="G10" s="14" t="n">
        <v>31</v>
      </c>
      <c r="H10" s="14" t="n">
        <v>31</v>
      </c>
      <c r="I10" s="14" t="n">
        <v>31</v>
      </c>
      <c r="J10" s="14" t="n">
        <v>31</v>
      </c>
      <c r="K10" s="9" t="n">
        <f aca="false">SUM(C10:J10)</f>
        <v>248</v>
      </c>
    </row>
    <row r="11" customFormat="false" ht="15" hidden="false" customHeight="false" outlineLevel="0" collapsed="false">
      <c r="A11" s="14" t="s">
        <v>34</v>
      </c>
      <c r="B11" s="14" t="s">
        <v>35</v>
      </c>
      <c r="C11" s="14" t="n">
        <v>24</v>
      </c>
      <c r="D11" s="14" t="n">
        <v>24</v>
      </c>
      <c r="E11" s="14" t="n">
        <v>24</v>
      </c>
      <c r="F11" s="14" t="n">
        <v>24</v>
      </c>
      <c r="G11" s="14" t="n">
        <v>23</v>
      </c>
      <c r="H11" s="14" t="n">
        <v>23</v>
      </c>
      <c r="I11" s="14" t="n">
        <v>22</v>
      </c>
      <c r="J11" s="14" t="n">
        <v>23</v>
      </c>
      <c r="K11" s="9" t="n">
        <f aca="false">SUM(C11:J11)</f>
        <v>187</v>
      </c>
    </row>
    <row r="12" customFormat="false" ht="15" hidden="false" customHeight="false" outlineLevel="0" collapsed="false">
      <c r="A12" s="14" t="s">
        <v>36</v>
      </c>
      <c r="B12" s="14" t="s">
        <v>37</v>
      </c>
      <c r="C12" s="14" t="n">
        <v>100</v>
      </c>
      <c r="D12" s="14" t="n">
        <v>99</v>
      </c>
      <c r="E12" s="14" t="n">
        <v>99</v>
      </c>
      <c r="F12" s="14" t="n">
        <v>98</v>
      </c>
      <c r="G12" s="14" t="n">
        <v>98</v>
      </c>
      <c r="H12" s="14" t="n">
        <v>97</v>
      </c>
      <c r="I12" s="14" t="n">
        <v>96</v>
      </c>
      <c r="J12" s="14" t="n">
        <v>96</v>
      </c>
      <c r="K12" s="9" t="n">
        <f aca="false">SUM(C12:J12)</f>
        <v>783</v>
      </c>
    </row>
    <row r="13" customFormat="false" ht="15" hidden="false" customHeight="false" outlineLevel="0" collapsed="false">
      <c r="A13" s="14" t="s">
        <v>38</v>
      </c>
      <c r="B13" s="14" t="s">
        <v>39</v>
      </c>
      <c r="C13" s="14" t="n">
        <v>106</v>
      </c>
      <c r="D13" s="14" t="n">
        <v>106</v>
      </c>
      <c r="E13" s="14" t="n">
        <v>102</v>
      </c>
      <c r="F13" s="14" t="n">
        <v>101</v>
      </c>
      <c r="G13" s="14" t="n">
        <v>99</v>
      </c>
      <c r="H13" s="14" t="n">
        <v>97</v>
      </c>
      <c r="I13" s="14" t="n">
        <v>101</v>
      </c>
      <c r="J13" s="14" t="n">
        <v>100</v>
      </c>
      <c r="K13" s="9" t="n">
        <f aca="false">SUM(C13:J13)</f>
        <v>812</v>
      </c>
    </row>
    <row r="14" customFormat="false" ht="15" hidden="false" customHeight="false" outlineLevel="0" collapsed="false">
      <c r="A14" s="14" t="s">
        <v>40</v>
      </c>
      <c r="B14" s="14" t="s">
        <v>41</v>
      </c>
      <c r="C14" s="14" t="n">
        <v>48</v>
      </c>
      <c r="D14" s="14" t="n">
        <v>51</v>
      </c>
      <c r="E14" s="14" t="n">
        <v>45</v>
      </c>
      <c r="F14" s="14" t="n">
        <v>41</v>
      </c>
      <c r="G14" s="14" t="n">
        <v>39</v>
      </c>
      <c r="H14" s="14" t="n">
        <v>37</v>
      </c>
      <c r="I14" s="14" t="n">
        <v>35</v>
      </c>
      <c r="J14" s="14" t="n">
        <v>34</v>
      </c>
      <c r="K14" s="9" t="n">
        <f aca="false">SUM(C14:J14)</f>
        <v>330</v>
      </c>
    </row>
    <row r="15" customFormat="false" ht="15" hidden="false" customHeight="false" outlineLevel="0" collapsed="false">
      <c r="A15" s="14" t="s">
        <v>42</v>
      </c>
      <c r="B15" s="14" t="s">
        <v>43</v>
      </c>
      <c r="C15" s="14" t="n">
        <v>144</v>
      </c>
      <c r="D15" s="14" t="n">
        <v>144</v>
      </c>
      <c r="E15" s="14" t="n">
        <v>139</v>
      </c>
      <c r="F15" s="14" t="n">
        <v>134</v>
      </c>
      <c r="G15" s="14" t="n">
        <v>134</v>
      </c>
      <c r="H15" s="14" t="n">
        <v>134</v>
      </c>
      <c r="I15" s="14" t="n">
        <v>134</v>
      </c>
      <c r="J15" s="14" t="n">
        <v>125</v>
      </c>
      <c r="K15" s="9" t="n">
        <f aca="false">SUM(C15:J15)</f>
        <v>1088</v>
      </c>
    </row>
    <row r="16" customFormat="false" ht="15" hidden="false" customHeight="false" outlineLevel="0" collapsed="false">
      <c r="A16" s="14" t="s">
        <v>44</v>
      </c>
      <c r="B16" s="14" t="s">
        <v>45</v>
      </c>
      <c r="C16" s="14" t="n">
        <v>90</v>
      </c>
      <c r="D16" s="14" t="n">
        <v>90</v>
      </c>
      <c r="E16" s="14" t="n">
        <v>89</v>
      </c>
      <c r="F16" s="14" t="n">
        <v>90</v>
      </c>
      <c r="G16" s="14" t="n">
        <v>90</v>
      </c>
      <c r="H16" s="14" t="n">
        <v>90</v>
      </c>
      <c r="I16" s="14" t="n">
        <v>90</v>
      </c>
      <c r="J16" s="14" t="n">
        <v>90</v>
      </c>
      <c r="K16" s="9" t="n">
        <f aca="false">SUM(C16:J16)</f>
        <v>719</v>
      </c>
    </row>
    <row r="17" customFormat="false" ht="15" hidden="false" customHeight="false" outlineLevel="0" collapsed="false">
      <c r="A17" s="14" t="s">
        <v>46</v>
      </c>
      <c r="B17" s="14" t="s">
        <v>47</v>
      </c>
      <c r="C17" s="14" t="n">
        <v>24</v>
      </c>
      <c r="D17" s="14" t="n">
        <v>24</v>
      </c>
      <c r="E17" s="14" t="n">
        <v>24</v>
      </c>
      <c r="F17" s="14" t="n">
        <v>25</v>
      </c>
      <c r="G17" s="14" t="n">
        <v>28</v>
      </c>
      <c r="H17" s="14" t="n">
        <v>29</v>
      </c>
      <c r="I17" s="14" t="n">
        <v>29</v>
      </c>
      <c r="J17" s="14" t="n">
        <v>29</v>
      </c>
      <c r="K17" s="9" t="n">
        <f aca="false">SUM(C17:J17)</f>
        <v>212</v>
      </c>
    </row>
    <row r="18" customFormat="false" ht="15" hidden="false" customHeight="false" outlineLevel="0" collapsed="false">
      <c r="A18" s="14" t="s">
        <v>48</v>
      </c>
      <c r="B18" s="14" t="s">
        <v>49</v>
      </c>
      <c r="C18" s="14" t="n">
        <v>34</v>
      </c>
      <c r="D18" s="14" t="n">
        <v>35</v>
      </c>
      <c r="E18" s="14" t="n">
        <v>35</v>
      </c>
      <c r="F18" s="14" t="n">
        <v>36</v>
      </c>
      <c r="G18" s="14" t="n">
        <v>36</v>
      </c>
      <c r="H18" s="14" t="n">
        <v>36</v>
      </c>
      <c r="I18" s="14" t="n">
        <v>36</v>
      </c>
      <c r="J18" s="14" t="n">
        <v>36</v>
      </c>
      <c r="K18" s="9" t="n">
        <f aca="false">SUM(C18:J18)</f>
        <v>284</v>
      </c>
    </row>
    <row r="19" customFormat="false" ht="15" hidden="false" customHeight="false" outlineLevel="0" collapsed="false">
      <c r="A19" s="14" t="s">
        <v>50</v>
      </c>
      <c r="B19" s="14" t="s">
        <v>51</v>
      </c>
      <c r="C19" s="14" t="n">
        <v>75</v>
      </c>
      <c r="D19" s="14" t="n">
        <v>75</v>
      </c>
      <c r="E19" s="14" t="n">
        <v>75</v>
      </c>
      <c r="F19" s="14" t="n">
        <v>75</v>
      </c>
      <c r="G19" s="14" t="n">
        <v>75</v>
      </c>
      <c r="H19" s="14" t="n">
        <v>75</v>
      </c>
      <c r="I19" s="14" t="n">
        <v>75</v>
      </c>
      <c r="J19" s="14" t="n">
        <v>75</v>
      </c>
      <c r="K19" s="9" t="n">
        <f aca="false">SUM(C19:J19)</f>
        <v>600</v>
      </c>
    </row>
    <row r="20" customFormat="false" ht="15" hidden="false" customHeight="false" outlineLevel="0" collapsed="false">
      <c r="A20" s="14" t="s">
        <v>52</v>
      </c>
      <c r="B20" s="14" t="s">
        <v>53</v>
      </c>
      <c r="C20" s="14" t="n">
        <v>12</v>
      </c>
      <c r="D20" s="14" t="n">
        <v>13</v>
      </c>
      <c r="E20" s="14" t="n">
        <v>14</v>
      </c>
      <c r="F20" s="14" t="n">
        <v>13</v>
      </c>
      <c r="G20" s="14" t="n">
        <v>13</v>
      </c>
      <c r="H20" s="14" t="n">
        <v>14</v>
      </c>
      <c r="I20" s="14" t="n">
        <v>13</v>
      </c>
      <c r="J20" s="14" t="n">
        <v>13</v>
      </c>
      <c r="K20" s="9" t="n">
        <f aca="false">SUM(C20:J20)</f>
        <v>105</v>
      </c>
    </row>
    <row r="21" customFormat="false" ht="15" hidden="false" customHeight="false" outlineLevel="0" collapsed="false">
      <c r="A21" s="14" t="s">
        <v>54</v>
      </c>
      <c r="B21" s="14" t="s">
        <v>55</v>
      </c>
      <c r="C21" s="14" t="n">
        <v>100</v>
      </c>
      <c r="D21" s="14" t="n">
        <v>100</v>
      </c>
      <c r="E21" s="14" t="n">
        <v>99</v>
      </c>
      <c r="F21" s="14" t="n">
        <v>100</v>
      </c>
      <c r="G21" s="14" t="n">
        <v>100</v>
      </c>
      <c r="H21" s="14" t="n">
        <v>100</v>
      </c>
      <c r="I21" s="14" t="n">
        <v>100</v>
      </c>
      <c r="J21" s="14" t="n">
        <v>100</v>
      </c>
      <c r="K21" s="9" t="n">
        <f aca="false">SUM(C21:J21)</f>
        <v>799</v>
      </c>
    </row>
    <row r="22" customFormat="false" ht="15" hidden="false" customHeight="false" outlineLevel="0" collapsed="false">
      <c r="A22" s="14" t="s">
        <v>56</v>
      </c>
      <c r="B22" s="14" t="s">
        <v>57</v>
      </c>
      <c r="C22" s="14" t="n">
        <v>44</v>
      </c>
      <c r="D22" s="14" t="n">
        <v>45</v>
      </c>
      <c r="E22" s="14" t="n">
        <v>44</v>
      </c>
      <c r="F22" s="14" t="n">
        <v>43</v>
      </c>
      <c r="G22" s="14" t="n">
        <v>44</v>
      </c>
      <c r="H22" s="14" t="n">
        <v>42</v>
      </c>
      <c r="I22" s="14" t="n">
        <v>42</v>
      </c>
      <c r="J22" s="14" t="n">
        <v>42</v>
      </c>
      <c r="K22" s="9" t="n">
        <f aca="false">SUM(C22:J22)</f>
        <v>346</v>
      </c>
    </row>
    <row r="23" customFormat="false" ht="15" hidden="false" customHeight="false" outlineLevel="0" collapsed="false">
      <c r="A23" s="14" t="s">
        <v>58</v>
      </c>
      <c r="B23" s="14" t="s">
        <v>59</v>
      </c>
      <c r="C23" s="14" t="n">
        <v>26</v>
      </c>
      <c r="D23" s="14" t="n">
        <v>26</v>
      </c>
      <c r="E23" s="14" t="n">
        <v>26</v>
      </c>
      <c r="F23" s="14" t="n">
        <v>25</v>
      </c>
      <c r="G23" s="14" t="n">
        <v>25</v>
      </c>
      <c r="H23" s="14" t="n">
        <v>25</v>
      </c>
      <c r="I23" s="14" t="n">
        <v>23</v>
      </c>
      <c r="J23" s="14" t="n">
        <v>22</v>
      </c>
      <c r="K23" s="9" t="n">
        <f aca="false">SUM(C23:J23)</f>
        <v>198</v>
      </c>
    </row>
    <row r="24" customFormat="false" ht="15" hidden="false" customHeight="false" outlineLevel="0" collapsed="false">
      <c r="A24" s="14" t="s">
        <v>60</v>
      </c>
      <c r="B24" s="14" t="s">
        <v>61</v>
      </c>
      <c r="C24" s="14" t="n">
        <v>31</v>
      </c>
      <c r="D24" s="14" t="n">
        <v>34</v>
      </c>
      <c r="E24" s="14" t="n">
        <v>35</v>
      </c>
      <c r="F24" s="14" t="n">
        <v>36</v>
      </c>
      <c r="G24" s="14" t="n">
        <v>36</v>
      </c>
      <c r="H24" s="14" t="n">
        <v>36</v>
      </c>
      <c r="I24" s="14" t="n">
        <v>36</v>
      </c>
      <c r="J24" s="14" t="n">
        <v>36</v>
      </c>
      <c r="K24" s="9" t="n">
        <f aca="false">SUM(C24:J24)</f>
        <v>280</v>
      </c>
    </row>
    <row r="25" customFormat="false" ht="15" hidden="false" customHeight="false" outlineLevel="0" collapsed="false">
      <c r="A25" s="14" t="s">
        <v>62</v>
      </c>
      <c r="B25" s="14" t="s">
        <v>63</v>
      </c>
      <c r="C25" s="14" t="n">
        <v>105</v>
      </c>
      <c r="D25" s="14" t="n">
        <v>104</v>
      </c>
      <c r="E25" s="14" t="n">
        <v>97</v>
      </c>
      <c r="F25" s="14" t="n">
        <v>92</v>
      </c>
      <c r="G25" s="14" t="n">
        <v>85</v>
      </c>
      <c r="H25" s="14" t="n">
        <v>84</v>
      </c>
      <c r="I25" s="14" t="n">
        <v>81</v>
      </c>
      <c r="J25" s="14" t="n">
        <v>80</v>
      </c>
      <c r="K25" s="9" t="n">
        <f aca="false">SUM(C25:J25)</f>
        <v>728</v>
      </c>
    </row>
    <row r="26" customFormat="false" ht="15" hidden="false" customHeight="false" outlineLevel="0" collapsed="false">
      <c r="A26" s="14" t="s">
        <v>64</v>
      </c>
      <c r="B26" s="14" t="s">
        <v>65</v>
      </c>
      <c r="C26" s="14" t="n">
        <v>49</v>
      </c>
      <c r="D26" s="14" t="n">
        <v>49</v>
      </c>
      <c r="E26" s="14" t="n">
        <v>49</v>
      </c>
      <c r="F26" s="14" t="n">
        <v>49</v>
      </c>
      <c r="G26" s="14" t="n">
        <v>49</v>
      </c>
      <c r="H26" s="14" t="n">
        <v>49</v>
      </c>
      <c r="I26" s="14" t="n">
        <v>49</v>
      </c>
      <c r="J26" s="14" t="n">
        <v>49</v>
      </c>
      <c r="K26" s="9" t="n">
        <f aca="false">SUM(C26:J26)</f>
        <v>392</v>
      </c>
    </row>
    <row r="27" customFormat="false" ht="15" hidden="false" customHeight="false" outlineLevel="0" collapsed="false">
      <c r="A27" s="14" t="s">
        <v>66</v>
      </c>
      <c r="B27" s="14" t="s">
        <v>67</v>
      </c>
      <c r="C27" s="14" t="n">
        <v>0</v>
      </c>
      <c r="D27" s="14" t="n">
        <v>0</v>
      </c>
      <c r="E27" s="14" t="n">
        <v>0</v>
      </c>
      <c r="F27" s="14" t="n">
        <v>203</v>
      </c>
      <c r="G27" s="14" t="n">
        <v>203</v>
      </c>
      <c r="H27" s="14" t="n">
        <v>203</v>
      </c>
      <c r="I27" s="14" t="n">
        <v>202</v>
      </c>
      <c r="J27" s="14" t="n">
        <v>202</v>
      </c>
      <c r="K27" s="9" t="n">
        <f aca="false">SUM(C27:J27)</f>
        <v>1013</v>
      </c>
    </row>
    <row r="28" customFormat="false" ht="15" hidden="false" customHeight="false" outlineLevel="0" collapsed="false">
      <c r="A28" s="14" t="s">
        <v>69</v>
      </c>
      <c r="B28" s="14" t="s">
        <v>70</v>
      </c>
      <c r="C28" s="14" t="n">
        <v>66</v>
      </c>
      <c r="D28" s="14" t="n">
        <v>66</v>
      </c>
      <c r="E28" s="14" t="n">
        <v>66</v>
      </c>
      <c r="F28" s="14" t="n">
        <v>66</v>
      </c>
      <c r="G28" s="14" t="n">
        <v>66</v>
      </c>
      <c r="H28" s="14" t="n">
        <v>66</v>
      </c>
      <c r="I28" s="14" t="n">
        <v>66</v>
      </c>
      <c r="J28" s="14" t="n">
        <v>66</v>
      </c>
      <c r="K28" s="9" t="n">
        <f aca="false">SUM(C28:J28)</f>
        <v>528</v>
      </c>
    </row>
    <row r="29" customFormat="false" ht="15" hidden="false" customHeight="false" outlineLevel="0" collapsed="false">
      <c r="A29" s="14" t="s">
        <v>71</v>
      </c>
      <c r="B29" s="14" t="s">
        <v>72</v>
      </c>
      <c r="C29" s="14" t="n">
        <v>59</v>
      </c>
      <c r="D29" s="14" t="n">
        <v>59</v>
      </c>
      <c r="E29" s="14" t="n">
        <v>59</v>
      </c>
      <c r="F29" s="14" t="n">
        <v>59</v>
      </c>
      <c r="G29" s="14" t="n">
        <v>59</v>
      </c>
      <c r="H29" s="14" t="n">
        <v>59</v>
      </c>
      <c r="I29" s="14" t="n">
        <v>59</v>
      </c>
      <c r="J29" s="14" t="n">
        <v>59</v>
      </c>
      <c r="K29" s="9" t="n">
        <f aca="false">SUM(C29:J29)</f>
        <v>472</v>
      </c>
    </row>
    <row r="30" customFormat="false" ht="15" hidden="false" customHeight="false" outlineLevel="0" collapsed="false">
      <c r="A30" s="14" t="s">
        <v>73</v>
      </c>
      <c r="B30" s="14" t="s">
        <v>74</v>
      </c>
      <c r="C30" s="14" t="n">
        <v>190</v>
      </c>
      <c r="D30" s="14" t="n">
        <v>192</v>
      </c>
      <c r="E30" s="14" t="n">
        <v>194</v>
      </c>
      <c r="F30" s="14" t="n">
        <v>192</v>
      </c>
      <c r="G30" s="14" t="n">
        <v>186</v>
      </c>
      <c r="H30" s="14" t="n">
        <v>188</v>
      </c>
      <c r="I30" s="14" t="n">
        <v>189</v>
      </c>
      <c r="J30" s="14" t="n">
        <v>165</v>
      </c>
      <c r="K30" s="9" t="n">
        <f aca="false">SUM(C30:J30)</f>
        <v>1496</v>
      </c>
    </row>
    <row r="31" customFormat="false" ht="15" hidden="false" customHeight="false" outlineLevel="0" collapsed="false">
      <c r="A31" s="14" t="s">
        <v>75</v>
      </c>
      <c r="B31" s="14" t="s">
        <v>76</v>
      </c>
      <c r="C31" s="14" t="n">
        <v>70</v>
      </c>
      <c r="D31" s="14" t="n">
        <v>70</v>
      </c>
      <c r="E31" s="14" t="n">
        <v>70</v>
      </c>
      <c r="F31" s="14" t="n">
        <v>70</v>
      </c>
      <c r="G31" s="14" t="n">
        <v>70</v>
      </c>
      <c r="H31" s="14" t="n">
        <v>70</v>
      </c>
      <c r="I31" s="14" t="n">
        <v>70</v>
      </c>
      <c r="J31" s="14" t="n">
        <v>70</v>
      </c>
      <c r="K31" s="9" t="n">
        <f aca="false">SUM(C31:J31)</f>
        <v>560</v>
      </c>
    </row>
    <row r="32" customFormat="false" ht="15" hidden="false" customHeight="false" outlineLevel="0" collapsed="false">
      <c r="A32" s="14" t="s">
        <v>78</v>
      </c>
      <c r="B32" s="14" t="s">
        <v>79</v>
      </c>
      <c r="C32" s="14" t="n">
        <v>89</v>
      </c>
      <c r="D32" s="14" t="n">
        <v>89</v>
      </c>
      <c r="E32" s="14" t="n">
        <v>89</v>
      </c>
      <c r="F32" s="14" t="n">
        <v>89</v>
      </c>
      <c r="G32" s="14" t="n">
        <v>89</v>
      </c>
      <c r="H32" s="14" t="n">
        <v>88</v>
      </c>
      <c r="I32" s="14" t="n">
        <v>87</v>
      </c>
      <c r="J32" s="14" t="n">
        <v>87</v>
      </c>
      <c r="K32" s="9" t="n">
        <f aca="false">SUM(C32:J32)</f>
        <v>707</v>
      </c>
    </row>
    <row r="33" customFormat="false" ht="15" hidden="false" customHeight="false" outlineLevel="0" collapsed="false">
      <c r="A33" s="14" t="s">
        <v>80</v>
      </c>
      <c r="B33" s="14" t="s">
        <v>81</v>
      </c>
      <c r="C33" s="14" t="n">
        <v>47</v>
      </c>
      <c r="D33" s="14" t="n">
        <v>46</v>
      </c>
      <c r="E33" s="14" t="n">
        <v>45</v>
      </c>
      <c r="F33" s="14" t="n">
        <v>45</v>
      </c>
      <c r="G33" s="14" t="n">
        <v>45</v>
      </c>
      <c r="H33" s="14" t="n">
        <v>45</v>
      </c>
      <c r="I33" s="14" t="n">
        <v>45</v>
      </c>
      <c r="J33" s="14" t="n">
        <v>45</v>
      </c>
      <c r="K33" s="9" t="n">
        <f aca="false">SUM(C33:J33)</f>
        <v>363</v>
      </c>
    </row>
    <row r="34" customFormat="false" ht="15" hidden="false" customHeight="false" outlineLevel="0" collapsed="false">
      <c r="A34" s="14" t="s">
        <v>83</v>
      </c>
      <c r="B34" s="14" t="s">
        <v>84</v>
      </c>
      <c r="C34" s="14" t="n">
        <v>42</v>
      </c>
      <c r="D34" s="14" t="n">
        <v>40</v>
      </c>
      <c r="E34" s="14" t="n">
        <v>40</v>
      </c>
      <c r="F34" s="14" t="n">
        <v>40</v>
      </c>
      <c r="G34" s="14" t="n">
        <v>39</v>
      </c>
      <c r="H34" s="14" t="n">
        <v>39</v>
      </c>
      <c r="I34" s="14" t="n">
        <v>39</v>
      </c>
      <c r="J34" s="14" t="n">
        <v>39</v>
      </c>
      <c r="K34" s="9" t="n">
        <f aca="false">SUM(C34:J34)</f>
        <v>318</v>
      </c>
    </row>
    <row r="35" customFormat="false" ht="15" hidden="false" customHeight="false" outlineLevel="0" collapsed="false">
      <c r="A35" s="14" t="s">
        <v>85</v>
      </c>
      <c r="B35" s="14" t="s">
        <v>86</v>
      </c>
      <c r="C35" s="14" t="n">
        <v>35</v>
      </c>
      <c r="D35" s="14" t="n">
        <v>34</v>
      </c>
      <c r="E35" s="14" t="n">
        <v>34</v>
      </c>
      <c r="F35" s="14" t="n">
        <v>35</v>
      </c>
      <c r="G35" s="14" t="n">
        <v>35</v>
      </c>
      <c r="H35" s="14" t="n">
        <v>37</v>
      </c>
      <c r="I35" s="14" t="n">
        <v>40</v>
      </c>
      <c r="J35" s="14" t="n">
        <v>40</v>
      </c>
      <c r="K35" s="9" t="n">
        <f aca="false">SUM(C35:J35)</f>
        <v>290</v>
      </c>
    </row>
    <row r="36" customFormat="false" ht="15" hidden="false" customHeight="false" outlineLevel="0" collapsed="false">
      <c r="A36" s="14" t="s">
        <v>87</v>
      </c>
      <c r="B36" s="14" t="s">
        <v>88</v>
      </c>
      <c r="C36" s="14" t="n">
        <v>34</v>
      </c>
      <c r="D36" s="14" t="n">
        <v>34</v>
      </c>
      <c r="E36" s="14" t="n">
        <v>34</v>
      </c>
      <c r="F36" s="14" t="n">
        <v>34</v>
      </c>
      <c r="G36" s="14" t="n">
        <v>33</v>
      </c>
      <c r="H36" s="14" t="n">
        <v>32</v>
      </c>
      <c r="I36" s="14" t="n">
        <v>32</v>
      </c>
      <c r="J36" s="14" t="n">
        <v>32</v>
      </c>
      <c r="K36" s="9" t="n">
        <f aca="false">SUM(C36:J36)</f>
        <v>265</v>
      </c>
    </row>
    <row r="37" customFormat="false" ht="15" hidden="false" customHeight="false" outlineLevel="0" collapsed="false">
      <c r="A37" s="14" t="s">
        <v>89</v>
      </c>
      <c r="B37" s="14" t="s">
        <v>90</v>
      </c>
      <c r="C37" s="14" t="n">
        <v>158</v>
      </c>
      <c r="D37" s="14" t="n">
        <v>160</v>
      </c>
      <c r="E37" s="14" t="n">
        <v>161</v>
      </c>
      <c r="F37" s="14" t="n">
        <v>160</v>
      </c>
      <c r="G37" s="14" t="n">
        <v>159</v>
      </c>
      <c r="H37" s="14" t="n">
        <v>159</v>
      </c>
      <c r="I37" s="14" t="n">
        <v>159</v>
      </c>
      <c r="J37" s="14" t="n">
        <v>139</v>
      </c>
      <c r="K37" s="9" t="n">
        <f aca="false">SUM(C37:J37)</f>
        <v>1255</v>
      </c>
    </row>
    <row r="38" customFormat="false" ht="15" hidden="false" customHeight="false" outlineLevel="0" collapsed="false">
      <c r="A38" s="14" t="s">
        <v>91</v>
      </c>
      <c r="B38" s="14" t="s">
        <v>92</v>
      </c>
      <c r="C38" s="14" t="n">
        <v>42</v>
      </c>
      <c r="D38" s="14" t="n">
        <v>41</v>
      </c>
      <c r="E38" s="14" t="n">
        <v>41</v>
      </c>
      <c r="F38" s="14" t="n">
        <v>39</v>
      </c>
      <c r="G38" s="14" t="n">
        <v>38</v>
      </c>
      <c r="H38" s="14" t="n">
        <v>38</v>
      </c>
      <c r="I38" s="14" t="n">
        <v>38</v>
      </c>
      <c r="J38" s="14" t="n">
        <v>38</v>
      </c>
      <c r="K38" s="9" t="n">
        <f aca="false">SUM(C38:J38)</f>
        <v>315</v>
      </c>
    </row>
    <row r="39" customFormat="false" ht="15" hidden="false" customHeight="false" outlineLevel="0" collapsed="false">
      <c r="A39" s="14" t="s">
        <v>93</v>
      </c>
      <c r="B39" s="14" t="s">
        <v>94</v>
      </c>
      <c r="C39" s="14" t="n">
        <v>74</v>
      </c>
      <c r="D39" s="14" t="n">
        <v>74</v>
      </c>
      <c r="E39" s="14" t="n">
        <v>68</v>
      </c>
      <c r="F39" s="14" t="n">
        <v>59</v>
      </c>
      <c r="G39" s="14" t="n">
        <v>58</v>
      </c>
      <c r="H39" s="14" t="n">
        <v>57</v>
      </c>
      <c r="I39" s="14" t="n">
        <v>59</v>
      </c>
      <c r="J39" s="14" t="n">
        <v>59</v>
      </c>
      <c r="K39" s="9" t="n">
        <f aca="false">SUM(C39:J39)</f>
        <v>508</v>
      </c>
    </row>
    <row r="40" customFormat="false" ht="15" hidden="false" customHeight="false" outlineLevel="0" collapsed="false">
      <c r="A40" s="14" t="s">
        <v>95</v>
      </c>
      <c r="B40" s="14" t="s">
        <v>96</v>
      </c>
      <c r="C40" s="14" t="n">
        <v>81</v>
      </c>
      <c r="D40" s="14" t="n">
        <v>81</v>
      </c>
      <c r="E40" s="14" t="n">
        <v>81</v>
      </c>
      <c r="F40" s="14" t="n">
        <v>81</v>
      </c>
      <c r="G40" s="14" t="n">
        <v>81</v>
      </c>
      <c r="H40" s="14" t="n">
        <v>81</v>
      </c>
      <c r="I40" s="14" t="n">
        <v>81</v>
      </c>
      <c r="J40" s="14" t="n">
        <v>81</v>
      </c>
      <c r="K40" s="9" t="n">
        <f aca="false">SUM(C40:J40)</f>
        <v>648</v>
      </c>
    </row>
    <row r="41" customFormat="false" ht="15" hidden="false" customHeight="false" outlineLevel="0" collapsed="false">
      <c r="A41" s="14" t="s">
        <v>97</v>
      </c>
      <c r="B41" s="14" t="s">
        <v>98</v>
      </c>
      <c r="C41" s="14" t="n">
        <v>0</v>
      </c>
      <c r="D41" s="14" t="n">
        <v>0</v>
      </c>
      <c r="E41" s="14" t="n">
        <v>393</v>
      </c>
      <c r="F41" s="14" t="n">
        <v>393</v>
      </c>
      <c r="G41" s="14" t="n">
        <v>393</v>
      </c>
      <c r="H41" s="14" t="n">
        <v>393</v>
      </c>
      <c r="I41" s="14" t="n">
        <v>394</v>
      </c>
      <c r="J41" s="14" t="n">
        <v>394</v>
      </c>
      <c r="K41" s="9" t="n">
        <f aca="false">SUM(C41:J41)</f>
        <v>2360</v>
      </c>
    </row>
    <row r="42" customFormat="false" ht="15" hidden="false" customHeight="false" outlineLevel="0" collapsed="false">
      <c r="A42" s="14" t="s">
        <v>100</v>
      </c>
      <c r="B42" s="14" t="s">
        <v>101</v>
      </c>
      <c r="C42" s="14" t="n">
        <v>42</v>
      </c>
      <c r="D42" s="14" t="n">
        <v>44</v>
      </c>
      <c r="E42" s="14" t="n">
        <v>44</v>
      </c>
      <c r="F42" s="14" t="n">
        <v>44</v>
      </c>
      <c r="G42" s="14" t="n">
        <v>44</v>
      </c>
      <c r="H42" s="14" t="n">
        <v>44</v>
      </c>
      <c r="I42" s="14" t="n">
        <v>44</v>
      </c>
      <c r="J42" s="14" t="n">
        <v>44</v>
      </c>
      <c r="K42" s="9" t="n">
        <f aca="false">SUM(C42:J42)</f>
        <v>350</v>
      </c>
    </row>
    <row r="43" customFormat="false" ht="15" hidden="false" customHeight="false" outlineLevel="0" collapsed="false">
      <c r="A43" s="14" t="s">
        <v>102</v>
      </c>
      <c r="B43" s="14" t="s">
        <v>103</v>
      </c>
      <c r="C43" s="14" t="n">
        <v>169</v>
      </c>
      <c r="D43" s="14" t="n">
        <v>167</v>
      </c>
      <c r="E43" s="14" t="n">
        <v>175</v>
      </c>
      <c r="F43" s="14" t="n">
        <v>173</v>
      </c>
      <c r="G43" s="14" t="n">
        <v>173</v>
      </c>
      <c r="H43" s="14" t="n">
        <v>172</v>
      </c>
      <c r="I43" s="14" t="n">
        <v>169</v>
      </c>
      <c r="J43" s="14" t="n">
        <v>156</v>
      </c>
      <c r="K43" s="9" t="n">
        <f aca="false">SUM(C43:J43)</f>
        <v>1354</v>
      </c>
    </row>
    <row r="44" customFormat="false" ht="15" hidden="false" customHeight="false" outlineLevel="0" collapsed="false">
      <c r="A44" s="14" t="s">
        <v>104</v>
      </c>
      <c r="B44" s="14" t="s">
        <v>105</v>
      </c>
      <c r="C44" s="14" t="n">
        <v>163</v>
      </c>
      <c r="D44" s="14" t="n">
        <v>163</v>
      </c>
      <c r="E44" s="14" t="n">
        <v>163</v>
      </c>
      <c r="F44" s="14" t="n">
        <v>163</v>
      </c>
      <c r="G44" s="14" t="n">
        <v>163</v>
      </c>
      <c r="H44" s="14" t="n">
        <v>163</v>
      </c>
      <c r="I44" s="14" t="n">
        <v>163</v>
      </c>
      <c r="J44" s="14" t="n">
        <v>163</v>
      </c>
      <c r="K44" s="9" t="n">
        <f aca="false">SUM(C44:J44)</f>
        <v>1304</v>
      </c>
    </row>
    <row r="45" customFormat="false" ht="15" hidden="false" customHeight="false" outlineLevel="0" collapsed="false">
      <c r="A45" s="14" t="s">
        <v>106</v>
      </c>
      <c r="B45" s="14" t="s">
        <v>107</v>
      </c>
      <c r="C45" s="14" t="n">
        <v>29</v>
      </c>
      <c r="D45" s="14" t="n">
        <v>30</v>
      </c>
      <c r="E45" s="14" t="n">
        <v>31</v>
      </c>
      <c r="F45" s="14" t="n">
        <v>31</v>
      </c>
      <c r="G45" s="14" t="n">
        <v>31</v>
      </c>
      <c r="H45" s="14" t="n">
        <v>30</v>
      </c>
      <c r="I45" s="14" t="n">
        <v>30</v>
      </c>
      <c r="J45" s="14" t="n">
        <v>30</v>
      </c>
      <c r="K45" s="9" t="n">
        <f aca="false">SUM(C45:J45)</f>
        <v>242</v>
      </c>
    </row>
    <row r="46" customFormat="false" ht="15" hidden="false" customHeight="false" outlineLevel="0" collapsed="false">
      <c r="A46" s="14" t="s">
        <v>108</v>
      </c>
      <c r="B46" s="14" t="s">
        <v>109</v>
      </c>
      <c r="C46" s="14" t="n">
        <v>93</v>
      </c>
      <c r="D46" s="14" t="n">
        <v>94</v>
      </c>
      <c r="E46" s="14" t="n">
        <v>93</v>
      </c>
      <c r="F46" s="14" t="n">
        <v>95</v>
      </c>
      <c r="G46" s="14" t="n">
        <v>91</v>
      </c>
      <c r="H46" s="14" t="n">
        <v>88</v>
      </c>
      <c r="I46" s="14" t="n">
        <v>85</v>
      </c>
      <c r="J46" s="14" t="n">
        <v>84</v>
      </c>
      <c r="K46" s="9" t="n">
        <f aca="false">SUM(C46:J46)</f>
        <v>723</v>
      </c>
    </row>
    <row r="47" customFormat="false" ht="15" hidden="false" customHeight="false" outlineLevel="0" collapsed="false">
      <c r="A47" s="14" t="s">
        <v>110</v>
      </c>
      <c r="B47" s="14" t="s">
        <v>111</v>
      </c>
      <c r="C47" s="14" t="n">
        <v>162</v>
      </c>
      <c r="D47" s="14" t="n">
        <v>161</v>
      </c>
      <c r="E47" s="14" t="n">
        <v>161</v>
      </c>
      <c r="F47" s="14" t="n">
        <v>161</v>
      </c>
      <c r="G47" s="14" t="n">
        <v>161</v>
      </c>
      <c r="H47" s="14" t="n">
        <v>161</v>
      </c>
      <c r="I47" s="14" t="n">
        <v>160</v>
      </c>
      <c r="J47" s="14" t="n">
        <v>158</v>
      </c>
      <c r="K47" s="9" t="n">
        <f aca="false">SUM(C47:J47)</f>
        <v>1285</v>
      </c>
    </row>
    <row r="48" customFormat="false" ht="15" hidden="false" customHeight="false" outlineLevel="0" collapsed="false">
      <c r="A48" s="14" t="s">
        <v>112</v>
      </c>
      <c r="B48" s="14" t="s">
        <v>113</v>
      </c>
      <c r="C48" s="14" t="n">
        <v>37</v>
      </c>
      <c r="D48" s="14" t="n">
        <v>37</v>
      </c>
      <c r="E48" s="14" t="n">
        <v>37</v>
      </c>
      <c r="F48" s="14" t="n">
        <v>37</v>
      </c>
      <c r="G48" s="14" t="n">
        <v>37</v>
      </c>
      <c r="H48" s="14" t="n">
        <v>37</v>
      </c>
      <c r="I48" s="14" t="n">
        <v>37</v>
      </c>
      <c r="J48" s="14" t="n">
        <v>37</v>
      </c>
      <c r="K48" s="9" t="n">
        <f aca="false">SUM(C48:J48)</f>
        <v>296</v>
      </c>
    </row>
    <row r="49" customFormat="false" ht="15" hidden="false" customHeight="false" outlineLevel="0" collapsed="false">
      <c r="A49" s="14" t="s">
        <v>114</v>
      </c>
      <c r="B49" s="14" t="s">
        <v>115</v>
      </c>
      <c r="C49" s="14" t="n">
        <v>70</v>
      </c>
      <c r="D49" s="14" t="n">
        <v>70</v>
      </c>
      <c r="E49" s="14" t="n">
        <v>67</v>
      </c>
      <c r="F49" s="14" t="n">
        <v>63</v>
      </c>
      <c r="G49" s="14" t="n">
        <v>57</v>
      </c>
      <c r="H49" s="14" t="n">
        <v>57</v>
      </c>
      <c r="I49" s="14" t="n">
        <v>57</v>
      </c>
      <c r="J49" s="14" t="n">
        <v>53</v>
      </c>
      <c r="K49" s="9" t="n">
        <f aca="false">SUM(C49:J49)</f>
        <v>494</v>
      </c>
    </row>
    <row r="50" customFormat="false" ht="15" hidden="false" customHeight="false" outlineLevel="0" collapsed="false">
      <c r="A50" s="14" t="s">
        <v>117</v>
      </c>
      <c r="B50" s="14" t="s">
        <v>118</v>
      </c>
      <c r="C50" s="14" t="n">
        <v>20</v>
      </c>
      <c r="D50" s="14" t="n">
        <v>19</v>
      </c>
      <c r="E50" s="14" t="n">
        <v>5</v>
      </c>
      <c r="F50" s="14" t="n">
        <v>5</v>
      </c>
      <c r="G50" s="14" t="n">
        <v>5</v>
      </c>
      <c r="H50" s="14" t="n">
        <v>5</v>
      </c>
      <c r="I50" s="14" t="n">
        <v>5</v>
      </c>
      <c r="J50" s="14" t="n">
        <v>5</v>
      </c>
      <c r="K50" s="9" t="n">
        <f aca="false">SUM(C50:J50)</f>
        <v>69</v>
      </c>
    </row>
    <row r="51" customFormat="false" ht="15" hidden="false" customHeight="false" outlineLevel="0" collapsed="false">
      <c r="A51" s="14" t="s">
        <v>119</v>
      </c>
      <c r="B51" s="14" t="s">
        <v>120</v>
      </c>
      <c r="C51" s="14" t="n">
        <v>109</v>
      </c>
      <c r="D51" s="14" t="n">
        <v>108</v>
      </c>
      <c r="E51" s="14" t="n">
        <v>108</v>
      </c>
      <c r="F51" s="14" t="n">
        <v>108</v>
      </c>
      <c r="G51" s="14" t="n">
        <v>105</v>
      </c>
      <c r="H51" s="14" t="n">
        <v>105</v>
      </c>
      <c r="I51" s="14" t="n">
        <v>106</v>
      </c>
      <c r="J51" s="14" t="n">
        <v>106</v>
      </c>
      <c r="K51" s="9" t="n">
        <f aca="false">SUM(C51:J51)</f>
        <v>855</v>
      </c>
    </row>
    <row r="52" customFormat="false" ht="15" hidden="false" customHeight="false" outlineLevel="0" collapsed="false">
      <c r="A52" s="14" t="s">
        <v>121</v>
      </c>
      <c r="B52" s="14" t="s">
        <v>122</v>
      </c>
      <c r="C52" s="14" t="n">
        <v>80</v>
      </c>
      <c r="D52" s="14" t="n">
        <v>81</v>
      </c>
      <c r="E52" s="14" t="n">
        <v>77</v>
      </c>
      <c r="F52" s="14" t="n">
        <v>76</v>
      </c>
      <c r="G52" s="14" t="n">
        <v>77</v>
      </c>
      <c r="H52" s="14" t="n">
        <v>77</v>
      </c>
      <c r="I52" s="14" t="n">
        <v>75</v>
      </c>
      <c r="J52" s="14" t="n">
        <v>75</v>
      </c>
      <c r="K52" s="9" t="n">
        <f aca="false">SUM(C52:J52)</f>
        <v>618</v>
      </c>
    </row>
    <row r="53" customFormat="false" ht="15" hidden="false" customHeight="false" outlineLevel="0" collapsed="false">
      <c r="A53" s="14" t="s">
        <v>123</v>
      </c>
      <c r="B53" s="14" t="s">
        <v>124</v>
      </c>
      <c r="C53" s="14" t="n">
        <v>69</v>
      </c>
      <c r="D53" s="14" t="n">
        <v>69</v>
      </c>
      <c r="E53" s="14" t="n">
        <v>69</v>
      </c>
      <c r="F53" s="14" t="n">
        <v>69</v>
      </c>
      <c r="G53" s="14" t="n">
        <v>68</v>
      </c>
      <c r="H53" s="14" t="n">
        <v>65</v>
      </c>
      <c r="I53" s="14" t="n">
        <v>66</v>
      </c>
      <c r="J53" s="14" t="n">
        <v>66</v>
      </c>
      <c r="K53" s="9" t="n">
        <f aca="false">SUM(C53:J53)</f>
        <v>541</v>
      </c>
    </row>
    <row r="54" customFormat="false" ht="15" hidden="false" customHeight="false" outlineLevel="0" collapsed="false">
      <c r="A54" s="14" t="s">
        <v>125</v>
      </c>
      <c r="B54" s="14" t="s">
        <v>126</v>
      </c>
      <c r="C54" s="14" t="n">
        <v>59</v>
      </c>
      <c r="D54" s="14" t="n">
        <v>59</v>
      </c>
      <c r="E54" s="14" t="n">
        <v>60</v>
      </c>
      <c r="F54" s="14" t="n">
        <v>60</v>
      </c>
      <c r="G54" s="14" t="n">
        <v>60</v>
      </c>
      <c r="H54" s="14" t="n">
        <v>59</v>
      </c>
      <c r="I54" s="14" t="n">
        <v>59</v>
      </c>
      <c r="J54" s="14" t="n">
        <v>60</v>
      </c>
      <c r="K54" s="9" t="n">
        <f aca="false">SUM(C54:J54)</f>
        <v>476</v>
      </c>
    </row>
    <row r="55" customFormat="false" ht="15" hidden="false" customHeight="false" outlineLevel="0" collapsed="false">
      <c r="A55" s="14" t="s">
        <v>127</v>
      </c>
      <c r="B55" s="14" t="s">
        <v>128</v>
      </c>
      <c r="C55" s="14" t="n">
        <v>144</v>
      </c>
      <c r="D55" s="14" t="n">
        <v>143</v>
      </c>
      <c r="E55" s="14" t="n">
        <v>144</v>
      </c>
      <c r="F55" s="14" t="n">
        <v>140</v>
      </c>
      <c r="G55" s="14" t="n">
        <v>140</v>
      </c>
      <c r="H55" s="14" t="n">
        <v>137</v>
      </c>
      <c r="I55" s="14" t="n">
        <v>133</v>
      </c>
      <c r="J55" s="14" t="n">
        <v>129</v>
      </c>
      <c r="K55" s="9" t="n">
        <f aca="false">SUM(C55:J55)</f>
        <v>1110</v>
      </c>
    </row>
    <row r="56" customFormat="false" ht="15" hidden="false" customHeight="false" outlineLevel="0" collapsed="false">
      <c r="A56" s="14" t="s">
        <v>129</v>
      </c>
      <c r="B56" s="14" t="s">
        <v>130</v>
      </c>
      <c r="C56" s="14" t="n">
        <v>36</v>
      </c>
      <c r="D56" s="14" t="n">
        <v>36</v>
      </c>
      <c r="E56" s="14" t="n">
        <v>36</v>
      </c>
      <c r="F56" s="14" t="n">
        <v>36</v>
      </c>
      <c r="G56" s="14" t="n">
        <v>36</v>
      </c>
      <c r="H56" s="14" t="n">
        <v>36</v>
      </c>
      <c r="I56" s="14" t="n">
        <v>36</v>
      </c>
      <c r="J56" s="14" t="n">
        <v>36</v>
      </c>
      <c r="K56" s="9" t="n">
        <f aca="false">SUM(C56:J56)</f>
        <v>288</v>
      </c>
    </row>
    <row r="57" customFormat="false" ht="15" hidden="false" customHeight="false" outlineLevel="0" collapsed="false">
      <c r="A57" s="14" t="s">
        <v>131</v>
      </c>
      <c r="B57" s="14" t="s">
        <v>132</v>
      </c>
      <c r="C57" s="14" t="n">
        <v>232</v>
      </c>
      <c r="D57" s="14" t="n">
        <v>232</v>
      </c>
      <c r="E57" s="14" t="n">
        <v>232</v>
      </c>
      <c r="F57" s="14" t="n">
        <v>224</v>
      </c>
      <c r="G57" s="14" t="n">
        <v>223</v>
      </c>
      <c r="H57" s="14" t="n">
        <v>223</v>
      </c>
      <c r="I57" s="14" t="n">
        <v>222</v>
      </c>
      <c r="J57" s="14" t="n">
        <v>208</v>
      </c>
      <c r="K57" s="9" t="n">
        <f aca="false">SUM(C57:J57)</f>
        <v>1796</v>
      </c>
    </row>
    <row r="58" customFormat="false" ht="15" hidden="false" customHeight="false" outlineLevel="0" collapsed="false">
      <c r="A58" s="14" t="s">
        <v>133</v>
      </c>
      <c r="B58" s="14" t="s">
        <v>134</v>
      </c>
      <c r="C58" s="14" t="n">
        <v>174</v>
      </c>
      <c r="D58" s="14" t="n">
        <v>174</v>
      </c>
      <c r="E58" s="14" t="n">
        <v>172</v>
      </c>
      <c r="F58" s="14" t="n">
        <v>168</v>
      </c>
      <c r="G58" s="14" t="n">
        <v>168</v>
      </c>
      <c r="H58" s="14" t="n">
        <v>167</v>
      </c>
      <c r="I58" s="14" t="n">
        <v>167</v>
      </c>
      <c r="J58" s="14" t="n">
        <v>165</v>
      </c>
      <c r="K58" s="9" t="n">
        <f aca="false">SUM(C58:J58)</f>
        <v>1355</v>
      </c>
    </row>
    <row r="59" customFormat="false" ht="15" hidden="false" customHeight="false" outlineLevel="0" collapsed="false">
      <c r="A59" s="14" t="s">
        <v>135</v>
      </c>
      <c r="B59" s="14" t="s">
        <v>136</v>
      </c>
      <c r="C59" s="14" t="n">
        <v>39</v>
      </c>
      <c r="D59" s="14" t="n">
        <v>41</v>
      </c>
      <c r="E59" s="14" t="n">
        <v>40</v>
      </c>
      <c r="F59" s="14" t="n">
        <v>40</v>
      </c>
      <c r="G59" s="14" t="n">
        <v>40</v>
      </c>
      <c r="H59" s="14" t="n">
        <v>40</v>
      </c>
      <c r="I59" s="14" t="n">
        <v>40</v>
      </c>
      <c r="J59" s="14" t="n">
        <v>40</v>
      </c>
      <c r="K59" s="9" t="n">
        <f aca="false">SUM(C59:J59)</f>
        <v>320</v>
      </c>
    </row>
    <row r="60" customFormat="false" ht="15" hidden="false" customHeight="false" outlineLevel="0" collapsed="false">
      <c r="A60" s="14" t="s">
        <v>137</v>
      </c>
      <c r="B60" s="14" t="s">
        <v>138</v>
      </c>
      <c r="C60" s="14" t="n">
        <v>53</v>
      </c>
      <c r="D60" s="14" t="n">
        <v>53</v>
      </c>
      <c r="E60" s="14" t="n">
        <v>53</v>
      </c>
      <c r="F60" s="14" t="n">
        <v>53</v>
      </c>
      <c r="G60" s="14" t="n">
        <v>53</v>
      </c>
      <c r="H60" s="14" t="n">
        <v>53</v>
      </c>
      <c r="I60" s="14" t="n">
        <v>53</v>
      </c>
      <c r="J60" s="14" t="n">
        <v>53</v>
      </c>
      <c r="K60" s="9" t="n">
        <f aca="false">SUM(C60:J60)</f>
        <v>424</v>
      </c>
    </row>
    <row r="61" customFormat="false" ht="15" hidden="false" customHeight="false" outlineLevel="0" collapsed="false">
      <c r="A61" s="14" t="s">
        <v>139</v>
      </c>
      <c r="B61" s="14" t="s">
        <v>140</v>
      </c>
      <c r="C61" s="14" t="n">
        <v>165</v>
      </c>
      <c r="D61" s="14" t="n">
        <v>127</v>
      </c>
      <c r="E61" s="14" t="n">
        <v>127</v>
      </c>
      <c r="F61" s="14" t="n">
        <v>128</v>
      </c>
      <c r="G61" s="14" t="n">
        <v>128</v>
      </c>
      <c r="H61" s="14" t="n">
        <v>128</v>
      </c>
      <c r="I61" s="14" t="n">
        <v>127</v>
      </c>
      <c r="J61" s="14" t="n">
        <v>127</v>
      </c>
      <c r="K61" s="9" t="n">
        <f aca="false">SUM(C61:J61)</f>
        <v>1057</v>
      </c>
    </row>
    <row r="62" customFormat="false" ht="15" hidden="false" customHeight="false" outlineLevel="0" collapsed="false">
      <c r="A62" s="14" t="s">
        <v>141</v>
      </c>
      <c r="B62" s="14" t="s">
        <v>142</v>
      </c>
      <c r="C62" s="14" t="n">
        <v>138</v>
      </c>
      <c r="D62" s="14" t="n">
        <v>140</v>
      </c>
      <c r="E62" s="14" t="n">
        <v>137</v>
      </c>
      <c r="F62" s="14" t="n">
        <v>135</v>
      </c>
      <c r="G62" s="14" t="n">
        <v>135</v>
      </c>
      <c r="H62" s="14" t="n">
        <v>135</v>
      </c>
      <c r="I62" s="14" t="n">
        <v>135</v>
      </c>
      <c r="J62" s="14" t="n">
        <v>137</v>
      </c>
      <c r="K62" s="9" t="n">
        <f aca="false">SUM(C62:J62)</f>
        <v>1092</v>
      </c>
    </row>
    <row r="63" customFormat="false" ht="15" hidden="false" customHeight="false" outlineLevel="0" collapsed="false">
      <c r="A63" s="14" t="s">
        <v>143</v>
      </c>
      <c r="B63" s="14" t="s">
        <v>144</v>
      </c>
      <c r="C63" s="14" t="n">
        <v>43</v>
      </c>
      <c r="D63" s="14" t="n">
        <v>42</v>
      </c>
      <c r="E63" s="14" t="n">
        <v>41</v>
      </c>
      <c r="F63" s="14" t="n">
        <v>41</v>
      </c>
      <c r="G63" s="14" t="n">
        <v>40</v>
      </c>
      <c r="H63" s="14" t="n">
        <v>40</v>
      </c>
      <c r="I63" s="14" t="n">
        <v>40</v>
      </c>
      <c r="J63" s="14" t="n">
        <v>39</v>
      </c>
      <c r="K63" s="9" t="n">
        <f aca="false">SUM(C63:J63)</f>
        <v>326</v>
      </c>
    </row>
    <row r="64" customFormat="false" ht="15" hidden="false" customHeight="false" outlineLevel="0" collapsed="false">
      <c r="A64" s="9" t="s">
        <v>145</v>
      </c>
      <c r="C64" s="9" t="n">
        <f aca="false">SUM(C2:C63)</f>
        <v>4680</v>
      </c>
      <c r="D64" s="9" t="n">
        <f aca="false">SUM(D2:D63)</f>
        <v>4648</v>
      </c>
      <c r="E64" s="9" t="n">
        <f aca="false">SUM(E2:E63)</f>
        <v>4992</v>
      </c>
      <c r="F64" s="9" t="n">
        <f aca="false">SUM(F2:F63)</f>
        <v>5144</v>
      </c>
      <c r="G64" s="9" t="n">
        <f aca="false">SUM(G2:G63)</f>
        <v>5112</v>
      </c>
      <c r="H64" s="9" t="n">
        <f aca="false">SUM(H2:H63)</f>
        <v>5088</v>
      </c>
      <c r="I64" s="9" t="n">
        <f aca="false">SUM(I2:I63)</f>
        <v>5073</v>
      </c>
      <c r="J64" s="9" t="n">
        <f aca="false">SUM(J2:J63)</f>
        <v>4975</v>
      </c>
      <c r="K64" s="9" t="n">
        <f aca="false">SUM(K2:K63)</f>
        <v>39712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1"/>
    <col collapsed="false" customWidth="true" hidden="false" outlineLevel="0" max="12" min="11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</row>
    <row r="2" customFormat="false" ht="15" hidden="false" customHeight="false" outlineLevel="0" collapsed="false">
      <c r="A2" s="14" t="s">
        <v>13</v>
      </c>
      <c r="B2" s="14" t="s">
        <v>14</v>
      </c>
      <c r="C2" s="15" t="n">
        <v>0</v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0" t="n">
        <f aca="false">SUM(C2:J2)</f>
        <v>0</v>
      </c>
      <c r="L2" s="12" t="n">
        <f aca="false">IFERROR(K2/'Occupied Lots'!K2,0)</f>
        <v>0</v>
      </c>
    </row>
    <row r="3" customFormat="false" ht="15" hidden="false" customHeight="false" outlineLevel="0" collapsed="false">
      <c r="A3" s="14" t="s">
        <v>16</v>
      </c>
      <c r="B3" s="14" t="s">
        <v>17</v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0" t="n">
        <f aca="false">SUM(C3:J3)</f>
        <v>0</v>
      </c>
      <c r="L3" s="12" t="n">
        <f aca="false">IFERROR(K3/'Occupied Lots'!K3,0)</f>
        <v>0</v>
      </c>
    </row>
    <row r="4" customFormat="false" ht="15" hidden="false" customHeight="false" outlineLevel="0" collapsed="false">
      <c r="A4" s="14" t="s">
        <v>19</v>
      </c>
      <c r="B4" s="14" t="s">
        <v>20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0" t="n">
        <f aca="false">SUM(C4:J4)</f>
        <v>0</v>
      </c>
      <c r="L4" s="12" t="n">
        <f aca="false">IFERROR(K4/'Occupied Lots'!K4,0)</f>
        <v>0</v>
      </c>
    </row>
    <row r="5" customFormat="false" ht="15" hidden="false" customHeight="false" outlineLevel="0" collapsed="false">
      <c r="A5" s="14" t="s">
        <v>21</v>
      </c>
      <c r="B5" s="14" t="s">
        <v>22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0" t="n">
        <f aca="false">SUM(C5:J5)</f>
        <v>0</v>
      </c>
      <c r="L5" s="12" t="n">
        <f aca="false">IFERROR(K5/'Occupied Lots'!K5,0)</f>
        <v>0</v>
      </c>
    </row>
    <row r="6" customFormat="false" ht="15" hidden="false" customHeight="false" outlineLevel="0" collapsed="false">
      <c r="A6" s="14" t="s">
        <v>23</v>
      </c>
      <c r="B6" s="14" t="s">
        <v>24</v>
      </c>
      <c r="C6" s="15" t="n">
        <v>6602.6</v>
      </c>
      <c r="D6" s="15" t="n">
        <v>0</v>
      </c>
      <c r="E6" s="15" t="n">
        <v>4919.96</v>
      </c>
      <c r="F6" s="15" t="n">
        <v>0</v>
      </c>
      <c r="G6" s="15" t="n">
        <v>4179.91</v>
      </c>
      <c r="H6" s="15" t="n">
        <v>0</v>
      </c>
      <c r="I6" s="15" t="n">
        <v>6004.3</v>
      </c>
      <c r="J6" s="15" t="n">
        <v>0</v>
      </c>
      <c r="K6" s="10" t="n">
        <f aca="false">SUM(C6:J6)</f>
        <v>21706.77</v>
      </c>
      <c r="L6" s="12" t="n">
        <f aca="false">IFERROR(K6/'Occupied Lots'!K6,0)</f>
        <v>49.4459453302961</v>
      </c>
    </row>
    <row r="7" customFormat="false" ht="15" hidden="false" customHeight="false" outlineLevel="0" collapsed="false">
      <c r="A7" s="14" t="s">
        <v>25</v>
      </c>
      <c r="B7" s="14" t="s">
        <v>26</v>
      </c>
      <c r="C7" s="15" t="n">
        <v>314.14</v>
      </c>
      <c r="D7" s="15" t="n">
        <v>81.24</v>
      </c>
      <c r="E7" s="15" t="n">
        <v>229.41</v>
      </c>
      <c r="F7" s="15" t="n">
        <v>336.43</v>
      </c>
      <c r="G7" s="15" t="n">
        <v>277.62</v>
      </c>
      <c r="H7" s="15" t="n">
        <v>253.07</v>
      </c>
      <c r="I7" s="15" t="n">
        <v>319.6</v>
      </c>
      <c r="J7" s="15" t="n">
        <v>389.2</v>
      </c>
      <c r="K7" s="10" t="n">
        <f aca="false">SUM(C7:J7)</f>
        <v>2200.71</v>
      </c>
      <c r="L7" s="12" t="n">
        <f aca="false">IFERROR(K7/'Occupied Lots'!K7,0)</f>
        <v>5.52942211055276</v>
      </c>
    </row>
    <row r="8" customFormat="false" ht="15" hidden="false" customHeight="false" outlineLevel="0" collapsed="false">
      <c r="A8" s="14" t="s">
        <v>27</v>
      </c>
      <c r="B8" s="14" t="s">
        <v>28</v>
      </c>
      <c r="C8" s="15" t="n">
        <v>0</v>
      </c>
      <c r="D8" s="15" t="n">
        <v>1687.5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1687.5</v>
      </c>
      <c r="J8" s="15" t="n">
        <v>0</v>
      </c>
      <c r="K8" s="10" t="n">
        <f aca="false">SUM(C8:J8)</f>
        <v>3375</v>
      </c>
      <c r="L8" s="12" t="n">
        <f aca="false">IFERROR(K8/'Occupied Lots'!K8,0)</f>
        <v>5.57851239669422</v>
      </c>
    </row>
    <row r="9" customFormat="false" ht="15" hidden="false" customHeight="false" outlineLevel="0" collapsed="false">
      <c r="A9" s="14" t="s">
        <v>29</v>
      </c>
      <c r="B9" s="14" t="s">
        <v>30</v>
      </c>
      <c r="C9" s="15" t="n">
        <v>0</v>
      </c>
      <c r="D9" s="15" t="n">
        <v>1908.85</v>
      </c>
      <c r="E9" s="15" t="n">
        <v>115.63</v>
      </c>
      <c r="F9" s="15" t="n">
        <v>231.26</v>
      </c>
      <c r="G9" s="15" t="n">
        <v>0</v>
      </c>
      <c r="H9" s="15" t="n">
        <v>115.63</v>
      </c>
      <c r="I9" s="15" t="n">
        <v>14885.1</v>
      </c>
      <c r="J9" s="15" t="n">
        <v>4118</v>
      </c>
      <c r="K9" s="10" t="n">
        <f aca="false">SUM(C9:J9)</f>
        <v>21374.47</v>
      </c>
      <c r="L9" s="12" t="n">
        <f aca="false">IFERROR(K9/'Occupied Lots'!K9,0)</f>
        <v>46.5674727668845</v>
      </c>
    </row>
    <row r="10" customFormat="false" ht="15" hidden="false" customHeight="false" outlineLevel="0" collapsed="false">
      <c r="A10" s="14" t="s">
        <v>31</v>
      </c>
      <c r="B10" s="14" t="s">
        <v>32</v>
      </c>
      <c r="C10" s="15" t="n">
        <v>1143.29</v>
      </c>
      <c r="D10" s="15" t="n">
        <v>1210.27</v>
      </c>
      <c r="E10" s="15" t="n">
        <v>1198.45</v>
      </c>
      <c r="F10" s="15" t="n">
        <v>1267.4</v>
      </c>
      <c r="G10" s="15" t="n">
        <v>1119.65</v>
      </c>
      <c r="H10" s="15" t="n">
        <v>0</v>
      </c>
      <c r="I10" s="15" t="n">
        <v>1206.33</v>
      </c>
      <c r="J10" s="15" t="n">
        <v>0</v>
      </c>
      <c r="K10" s="10" t="n">
        <f aca="false">SUM(C10:J10)</f>
        <v>7145.39</v>
      </c>
      <c r="L10" s="12" t="n">
        <f aca="false">IFERROR(K10/'Occupied Lots'!K10,0)</f>
        <v>28.8120564516129</v>
      </c>
    </row>
    <row r="11" customFormat="false" ht="15" hidden="false" customHeight="false" outlineLevel="0" collapsed="false">
      <c r="A11" s="14" t="s">
        <v>34</v>
      </c>
      <c r="B11" s="14" t="s">
        <v>35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0" t="n">
        <f aca="false">SUM(C11:J11)</f>
        <v>0</v>
      </c>
      <c r="L11" s="12" t="n">
        <f aca="false">IFERROR(K11/'Occupied Lots'!K11,0)</f>
        <v>0</v>
      </c>
    </row>
    <row r="12" customFormat="false" ht="15" hidden="false" customHeight="false" outlineLevel="0" collapsed="false">
      <c r="A12" s="14" t="s">
        <v>36</v>
      </c>
      <c r="B12" s="14" t="s">
        <v>37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0" t="n">
        <f aca="false">SUM(C12:J12)</f>
        <v>0</v>
      </c>
      <c r="L12" s="12" t="n">
        <f aca="false">IFERROR(K12/'Occupied Lots'!K12,0)</f>
        <v>0</v>
      </c>
    </row>
    <row r="13" customFormat="false" ht="15" hidden="false" customHeight="false" outlineLevel="0" collapsed="false">
      <c r="A13" s="14" t="s">
        <v>38</v>
      </c>
      <c r="B13" s="14" t="s">
        <v>39</v>
      </c>
      <c r="C13" s="15" t="n">
        <v>0</v>
      </c>
      <c r="D13" s="15" t="n">
        <v>0</v>
      </c>
      <c r="E13" s="15" t="n">
        <v>90.72</v>
      </c>
      <c r="F13" s="15" t="n">
        <v>312.5</v>
      </c>
      <c r="G13" s="15" t="n">
        <v>168.62</v>
      </c>
      <c r="H13" s="15" t="n">
        <v>381.28</v>
      </c>
      <c r="I13" s="15" t="n">
        <v>520.75</v>
      </c>
      <c r="J13" s="15" t="n">
        <v>754.54</v>
      </c>
      <c r="K13" s="10" t="n">
        <f aca="false">SUM(C13:J13)</f>
        <v>2228.41</v>
      </c>
      <c r="L13" s="12" t="n">
        <f aca="false">IFERROR(K13/'Occupied Lots'!K13,0)</f>
        <v>2.74434729064039</v>
      </c>
    </row>
    <row r="14" customFormat="false" ht="15" hidden="false" customHeight="false" outlineLevel="0" collapsed="false">
      <c r="A14" s="14" t="s">
        <v>40</v>
      </c>
      <c r="B14" s="14" t="s">
        <v>41</v>
      </c>
      <c r="C14" s="15" t="n">
        <v>690.08</v>
      </c>
      <c r="D14" s="15" t="n">
        <v>1012.4</v>
      </c>
      <c r="E14" s="15" t="n">
        <v>690.81</v>
      </c>
      <c r="F14" s="15" t="n">
        <v>557.19</v>
      </c>
      <c r="G14" s="15" t="n">
        <v>1051.45</v>
      </c>
      <c r="H14" s="15" t="n">
        <v>1045.24</v>
      </c>
      <c r="I14" s="15" t="n">
        <v>175.97</v>
      </c>
      <c r="J14" s="15" t="n">
        <v>2091.52</v>
      </c>
      <c r="K14" s="10" t="n">
        <f aca="false">SUM(C14:J14)</f>
        <v>7314.66</v>
      </c>
      <c r="L14" s="12" t="n">
        <f aca="false">IFERROR(K14/'Occupied Lots'!K14,0)</f>
        <v>22.1656363636364</v>
      </c>
    </row>
    <row r="15" customFormat="false" ht="15" hidden="false" customHeight="false" outlineLevel="0" collapsed="false">
      <c r="A15" s="14" t="s">
        <v>42</v>
      </c>
      <c r="B15" s="14" t="s">
        <v>43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0" t="n">
        <f aca="false">SUM(C15:J15)</f>
        <v>0</v>
      </c>
      <c r="L15" s="12" t="n">
        <f aca="false">IFERROR(K15/'Occupied Lots'!K15,0)</f>
        <v>0</v>
      </c>
    </row>
    <row r="16" customFormat="false" ht="15" hidden="false" customHeight="false" outlineLevel="0" collapsed="false">
      <c r="A16" s="14" t="s">
        <v>44</v>
      </c>
      <c r="B16" s="14" t="s">
        <v>45</v>
      </c>
      <c r="C16" s="15" t="n">
        <v>44</v>
      </c>
      <c r="D16" s="15" t="n">
        <v>44</v>
      </c>
      <c r="E16" s="15" t="n">
        <v>44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0" t="n">
        <f aca="false">SUM(C16:J16)</f>
        <v>132</v>
      </c>
      <c r="L16" s="12" t="n">
        <f aca="false">IFERROR(K16/'Occupied Lots'!K16,0)</f>
        <v>0.183588317107093</v>
      </c>
    </row>
    <row r="17" customFormat="false" ht="15" hidden="false" customHeight="false" outlineLevel="0" collapsed="false">
      <c r="A17" s="14" t="s">
        <v>46</v>
      </c>
      <c r="B17" s="14" t="s">
        <v>47</v>
      </c>
      <c r="C17" s="15" t="n">
        <v>1764.74</v>
      </c>
      <c r="D17" s="15" t="n">
        <v>107.18</v>
      </c>
      <c r="E17" s="15" t="n">
        <v>72.22</v>
      </c>
      <c r="F17" s="15" t="n">
        <v>136.11</v>
      </c>
      <c r="G17" s="15" t="n">
        <v>100</v>
      </c>
      <c r="H17" s="15" t="n">
        <v>0</v>
      </c>
      <c r="I17" s="15" t="n">
        <v>-108.74</v>
      </c>
      <c r="J17" s="15" t="n">
        <v>68.97</v>
      </c>
      <c r="K17" s="10" t="n">
        <f aca="false">SUM(C17:J17)</f>
        <v>2140.48</v>
      </c>
      <c r="L17" s="12" t="n">
        <f aca="false">IFERROR(K17/'Occupied Lots'!K17,0)</f>
        <v>10.0966037735849</v>
      </c>
    </row>
    <row r="18" customFormat="false" ht="15" hidden="false" customHeight="false" outlineLevel="0" collapsed="false">
      <c r="A18" s="14" t="s">
        <v>48</v>
      </c>
      <c r="B18" s="14" t="s">
        <v>49</v>
      </c>
      <c r="C18" s="15" t="n">
        <v>0</v>
      </c>
      <c r="D18" s="15" t="n">
        <v>1628.24</v>
      </c>
      <c r="E18" s="15" t="n">
        <v>1104.86</v>
      </c>
      <c r="F18" s="15" t="n">
        <v>2329.84</v>
      </c>
      <c r="G18" s="15" t="n">
        <v>0</v>
      </c>
      <c r="H18" s="15" t="n">
        <v>2098.18</v>
      </c>
      <c r="I18" s="15" t="n">
        <v>1044.8</v>
      </c>
      <c r="J18" s="15" t="n">
        <v>1053.38</v>
      </c>
      <c r="K18" s="10" t="n">
        <f aca="false">SUM(C18:J18)</f>
        <v>9259.3</v>
      </c>
      <c r="L18" s="12" t="n">
        <f aca="false">IFERROR(K18/'Occupied Lots'!K18,0)</f>
        <v>32.6031690140845</v>
      </c>
    </row>
    <row r="19" customFormat="false" ht="15" hidden="false" customHeight="false" outlineLevel="0" collapsed="false">
      <c r="A19" s="14" t="s">
        <v>50</v>
      </c>
      <c r="B19" s="14" t="s">
        <v>51</v>
      </c>
      <c r="C19" s="15" t="n">
        <v>66.15</v>
      </c>
      <c r="D19" s="15" t="n">
        <v>0</v>
      </c>
      <c r="E19" s="15" t="n">
        <v>132.3</v>
      </c>
      <c r="F19" s="15" t="n">
        <v>66.15</v>
      </c>
      <c r="G19" s="15" t="n">
        <v>66.15</v>
      </c>
      <c r="H19" s="15" t="n">
        <v>66.15</v>
      </c>
      <c r="I19" s="15" t="n">
        <v>0</v>
      </c>
      <c r="J19" s="15" t="n">
        <v>66.15</v>
      </c>
      <c r="K19" s="10" t="n">
        <f aca="false">SUM(C19:J19)</f>
        <v>463.05</v>
      </c>
      <c r="L19" s="12" t="n">
        <f aca="false">IFERROR(K19/'Occupied Lots'!K19,0)</f>
        <v>0.77175</v>
      </c>
    </row>
    <row r="20" customFormat="false" ht="15" hidden="false" customHeight="false" outlineLevel="0" collapsed="false">
      <c r="A20" s="14" t="s">
        <v>52</v>
      </c>
      <c r="B20" s="14" t="s">
        <v>53</v>
      </c>
      <c r="C20" s="15" t="n">
        <v>150.03</v>
      </c>
      <c r="D20" s="15" t="n">
        <v>150.03</v>
      </c>
      <c r="E20" s="15" t="n">
        <v>258.41</v>
      </c>
      <c r="F20" s="15" t="n">
        <v>146.3</v>
      </c>
      <c r="G20" s="15" t="n">
        <v>0</v>
      </c>
      <c r="H20" s="15" t="n">
        <v>0</v>
      </c>
      <c r="I20" s="15" t="n">
        <v>0</v>
      </c>
      <c r="J20" s="15" t="n">
        <v>0</v>
      </c>
      <c r="K20" s="10" t="n">
        <f aca="false">SUM(C20:J20)</f>
        <v>704.77</v>
      </c>
      <c r="L20" s="12" t="n">
        <f aca="false">IFERROR(K20/'Occupied Lots'!K20,0)</f>
        <v>6.71209523809524</v>
      </c>
    </row>
    <row r="21" customFormat="false" ht="15" hidden="false" customHeight="false" outlineLevel="0" collapsed="false">
      <c r="A21" s="14" t="s">
        <v>54</v>
      </c>
      <c r="B21" s="14" t="s">
        <v>55</v>
      </c>
      <c r="C21" s="15" t="n">
        <v>727.5</v>
      </c>
      <c r="D21" s="15" t="n">
        <v>1455</v>
      </c>
      <c r="E21" s="15" t="n">
        <v>0</v>
      </c>
      <c r="F21" s="15" t="n">
        <v>1455</v>
      </c>
      <c r="G21" s="15" t="n">
        <v>0</v>
      </c>
      <c r="H21" s="15" t="n">
        <v>1455</v>
      </c>
      <c r="I21" s="15" t="n">
        <v>727.5</v>
      </c>
      <c r="J21" s="15" t="n">
        <v>727.5</v>
      </c>
      <c r="K21" s="10" t="n">
        <f aca="false">SUM(C21:J21)</f>
        <v>6547.5</v>
      </c>
      <c r="L21" s="12" t="n">
        <f aca="false">IFERROR(K21/'Occupied Lots'!K21,0)</f>
        <v>8.19461827284105</v>
      </c>
    </row>
    <row r="22" customFormat="false" ht="15" hidden="false" customHeight="false" outlineLevel="0" collapsed="false">
      <c r="A22" s="14" t="s">
        <v>56</v>
      </c>
      <c r="B22" s="14" t="s">
        <v>57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0" t="n">
        <f aca="false">SUM(C22:J22)</f>
        <v>0</v>
      </c>
      <c r="L22" s="12" t="n">
        <f aca="false">IFERROR(K22/'Occupied Lots'!K22,0)</f>
        <v>0</v>
      </c>
    </row>
    <row r="23" customFormat="false" ht="15" hidden="false" customHeight="false" outlineLevel="0" collapsed="false">
      <c r="A23" s="14" t="s">
        <v>58</v>
      </c>
      <c r="B23" s="14" t="s">
        <v>59</v>
      </c>
      <c r="C23" s="15" t="n">
        <v>1433.15</v>
      </c>
      <c r="D23" s="15" t="n">
        <v>1408.07</v>
      </c>
      <c r="E23" s="15" t="n">
        <v>1342.77</v>
      </c>
      <c r="F23" s="15" t="n">
        <v>1571.09</v>
      </c>
      <c r="G23" s="15" t="n">
        <v>790.92</v>
      </c>
      <c r="H23" s="15" t="n">
        <v>1332.83</v>
      </c>
      <c r="I23" s="15" t="n">
        <v>1370.45</v>
      </c>
      <c r="J23" s="15" t="n">
        <v>1264.93</v>
      </c>
      <c r="K23" s="10" t="n">
        <f aca="false">SUM(C23:J23)</f>
        <v>10514.21</v>
      </c>
      <c r="L23" s="12" t="n">
        <f aca="false">IFERROR(K23/'Occupied Lots'!K23,0)</f>
        <v>53.1020707070707</v>
      </c>
    </row>
    <row r="24" customFormat="false" ht="15" hidden="false" customHeight="false" outlineLevel="0" collapsed="false">
      <c r="A24" s="14" t="s">
        <v>60</v>
      </c>
      <c r="B24" s="14" t="s">
        <v>61</v>
      </c>
      <c r="C24" s="15" t="n">
        <v>1774.56</v>
      </c>
      <c r="D24" s="15" t="n">
        <v>1877.68</v>
      </c>
      <c r="E24" s="15" t="n">
        <v>2790.38</v>
      </c>
      <c r="F24" s="15" t="n">
        <v>2706.25</v>
      </c>
      <c r="G24" s="15" t="n">
        <v>0</v>
      </c>
      <c r="H24" s="15" t="n">
        <v>5343.23</v>
      </c>
      <c r="I24" s="15" t="n">
        <v>2648.89</v>
      </c>
      <c r="J24" s="15" t="n">
        <v>0</v>
      </c>
      <c r="K24" s="10" t="n">
        <f aca="false">SUM(C24:J24)</f>
        <v>17140.99</v>
      </c>
      <c r="L24" s="12" t="n">
        <f aca="false">IFERROR(K24/'Occupied Lots'!K24,0)</f>
        <v>61.2178214285714</v>
      </c>
    </row>
    <row r="25" customFormat="false" ht="15" hidden="false" customHeight="false" outlineLevel="0" collapsed="false">
      <c r="A25" s="14" t="s">
        <v>62</v>
      </c>
      <c r="B25" s="14" t="s">
        <v>63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0" t="n">
        <f aca="false">SUM(C25:J25)</f>
        <v>0</v>
      </c>
      <c r="L25" s="12" t="n">
        <f aca="false">IFERROR(K25/'Occupied Lots'!K25,0)</f>
        <v>0</v>
      </c>
    </row>
    <row r="26" customFormat="false" ht="15" hidden="false" customHeight="false" outlineLevel="0" collapsed="false">
      <c r="A26" s="14" t="s">
        <v>64</v>
      </c>
      <c r="B26" s="14" t="s">
        <v>65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0" t="n">
        <f aca="false">SUM(C26:J26)</f>
        <v>0</v>
      </c>
      <c r="L26" s="12" t="n">
        <f aca="false">IFERROR(K26/'Occupied Lots'!K26,0)</f>
        <v>0</v>
      </c>
    </row>
    <row r="27" customFormat="false" ht="15" hidden="false" customHeight="false" outlineLevel="0" collapsed="false">
      <c r="A27" s="14" t="s">
        <v>66</v>
      </c>
      <c r="B27" s="14" t="s">
        <v>67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0" t="n">
        <f aca="false">SUM(C27:J27)</f>
        <v>0</v>
      </c>
      <c r="L27" s="12" t="n">
        <f aca="false">IFERROR(K27/'Occupied Lots'!K27,0)</f>
        <v>0</v>
      </c>
    </row>
    <row r="28" customFormat="false" ht="15" hidden="false" customHeight="false" outlineLevel="0" collapsed="false">
      <c r="A28" s="14" t="s">
        <v>69</v>
      </c>
      <c r="B28" s="14" t="s">
        <v>70</v>
      </c>
      <c r="C28" s="15" t="n">
        <v>1509.59</v>
      </c>
      <c r="D28" s="15" t="n">
        <v>6303.93</v>
      </c>
      <c r="E28" s="15" t="n">
        <v>465.82</v>
      </c>
      <c r="F28" s="15" t="n">
        <v>1795.04</v>
      </c>
      <c r="G28" s="15" t="n">
        <v>3039.97</v>
      </c>
      <c r="H28" s="15" t="n">
        <v>715.13</v>
      </c>
      <c r="I28" s="15" t="n">
        <v>0</v>
      </c>
      <c r="J28" s="15" t="n">
        <v>0</v>
      </c>
      <c r="K28" s="10" t="n">
        <f aca="false">SUM(C28:J28)</f>
        <v>13829.48</v>
      </c>
      <c r="L28" s="12" t="n">
        <f aca="false">IFERROR(K28/'Occupied Lots'!K28,0)</f>
        <v>26.192196969697</v>
      </c>
    </row>
    <row r="29" customFormat="false" ht="15" hidden="false" customHeight="false" outlineLevel="0" collapsed="false">
      <c r="A29" s="14" t="s">
        <v>71</v>
      </c>
      <c r="B29" s="14" t="s">
        <v>72</v>
      </c>
      <c r="C29" s="15" t="n">
        <v>8322.19</v>
      </c>
      <c r="D29" s="15" t="n">
        <v>0</v>
      </c>
      <c r="E29" s="15" t="n">
        <v>0</v>
      </c>
      <c r="F29" s="15" t="n">
        <v>8040.5</v>
      </c>
      <c r="G29" s="15" t="n">
        <v>282</v>
      </c>
      <c r="H29" s="15" t="n">
        <v>0</v>
      </c>
      <c r="I29" s="15" t="n">
        <v>8511.5</v>
      </c>
      <c r="J29" s="15" t="n">
        <v>0</v>
      </c>
      <c r="K29" s="10" t="n">
        <f aca="false">SUM(C29:J29)</f>
        <v>25156.19</v>
      </c>
      <c r="L29" s="12" t="n">
        <f aca="false">IFERROR(K29/'Occupied Lots'!K29,0)</f>
        <v>53.2970127118644</v>
      </c>
    </row>
    <row r="30" customFormat="false" ht="15" hidden="false" customHeight="false" outlineLevel="0" collapsed="false">
      <c r="A30" s="14" t="s">
        <v>73</v>
      </c>
      <c r="B30" s="14" t="s">
        <v>74</v>
      </c>
      <c r="C30" s="15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0" t="n">
        <f aca="false">SUM(C30:J30)</f>
        <v>0</v>
      </c>
      <c r="L30" s="12" t="n">
        <f aca="false">IFERROR(K30/'Occupied Lots'!K30,0)</f>
        <v>0</v>
      </c>
    </row>
    <row r="31" customFormat="false" ht="15" hidden="false" customHeight="false" outlineLevel="0" collapsed="false">
      <c r="A31" s="14" t="s">
        <v>75</v>
      </c>
      <c r="B31" s="14" t="s">
        <v>76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0" t="n">
        <f aca="false">SUM(C31:J31)</f>
        <v>0</v>
      </c>
      <c r="L31" s="12" t="n">
        <f aca="false">IFERROR(K31/'Occupied Lots'!K31,0)</f>
        <v>0</v>
      </c>
    </row>
    <row r="32" customFormat="false" ht="15" hidden="false" customHeight="false" outlineLevel="0" collapsed="false">
      <c r="A32" s="14" t="s">
        <v>78</v>
      </c>
      <c r="B32" s="14" t="s">
        <v>79</v>
      </c>
      <c r="C32" s="15" t="n">
        <v>0</v>
      </c>
      <c r="D32" s="15" t="n">
        <v>9501.84</v>
      </c>
      <c r="E32" s="15" t="n">
        <v>4430.96</v>
      </c>
      <c r="F32" s="15" t="n">
        <v>4146.62</v>
      </c>
      <c r="G32" s="15" t="n">
        <v>3171.74</v>
      </c>
      <c r="H32" s="15" t="n">
        <v>3801.35</v>
      </c>
      <c r="I32" s="15" t="n">
        <v>3841.97</v>
      </c>
      <c r="J32" s="15" t="n">
        <v>4552.82</v>
      </c>
      <c r="K32" s="10" t="n">
        <f aca="false">SUM(C32:J32)</f>
        <v>33447.3</v>
      </c>
      <c r="L32" s="12" t="n">
        <f aca="false">IFERROR(K32/'Occupied Lots'!K32,0)</f>
        <v>47.3087694483734</v>
      </c>
    </row>
    <row r="33" customFormat="false" ht="15" hidden="false" customHeight="false" outlineLevel="0" collapsed="false">
      <c r="A33" s="14" t="s">
        <v>80</v>
      </c>
      <c r="B33" s="14" t="s">
        <v>81</v>
      </c>
      <c r="C33" s="15" t="n">
        <v>832.93</v>
      </c>
      <c r="D33" s="15" t="n">
        <v>1396.83</v>
      </c>
      <c r="E33" s="15" t="n">
        <v>608.79</v>
      </c>
      <c r="F33" s="15" t="n">
        <v>561.27</v>
      </c>
      <c r="G33" s="15" t="n">
        <v>767.19</v>
      </c>
      <c r="H33" s="15" t="n">
        <v>1083.99</v>
      </c>
      <c r="I33" s="15" t="n">
        <v>1163.19</v>
      </c>
      <c r="J33" s="15" t="n">
        <v>1032.51</v>
      </c>
      <c r="K33" s="10" t="n">
        <f aca="false">SUM(C33:J33)</f>
        <v>7446.7</v>
      </c>
      <c r="L33" s="12" t="n">
        <f aca="false">IFERROR(K33/'Occupied Lots'!K33,0)</f>
        <v>20.5143250688705</v>
      </c>
    </row>
    <row r="34" customFormat="false" ht="15" hidden="false" customHeight="false" outlineLevel="0" collapsed="false">
      <c r="A34" s="14" t="s">
        <v>83</v>
      </c>
      <c r="B34" s="14" t="s">
        <v>84</v>
      </c>
      <c r="C34" s="15" t="n">
        <v>1524.73</v>
      </c>
      <c r="D34" s="15" t="n">
        <v>1524.73</v>
      </c>
      <c r="E34" s="15" t="n">
        <v>2749.49</v>
      </c>
      <c r="F34" s="15" t="n">
        <v>2027.84</v>
      </c>
      <c r="G34" s="15" t="n">
        <v>1507.12</v>
      </c>
      <c r="H34" s="15" t="n">
        <v>1630.39</v>
      </c>
      <c r="I34" s="15" t="n">
        <v>1571.69</v>
      </c>
      <c r="J34" s="15" t="n">
        <v>1454.29</v>
      </c>
      <c r="K34" s="10" t="n">
        <f aca="false">SUM(C34:J34)</f>
        <v>13990.28</v>
      </c>
      <c r="L34" s="12" t="n">
        <f aca="false">IFERROR(K34/'Occupied Lots'!K34,0)</f>
        <v>43.9945911949686</v>
      </c>
    </row>
    <row r="35" customFormat="false" ht="15" hidden="false" customHeight="false" outlineLevel="0" collapsed="false">
      <c r="A35" s="14" t="s">
        <v>85</v>
      </c>
      <c r="B35" s="14" t="s">
        <v>86</v>
      </c>
      <c r="C35" s="15" t="n">
        <v>182.11</v>
      </c>
      <c r="D35" s="15" t="n">
        <v>253.65</v>
      </c>
      <c r="E35" s="15" t="n">
        <v>172.86</v>
      </c>
      <c r="F35" s="15" t="n">
        <v>158.45</v>
      </c>
      <c r="G35" s="15" t="n">
        <v>169.82</v>
      </c>
      <c r="H35" s="15" t="n">
        <v>262.59</v>
      </c>
      <c r="I35" s="15" t="n">
        <v>239.2</v>
      </c>
      <c r="J35" s="15" t="n">
        <v>375.94</v>
      </c>
      <c r="K35" s="10" t="n">
        <f aca="false">SUM(C35:J35)</f>
        <v>1814.62</v>
      </c>
      <c r="L35" s="12" t="n">
        <f aca="false">IFERROR(K35/'Occupied Lots'!K35,0)</f>
        <v>6.25731034482759</v>
      </c>
    </row>
    <row r="36" customFormat="false" ht="15" hidden="false" customHeight="false" outlineLevel="0" collapsed="false">
      <c r="A36" s="14" t="s">
        <v>87</v>
      </c>
      <c r="B36" s="14" t="s">
        <v>88</v>
      </c>
      <c r="C36" s="15" t="n">
        <v>3416.59</v>
      </c>
      <c r="D36" s="15" t="n">
        <v>2747.31</v>
      </c>
      <c r="E36" s="15" t="n">
        <v>2318.81</v>
      </c>
      <c r="F36" s="15" t="n">
        <v>1150.39</v>
      </c>
      <c r="G36" s="15" t="n">
        <v>2308.37</v>
      </c>
      <c r="H36" s="15" t="n">
        <v>1815.74</v>
      </c>
      <c r="I36" s="15" t="n">
        <v>1900.97</v>
      </c>
      <c r="J36" s="15" t="n">
        <v>1867.8</v>
      </c>
      <c r="K36" s="10" t="n">
        <f aca="false">SUM(C36:J36)</f>
        <v>17525.98</v>
      </c>
      <c r="L36" s="12" t="n">
        <f aca="false">IFERROR(K36/'Occupied Lots'!K36,0)</f>
        <v>66.1357735849057</v>
      </c>
    </row>
    <row r="37" customFormat="false" ht="15" hidden="false" customHeight="false" outlineLevel="0" collapsed="false">
      <c r="A37" s="14" t="s">
        <v>89</v>
      </c>
      <c r="B37" s="14" t="s">
        <v>90</v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0" t="n">
        <f aca="false">SUM(C37:J37)</f>
        <v>0</v>
      </c>
      <c r="L37" s="12" t="n">
        <f aca="false">IFERROR(K37/'Occupied Lots'!K37,0)</f>
        <v>0</v>
      </c>
    </row>
    <row r="38" customFormat="false" ht="15" hidden="false" customHeight="false" outlineLevel="0" collapsed="false">
      <c r="A38" s="14" t="s">
        <v>91</v>
      </c>
      <c r="B38" s="14" t="s">
        <v>92</v>
      </c>
      <c r="C38" s="15" t="n">
        <v>0</v>
      </c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0" t="n">
        <f aca="false">SUM(C38:J38)</f>
        <v>0</v>
      </c>
      <c r="L38" s="12" t="n">
        <f aca="false">IFERROR(K38/'Occupied Lots'!K38,0)</f>
        <v>0</v>
      </c>
    </row>
    <row r="39" customFormat="false" ht="15" hidden="false" customHeight="false" outlineLevel="0" collapsed="false">
      <c r="A39" s="14" t="s">
        <v>93</v>
      </c>
      <c r="B39" s="14" t="s">
        <v>94</v>
      </c>
      <c r="C39" s="15" t="n">
        <v>5012.16</v>
      </c>
      <c r="D39" s="15" t="n">
        <v>5012.16</v>
      </c>
      <c r="E39" s="15" t="n">
        <v>5012.16</v>
      </c>
      <c r="F39" s="15" t="n">
        <v>5012.16</v>
      </c>
      <c r="G39" s="15" t="n">
        <v>5012.16</v>
      </c>
      <c r="H39" s="15" t="n">
        <v>5012.16</v>
      </c>
      <c r="I39" s="15" t="n">
        <v>5012.16</v>
      </c>
      <c r="J39" s="15" t="n">
        <v>5362.68</v>
      </c>
      <c r="K39" s="10" t="n">
        <f aca="false">SUM(C39:J39)</f>
        <v>40447.8</v>
      </c>
      <c r="L39" s="12" t="n">
        <f aca="false">IFERROR(K39/'Occupied Lots'!K39,0)</f>
        <v>79.6216535433071</v>
      </c>
    </row>
    <row r="40" customFormat="false" ht="15" hidden="false" customHeight="false" outlineLevel="0" collapsed="false">
      <c r="A40" s="14" t="s">
        <v>95</v>
      </c>
      <c r="B40" s="14" t="s">
        <v>96</v>
      </c>
      <c r="C40" s="15" t="n">
        <v>0</v>
      </c>
      <c r="D40" s="15" t="n">
        <v>0</v>
      </c>
      <c r="E40" s="15" t="n">
        <v>0</v>
      </c>
      <c r="F40" s="15" t="n">
        <v>525</v>
      </c>
      <c r="G40" s="15" t="n">
        <v>0</v>
      </c>
      <c r="H40" s="15" t="n">
        <v>525</v>
      </c>
      <c r="I40" s="15" t="n">
        <v>0</v>
      </c>
      <c r="J40" s="15" t="n">
        <v>0</v>
      </c>
      <c r="K40" s="10" t="n">
        <f aca="false">SUM(C40:J40)</f>
        <v>1050</v>
      </c>
      <c r="L40" s="12" t="n">
        <f aca="false">IFERROR(K40/'Occupied Lots'!K40,0)</f>
        <v>1.62037037037037</v>
      </c>
    </row>
    <row r="41" customFormat="false" ht="15" hidden="false" customHeight="false" outlineLevel="0" collapsed="false">
      <c r="A41" s="14" t="s">
        <v>97</v>
      </c>
      <c r="B41" s="14" t="s">
        <v>98</v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10</v>
      </c>
      <c r="I41" s="15" t="n">
        <v>-195</v>
      </c>
      <c r="J41" s="15" t="n">
        <v>20</v>
      </c>
      <c r="K41" s="10" t="n">
        <f aca="false">SUM(C41:J41)</f>
        <v>-165</v>
      </c>
      <c r="L41" s="12" t="n">
        <f aca="false">IFERROR(K41/'Occupied Lots'!K41,0)</f>
        <v>-0.0699152542372881</v>
      </c>
    </row>
    <row r="42" customFormat="false" ht="15" hidden="false" customHeight="false" outlineLevel="0" collapsed="false">
      <c r="A42" s="14" t="s">
        <v>100</v>
      </c>
      <c r="B42" s="14" t="s">
        <v>101</v>
      </c>
      <c r="C42" s="15" t="n">
        <v>0</v>
      </c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0" t="n">
        <f aca="false">SUM(C42:J42)</f>
        <v>0</v>
      </c>
      <c r="L42" s="12" t="n">
        <f aca="false">IFERROR(K42/'Occupied Lots'!K42,0)</f>
        <v>0</v>
      </c>
    </row>
    <row r="43" customFormat="false" ht="15" hidden="false" customHeight="false" outlineLevel="0" collapsed="false">
      <c r="A43" s="14" t="s">
        <v>102</v>
      </c>
      <c r="B43" s="14" t="s">
        <v>103</v>
      </c>
      <c r="C43" s="15" t="n">
        <v>0</v>
      </c>
      <c r="D43" s="15" t="n">
        <v>46013.69</v>
      </c>
      <c r="E43" s="15" t="n">
        <v>0</v>
      </c>
      <c r="F43" s="15" t="n">
        <v>9489.51</v>
      </c>
      <c r="G43" s="15" t="n">
        <v>18627.65</v>
      </c>
      <c r="H43" s="15" t="n">
        <v>0</v>
      </c>
      <c r="I43" s="15" t="n">
        <v>18694.11</v>
      </c>
      <c r="J43" s="15" t="n">
        <v>0</v>
      </c>
      <c r="K43" s="10" t="n">
        <f aca="false">SUM(C43:J43)</f>
        <v>92824.96</v>
      </c>
      <c r="L43" s="12" t="n">
        <f aca="false">IFERROR(K43/'Occupied Lots'!K43,0)</f>
        <v>68.5561004431315</v>
      </c>
    </row>
    <row r="44" customFormat="false" ht="15" hidden="false" customHeight="false" outlineLevel="0" collapsed="false">
      <c r="A44" s="14" t="s">
        <v>104</v>
      </c>
      <c r="B44" s="14" t="s">
        <v>105</v>
      </c>
      <c r="C44" s="15" t="n">
        <v>1302</v>
      </c>
      <c r="D44" s="15" t="n">
        <v>0</v>
      </c>
      <c r="E44" s="15" t="n">
        <v>0</v>
      </c>
      <c r="F44" s="15" t="n">
        <v>1171.95</v>
      </c>
      <c r="G44" s="15" t="n">
        <v>0</v>
      </c>
      <c r="H44" s="15" t="n">
        <v>0</v>
      </c>
      <c r="I44" s="15" t="n">
        <v>1216.26</v>
      </c>
      <c r="J44" s="15" t="n">
        <v>0</v>
      </c>
      <c r="K44" s="10" t="n">
        <f aca="false">SUM(C44:J44)</f>
        <v>3690.21</v>
      </c>
      <c r="L44" s="12" t="n">
        <f aca="false">IFERROR(K44/'Occupied Lots'!K44,0)</f>
        <v>2.82991564417178</v>
      </c>
    </row>
    <row r="45" customFormat="false" ht="15" hidden="false" customHeight="false" outlineLevel="0" collapsed="false">
      <c r="A45" s="14" t="s">
        <v>106</v>
      </c>
      <c r="B45" s="14" t="s">
        <v>107</v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0" t="n">
        <f aca="false">SUM(C45:J45)</f>
        <v>0</v>
      </c>
      <c r="L45" s="12" t="n">
        <f aca="false">IFERROR(K45/'Occupied Lots'!K45,0)</f>
        <v>0</v>
      </c>
    </row>
    <row r="46" customFormat="false" ht="15" hidden="false" customHeight="false" outlineLevel="0" collapsed="false">
      <c r="A46" s="14" t="s">
        <v>108</v>
      </c>
      <c r="B46" s="14" t="s">
        <v>109</v>
      </c>
      <c r="C46" s="15" t="n">
        <v>5283.98</v>
      </c>
      <c r="D46" s="15" t="n">
        <v>5283.98</v>
      </c>
      <c r="E46" s="15" t="n">
        <v>5283.98</v>
      </c>
      <c r="F46" s="15" t="n">
        <v>5283.98</v>
      </c>
      <c r="G46" s="15" t="n">
        <v>5283.98</v>
      </c>
      <c r="H46" s="15" t="n">
        <v>5283.98</v>
      </c>
      <c r="I46" s="15" t="n">
        <v>5283.98</v>
      </c>
      <c r="J46" s="15" t="n">
        <v>5283.98</v>
      </c>
      <c r="K46" s="10" t="n">
        <f aca="false">SUM(C46:J46)</f>
        <v>42271.84</v>
      </c>
      <c r="L46" s="12" t="n">
        <f aca="false">IFERROR(K46/'Occupied Lots'!K46,0)</f>
        <v>58.467275242047</v>
      </c>
    </row>
    <row r="47" customFormat="false" ht="15" hidden="false" customHeight="false" outlineLevel="0" collapsed="false">
      <c r="A47" s="14" t="s">
        <v>110</v>
      </c>
      <c r="B47" s="14" t="s">
        <v>111</v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0" t="n">
        <f aca="false">SUM(C47:J47)</f>
        <v>0</v>
      </c>
      <c r="L47" s="12" t="n">
        <f aca="false">IFERROR(K47/'Occupied Lots'!K47,0)</f>
        <v>0</v>
      </c>
    </row>
    <row r="48" customFormat="false" ht="15" hidden="false" customHeight="false" outlineLevel="0" collapsed="false">
      <c r="A48" s="14" t="s">
        <v>112</v>
      </c>
      <c r="B48" s="14" t="s">
        <v>113</v>
      </c>
      <c r="C48" s="15" t="n">
        <v>0</v>
      </c>
      <c r="D48" s="15" t="n">
        <v>832.5</v>
      </c>
      <c r="E48" s="15" t="n">
        <v>0</v>
      </c>
      <c r="F48" s="15" t="n">
        <v>832.5</v>
      </c>
      <c r="G48" s="15" t="n">
        <v>0</v>
      </c>
      <c r="H48" s="15" t="n">
        <v>0</v>
      </c>
      <c r="I48" s="15" t="n">
        <v>832.5</v>
      </c>
      <c r="J48" s="15" t="n">
        <v>0</v>
      </c>
      <c r="K48" s="10" t="n">
        <f aca="false">SUM(C48:J48)</f>
        <v>2497.5</v>
      </c>
      <c r="L48" s="12" t="n">
        <f aca="false">IFERROR(K48/'Occupied Lots'!K48,0)</f>
        <v>8.4375</v>
      </c>
    </row>
    <row r="49" customFormat="false" ht="15" hidden="false" customHeight="false" outlineLevel="0" collapsed="false">
      <c r="A49" s="14" t="s">
        <v>114</v>
      </c>
      <c r="B49" s="14" t="s">
        <v>115</v>
      </c>
      <c r="C49" s="15" t="n">
        <v>0</v>
      </c>
      <c r="D49" s="15" t="n">
        <v>3089.82</v>
      </c>
      <c r="E49" s="15" t="n">
        <v>1641.06</v>
      </c>
      <c r="F49" s="15" t="n">
        <v>1780.34</v>
      </c>
      <c r="G49" s="15" t="n">
        <v>1852.46</v>
      </c>
      <c r="H49" s="15" t="n">
        <v>0</v>
      </c>
      <c r="I49" s="15" t="n">
        <v>0</v>
      </c>
      <c r="J49" s="15" t="n">
        <v>0</v>
      </c>
      <c r="K49" s="10" t="n">
        <f aca="false">SUM(C49:J49)</f>
        <v>8363.68</v>
      </c>
      <c r="L49" s="12" t="n">
        <f aca="false">IFERROR(K49/'Occupied Lots'!K49,0)</f>
        <v>16.9305263157895</v>
      </c>
    </row>
    <row r="50" customFormat="false" ht="15" hidden="false" customHeight="false" outlineLevel="0" collapsed="false">
      <c r="A50" s="14" t="s">
        <v>117</v>
      </c>
      <c r="B50" s="14" t="s">
        <v>118</v>
      </c>
      <c r="C50" s="15" t="n">
        <v>0</v>
      </c>
      <c r="D50" s="15" t="n">
        <v>0</v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0" t="n">
        <f aca="false">SUM(C50:J50)</f>
        <v>0</v>
      </c>
      <c r="L50" s="12" t="n">
        <f aca="false">IFERROR(K50/'Occupied Lots'!K50,0)</f>
        <v>0</v>
      </c>
    </row>
    <row r="51" customFormat="false" ht="15" hidden="false" customHeight="false" outlineLevel="0" collapsed="false">
      <c r="A51" s="14" t="s">
        <v>119</v>
      </c>
      <c r="B51" s="14" t="s">
        <v>120</v>
      </c>
      <c r="C51" s="15" t="n">
        <v>6721.8</v>
      </c>
      <c r="D51" s="15" t="n">
        <v>0</v>
      </c>
      <c r="E51" s="15" t="n">
        <v>3360</v>
      </c>
      <c r="F51" s="15" t="n">
        <v>3360</v>
      </c>
      <c r="G51" s="15" t="n">
        <v>0</v>
      </c>
      <c r="H51" s="15" t="n">
        <v>6720</v>
      </c>
      <c r="I51" s="15" t="n">
        <v>3360</v>
      </c>
      <c r="J51" s="15" t="n">
        <v>3360</v>
      </c>
      <c r="K51" s="10" t="n">
        <f aca="false">SUM(C51:J51)</f>
        <v>26881.8</v>
      </c>
      <c r="L51" s="12" t="n">
        <f aca="false">IFERROR(K51/'Occupied Lots'!K51,0)</f>
        <v>31.440701754386</v>
      </c>
    </row>
    <row r="52" customFormat="false" ht="15" hidden="false" customHeight="false" outlineLevel="0" collapsed="false">
      <c r="A52" s="14" t="s">
        <v>121</v>
      </c>
      <c r="B52" s="14" t="s">
        <v>122</v>
      </c>
      <c r="C52" s="15" t="n">
        <v>4043.23</v>
      </c>
      <c r="D52" s="15" t="n">
        <v>4043.23</v>
      </c>
      <c r="E52" s="15" t="n">
        <v>4043.23</v>
      </c>
      <c r="F52" s="15" t="n">
        <v>4043.23</v>
      </c>
      <c r="G52" s="15" t="n">
        <v>4043.23</v>
      </c>
      <c r="H52" s="15" t="n">
        <v>4043.23</v>
      </c>
      <c r="I52" s="15" t="n">
        <v>4043.23</v>
      </c>
      <c r="J52" s="15" t="n">
        <v>4043.23</v>
      </c>
      <c r="K52" s="10" t="n">
        <f aca="false">SUM(C52:J52)</f>
        <v>32345.84</v>
      </c>
      <c r="L52" s="12" t="n">
        <f aca="false">IFERROR(K52/'Occupied Lots'!K52,0)</f>
        <v>52.3395469255663</v>
      </c>
    </row>
    <row r="53" customFormat="false" ht="15" hidden="false" customHeight="false" outlineLevel="0" collapsed="false">
      <c r="A53" s="14" t="s">
        <v>123</v>
      </c>
      <c r="B53" s="14" t="s">
        <v>124</v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0" t="n">
        <f aca="false">SUM(C53:J53)</f>
        <v>0</v>
      </c>
      <c r="L53" s="12" t="n">
        <f aca="false">IFERROR(K53/'Occupied Lots'!K53,0)</f>
        <v>0</v>
      </c>
    </row>
    <row r="54" customFormat="false" ht="15" hidden="false" customHeight="false" outlineLevel="0" collapsed="false">
      <c r="A54" s="14" t="s">
        <v>125</v>
      </c>
      <c r="B54" s="14" t="s">
        <v>126</v>
      </c>
      <c r="C54" s="15" t="n">
        <v>0</v>
      </c>
      <c r="D54" s="15" t="n">
        <v>0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0" t="n">
        <f aca="false">SUM(C54:J54)</f>
        <v>0</v>
      </c>
      <c r="L54" s="12" t="n">
        <f aca="false">IFERROR(K54/'Occupied Lots'!K54,0)</f>
        <v>0</v>
      </c>
    </row>
    <row r="55" customFormat="false" ht="15" hidden="false" customHeight="false" outlineLevel="0" collapsed="false">
      <c r="A55" s="14" t="s">
        <v>127</v>
      </c>
      <c r="B55" s="14" t="s">
        <v>128</v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0" t="n">
        <f aca="false">SUM(C55:J55)</f>
        <v>0</v>
      </c>
      <c r="L55" s="12" t="n">
        <f aca="false">IFERROR(K55/'Occupied Lots'!K55,0)</f>
        <v>0</v>
      </c>
    </row>
    <row r="56" customFormat="false" ht="15" hidden="false" customHeight="false" outlineLevel="0" collapsed="false">
      <c r="A56" s="14" t="s">
        <v>129</v>
      </c>
      <c r="B56" s="14" t="s">
        <v>130</v>
      </c>
      <c r="C56" s="15" t="n">
        <v>1387.96</v>
      </c>
      <c r="D56" s="15" t="n">
        <v>1201.84</v>
      </c>
      <c r="E56" s="15" t="n">
        <v>1611.51</v>
      </c>
      <c r="F56" s="15" t="n">
        <v>1331.09</v>
      </c>
      <c r="G56" s="15" t="n">
        <v>1160.48</v>
      </c>
      <c r="H56" s="15" t="n">
        <v>1243.2</v>
      </c>
      <c r="I56" s="15" t="n">
        <v>1475.85</v>
      </c>
      <c r="J56" s="15" t="n">
        <v>1217.35</v>
      </c>
      <c r="K56" s="10" t="n">
        <f aca="false">SUM(C56:J56)</f>
        <v>10629.28</v>
      </c>
      <c r="L56" s="12" t="n">
        <f aca="false">IFERROR(K56/'Occupied Lots'!K56,0)</f>
        <v>36.9072222222222</v>
      </c>
    </row>
    <row r="57" customFormat="false" ht="15" hidden="false" customHeight="false" outlineLevel="0" collapsed="false">
      <c r="A57" s="14" t="s">
        <v>131</v>
      </c>
      <c r="B57" s="14" t="s">
        <v>132</v>
      </c>
      <c r="C57" s="15" t="n">
        <v>558</v>
      </c>
      <c r="D57" s="15" t="n">
        <v>558</v>
      </c>
      <c r="E57" s="15" t="n">
        <v>558</v>
      </c>
      <c r="F57" s="15" t="n">
        <v>558</v>
      </c>
      <c r="G57" s="15" t="n">
        <v>744</v>
      </c>
      <c r="H57" s="15" t="n">
        <v>558</v>
      </c>
      <c r="I57" s="15" t="n">
        <v>558</v>
      </c>
      <c r="J57" s="15" t="n">
        <v>372</v>
      </c>
      <c r="K57" s="10" t="n">
        <f aca="false">SUM(C57:J57)</f>
        <v>4464</v>
      </c>
      <c r="L57" s="12" t="n">
        <f aca="false">IFERROR(K57/'Occupied Lots'!K57,0)</f>
        <v>2.48552338530067</v>
      </c>
    </row>
    <row r="58" customFormat="false" ht="15" hidden="false" customHeight="false" outlineLevel="0" collapsed="false">
      <c r="A58" s="14" t="s">
        <v>133</v>
      </c>
      <c r="B58" s="14" t="s">
        <v>134</v>
      </c>
      <c r="C58" s="15" t="n">
        <v>229.34</v>
      </c>
      <c r="D58" s="15" t="n">
        <v>0</v>
      </c>
      <c r="E58" s="15" t="n">
        <v>0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0" t="n">
        <f aca="false">SUM(C58:J58)</f>
        <v>229.34</v>
      </c>
      <c r="L58" s="12" t="n">
        <f aca="false">IFERROR(K58/'Occupied Lots'!K58,0)</f>
        <v>0.169254612546125</v>
      </c>
    </row>
    <row r="59" customFormat="false" ht="15" hidden="false" customHeight="false" outlineLevel="0" collapsed="false">
      <c r="A59" s="14" t="s">
        <v>135</v>
      </c>
      <c r="B59" s="14" t="s">
        <v>136</v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0" t="n">
        <f aca="false">SUM(C59:J59)</f>
        <v>0</v>
      </c>
      <c r="L59" s="12" t="n">
        <f aca="false">IFERROR(K59/'Occupied Lots'!K59,0)</f>
        <v>0</v>
      </c>
    </row>
    <row r="60" customFormat="false" ht="15" hidden="false" customHeight="false" outlineLevel="0" collapsed="false">
      <c r="A60" s="14" t="s">
        <v>137</v>
      </c>
      <c r="B60" s="14" t="s">
        <v>138</v>
      </c>
      <c r="C60" s="15" t="n">
        <v>0</v>
      </c>
      <c r="D60" s="15" t="n">
        <v>0</v>
      </c>
      <c r="E60" s="15" t="n">
        <v>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0" t="n">
        <f aca="false">SUM(C60:J60)</f>
        <v>0</v>
      </c>
      <c r="L60" s="12" t="n">
        <f aca="false">IFERROR(K60/'Occupied Lots'!K60,0)</f>
        <v>0</v>
      </c>
    </row>
    <row r="61" customFormat="false" ht="15" hidden="false" customHeight="false" outlineLevel="0" collapsed="false">
      <c r="A61" s="14" t="s">
        <v>139</v>
      </c>
      <c r="B61" s="14" t="s">
        <v>140</v>
      </c>
      <c r="C61" s="15" t="n">
        <v>708.57</v>
      </c>
      <c r="D61" s="15" t="n">
        <v>555.97</v>
      </c>
      <c r="E61" s="15" t="n">
        <v>1089.89</v>
      </c>
      <c r="F61" s="15" t="n">
        <v>803.65</v>
      </c>
      <c r="G61" s="15" t="n">
        <v>719.76</v>
      </c>
      <c r="H61" s="15" t="n">
        <v>845.07</v>
      </c>
      <c r="I61" s="15" t="n">
        <v>732.21</v>
      </c>
      <c r="J61" s="15" t="n">
        <v>732.07</v>
      </c>
      <c r="K61" s="10" t="n">
        <f aca="false">SUM(C61:J61)</f>
        <v>6187.19</v>
      </c>
      <c r="L61" s="12" t="n">
        <f aca="false">IFERROR(K61/'Occupied Lots'!K61,0)</f>
        <v>5.85353831598865</v>
      </c>
    </row>
    <row r="62" customFormat="false" ht="15" hidden="false" customHeight="false" outlineLevel="0" collapsed="false">
      <c r="A62" s="14" t="s">
        <v>141</v>
      </c>
      <c r="B62" s="14" t="s">
        <v>142</v>
      </c>
      <c r="C62" s="15" t="n">
        <v>0</v>
      </c>
      <c r="D62" s="15" t="n">
        <v>0</v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0" t="n">
        <f aca="false">SUM(C62:J62)</f>
        <v>0</v>
      </c>
      <c r="L62" s="12" t="n">
        <f aca="false">IFERROR(K62/'Occupied Lots'!K62,0)</f>
        <v>0</v>
      </c>
    </row>
    <row r="63" customFormat="false" ht="15" hidden="false" customHeight="false" outlineLevel="0" collapsed="false">
      <c r="A63" s="14" t="s">
        <v>143</v>
      </c>
      <c r="B63" s="14" t="s">
        <v>144</v>
      </c>
      <c r="C63" s="15" t="n">
        <v>1890</v>
      </c>
      <c r="D63" s="15" t="n">
        <v>1890</v>
      </c>
      <c r="E63" s="15" t="n">
        <v>1890</v>
      </c>
      <c r="F63" s="15" t="n">
        <v>3780</v>
      </c>
      <c r="G63" s="15" t="n">
        <v>0</v>
      </c>
      <c r="H63" s="15" t="n">
        <v>1890</v>
      </c>
      <c r="I63" s="15" t="n">
        <v>1899.45</v>
      </c>
      <c r="J63" s="15" t="n">
        <v>1890</v>
      </c>
      <c r="K63" s="10" t="n">
        <f aca="false">SUM(C63:J63)</f>
        <v>15129.45</v>
      </c>
      <c r="L63" s="12" t="n">
        <f aca="false">IFERROR(K63/'Occupied Lots'!K63,0)</f>
        <v>46.4093558282209</v>
      </c>
    </row>
    <row r="64" customFormat="false" ht="15" hidden="false" customHeight="false" outlineLevel="0" collapsed="false">
      <c r="A64" s="9" t="s">
        <v>145</v>
      </c>
      <c r="C64" s="10" t="n">
        <f aca="false">SUM(C2:C63)</f>
        <v>57635.42</v>
      </c>
      <c r="D64" s="10" t="n">
        <f aca="false">SUM(D2:D63)</f>
        <v>102779.94</v>
      </c>
      <c r="E64" s="10" t="n">
        <f aca="false">SUM(E2:E63)</f>
        <v>48226.48</v>
      </c>
      <c r="F64" s="10" t="n">
        <f aca="false">SUM(F2:F63)</f>
        <v>66967.04</v>
      </c>
      <c r="G64" s="10" t="n">
        <f aca="false">SUM(G2:G63)</f>
        <v>56444.25</v>
      </c>
      <c r="H64" s="10" t="n">
        <f aca="false">SUM(H2:H63)</f>
        <v>47530.44</v>
      </c>
      <c r="I64" s="10" t="n">
        <f aca="false">SUM(I2:I63)</f>
        <v>90623.72</v>
      </c>
      <c r="J64" s="10" t="n">
        <f aca="false">SUM(J2:J63)</f>
        <v>42098.86</v>
      </c>
      <c r="K64" s="10" t="n">
        <f aca="false">SUM(K2:K63)</f>
        <v>512306.15</v>
      </c>
      <c r="L64" s="12" t="n">
        <f aca="false">IFERROR(K64/'Occupied Lots'!K64,0)</f>
        <v>12.9005376208703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1"/>
    <col collapsed="false" customWidth="true" hidden="false" outlineLevel="0" max="12" min="11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</row>
    <row r="2" customFormat="false" ht="15" hidden="false" customHeight="false" outlineLevel="0" collapsed="false">
      <c r="A2" s="14" t="s">
        <v>13</v>
      </c>
      <c r="B2" s="14" t="s">
        <v>14</v>
      </c>
      <c r="C2" s="15" t="n">
        <v>580</v>
      </c>
      <c r="D2" s="15" t="n">
        <v>580</v>
      </c>
      <c r="E2" s="15" t="n">
        <v>680</v>
      </c>
      <c r="F2" s="15" t="n">
        <v>580</v>
      </c>
      <c r="G2" s="15" t="n">
        <v>580</v>
      </c>
      <c r="H2" s="15" t="n">
        <v>580</v>
      </c>
      <c r="I2" s="15" t="n">
        <v>580</v>
      </c>
      <c r="J2" s="15" t="n">
        <v>580</v>
      </c>
      <c r="K2" s="10" t="n">
        <f aca="false">SUM(C2:J2)</f>
        <v>4740</v>
      </c>
      <c r="L2" s="12" t="n">
        <f aca="false">IFERROR(K2/'Occupied Lots'!K2,0)</f>
        <v>15</v>
      </c>
    </row>
    <row r="3" customFormat="false" ht="15" hidden="false" customHeight="false" outlineLevel="0" collapsed="false">
      <c r="A3" s="14" t="s">
        <v>16</v>
      </c>
      <c r="B3" s="14" t="s">
        <v>17</v>
      </c>
      <c r="C3" s="15" t="n">
        <v>3701.99</v>
      </c>
      <c r="D3" s="15" t="n">
        <v>0</v>
      </c>
      <c r="E3" s="15" t="n">
        <v>1859.56</v>
      </c>
      <c r="F3" s="15" t="n">
        <v>4064.01</v>
      </c>
      <c r="G3" s="15" t="n">
        <v>928.55</v>
      </c>
      <c r="H3" s="15" t="n">
        <v>2040.72</v>
      </c>
      <c r="I3" s="15" t="n">
        <v>3956.7</v>
      </c>
      <c r="J3" s="15" t="n">
        <v>2014.65</v>
      </c>
      <c r="K3" s="10" t="n">
        <f aca="false">SUM(C3:J3)</f>
        <v>18566.18</v>
      </c>
      <c r="L3" s="12" t="n">
        <f aca="false">IFERROR(K3/'Occupied Lots'!K3,0)</f>
        <v>31.4681016949153</v>
      </c>
    </row>
    <row r="4" customFormat="false" ht="15" hidden="false" customHeight="false" outlineLevel="0" collapsed="false">
      <c r="A4" s="14" t="s">
        <v>19</v>
      </c>
      <c r="B4" s="14" t="s">
        <v>20</v>
      </c>
      <c r="C4" s="15" t="n">
        <v>905</v>
      </c>
      <c r="D4" s="15" t="n">
        <v>30.75</v>
      </c>
      <c r="E4" s="15" t="n">
        <v>0</v>
      </c>
      <c r="F4" s="15" t="n">
        <v>1755.75</v>
      </c>
      <c r="G4" s="15" t="n">
        <v>91.34</v>
      </c>
      <c r="H4" s="15" t="n">
        <v>30.75</v>
      </c>
      <c r="I4" s="15" t="n">
        <v>30.75</v>
      </c>
      <c r="J4" s="15" t="n">
        <v>224.49</v>
      </c>
      <c r="K4" s="10" t="n">
        <f aca="false">SUM(C4:J4)</f>
        <v>3068.83</v>
      </c>
      <c r="L4" s="12" t="n">
        <f aca="false">IFERROR(K4/'Occupied Lots'!K4,0)</f>
        <v>2.62293162393162</v>
      </c>
    </row>
    <row r="5" customFormat="false" ht="15" hidden="false" customHeight="false" outlineLevel="0" collapsed="false">
      <c r="A5" s="14" t="s">
        <v>21</v>
      </c>
      <c r="B5" s="14" t="s">
        <v>22</v>
      </c>
      <c r="C5" s="15" t="n">
        <v>704.61</v>
      </c>
      <c r="D5" s="15" t="n">
        <v>704.61</v>
      </c>
      <c r="E5" s="15" t="n">
        <v>704.61</v>
      </c>
      <c r="F5" s="15" t="n">
        <v>723.48</v>
      </c>
      <c r="G5" s="15" t="n">
        <v>723.48</v>
      </c>
      <c r="H5" s="15" t="n">
        <v>723.48</v>
      </c>
      <c r="I5" s="15" t="n">
        <v>0</v>
      </c>
      <c r="J5" s="15" t="n">
        <v>1446.96</v>
      </c>
      <c r="K5" s="10" t="n">
        <f aca="false">SUM(C5:J5)</f>
        <v>5731.23</v>
      </c>
      <c r="L5" s="12" t="n">
        <f aca="false">IFERROR(K5/'Occupied Lots'!K5,0)</f>
        <v>37.9551655629139</v>
      </c>
    </row>
    <row r="6" customFormat="false" ht="15" hidden="false" customHeight="false" outlineLevel="0" collapsed="false">
      <c r="A6" s="14" t="s">
        <v>23</v>
      </c>
      <c r="B6" s="14" t="s">
        <v>24</v>
      </c>
      <c r="C6" s="15" t="n">
        <v>1324.85</v>
      </c>
      <c r="D6" s="15" t="n">
        <v>0</v>
      </c>
      <c r="E6" s="15" t="n">
        <v>1248.3</v>
      </c>
      <c r="F6" s="15" t="n">
        <v>1248.3</v>
      </c>
      <c r="G6" s="15" t="n">
        <v>2496.6</v>
      </c>
      <c r="H6" s="15" t="n">
        <v>0</v>
      </c>
      <c r="I6" s="15" t="n">
        <v>2496.6</v>
      </c>
      <c r="J6" s="15" t="n">
        <v>0</v>
      </c>
      <c r="K6" s="10" t="n">
        <f aca="false">SUM(C6:J6)</f>
        <v>8814.65</v>
      </c>
      <c r="L6" s="12" t="n">
        <f aca="false">IFERROR(K6/'Occupied Lots'!K6,0)</f>
        <v>20.0789293849658</v>
      </c>
    </row>
    <row r="7" customFormat="false" ht="15" hidden="false" customHeight="false" outlineLevel="0" collapsed="false">
      <c r="A7" s="14" t="s">
        <v>25</v>
      </c>
      <c r="B7" s="14" t="s">
        <v>26</v>
      </c>
      <c r="C7" s="15" t="n">
        <v>719.24</v>
      </c>
      <c r="D7" s="15" t="n">
        <v>0</v>
      </c>
      <c r="E7" s="15" t="n">
        <v>198.81</v>
      </c>
      <c r="F7" s="15" t="n">
        <v>462.79</v>
      </c>
      <c r="G7" s="15" t="n">
        <v>462.67</v>
      </c>
      <c r="H7" s="15" t="n">
        <v>55.65</v>
      </c>
      <c r="I7" s="15" t="n">
        <v>594.31</v>
      </c>
      <c r="J7" s="15" t="n">
        <v>393.11</v>
      </c>
      <c r="K7" s="10" t="n">
        <f aca="false">SUM(C7:J7)</f>
        <v>2886.58</v>
      </c>
      <c r="L7" s="12" t="n">
        <f aca="false">IFERROR(K7/'Occupied Lots'!K7,0)</f>
        <v>7.2527135678392</v>
      </c>
    </row>
    <row r="8" customFormat="false" ht="15" hidden="false" customHeight="false" outlineLevel="0" collapsed="false">
      <c r="A8" s="14" t="s">
        <v>27</v>
      </c>
      <c r="B8" s="14" t="s">
        <v>28</v>
      </c>
      <c r="C8" s="15" t="n">
        <v>4688.94</v>
      </c>
      <c r="D8" s="15" t="n">
        <v>6963.94</v>
      </c>
      <c r="E8" s="15" t="n">
        <v>9237.88</v>
      </c>
      <c r="F8" s="15" t="n">
        <v>517.5</v>
      </c>
      <c r="G8" s="15" t="n">
        <v>6872.34</v>
      </c>
      <c r="H8" s="15" t="n">
        <v>5886.44</v>
      </c>
      <c r="I8" s="15" t="n">
        <v>10790.38</v>
      </c>
      <c r="J8" s="15" t="n">
        <v>5774.1</v>
      </c>
      <c r="K8" s="10" t="n">
        <f aca="false">SUM(C8:J8)</f>
        <v>50731.52</v>
      </c>
      <c r="L8" s="12" t="n">
        <f aca="false">IFERROR(K8/'Occupied Lots'!K8,0)</f>
        <v>83.8537520661157</v>
      </c>
    </row>
    <row r="9" customFormat="false" ht="15" hidden="false" customHeight="false" outlineLevel="0" collapsed="false">
      <c r="A9" s="14" t="s">
        <v>29</v>
      </c>
      <c r="B9" s="14" t="s">
        <v>30</v>
      </c>
      <c r="C9" s="15" t="n">
        <v>0</v>
      </c>
      <c r="D9" s="15" t="n">
        <v>3742.75</v>
      </c>
      <c r="E9" s="15" t="n">
        <v>3455.71</v>
      </c>
      <c r="F9" s="15" t="n">
        <v>6911.42</v>
      </c>
      <c r="G9" s="15" t="n">
        <v>0</v>
      </c>
      <c r="H9" s="15" t="n">
        <v>3228.85</v>
      </c>
      <c r="I9" s="15" t="n">
        <v>15109.94</v>
      </c>
      <c r="J9" s="15" t="n">
        <v>6624.38</v>
      </c>
      <c r="K9" s="10" t="n">
        <f aca="false">SUM(C9:J9)</f>
        <v>39073.05</v>
      </c>
      <c r="L9" s="12" t="n">
        <f aca="false">IFERROR(K9/'Occupied Lots'!K9,0)</f>
        <v>85.1264705882353</v>
      </c>
    </row>
    <row r="10" customFormat="false" ht="15" hidden="false" customHeight="false" outlineLevel="0" collapsed="false">
      <c r="A10" s="14" t="s">
        <v>31</v>
      </c>
      <c r="B10" s="14" t="s">
        <v>32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0" t="n">
        <f aca="false">SUM(C10:J10)</f>
        <v>0</v>
      </c>
      <c r="L10" s="12" t="n">
        <f aca="false">IFERROR(K10/'Occupied Lots'!K10,0)</f>
        <v>0</v>
      </c>
    </row>
    <row r="11" customFormat="false" ht="15" hidden="false" customHeight="false" outlineLevel="0" collapsed="false">
      <c r="A11" s="14" t="s">
        <v>34</v>
      </c>
      <c r="B11" s="14" t="s">
        <v>35</v>
      </c>
      <c r="C11" s="15" t="n">
        <v>417.48</v>
      </c>
      <c r="D11" s="15" t="n">
        <v>33.7</v>
      </c>
      <c r="E11" s="15" t="n">
        <v>68.16</v>
      </c>
      <c r="F11" s="15" t="n">
        <v>1370.86</v>
      </c>
      <c r="G11" s="15" t="n">
        <v>1369.42</v>
      </c>
      <c r="H11" s="15" t="n">
        <v>1351.06</v>
      </c>
      <c r="I11" s="15" t="n">
        <v>1320.58</v>
      </c>
      <c r="J11" s="15" t="n">
        <v>1356.22</v>
      </c>
      <c r="K11" s="10" t="n">
        <f aca="false">SUM(C11:J11)</f>
        <v>7287.48</v>
      </c>
      <c r="L11" s="12" t="n">
        <f aca="false">IFERROR(K11/'Occupied Lots'!K11,0)</f>
        <v>38.9704812834225</v>
      </c>
    </row>
    <row r="12" customFormat="false" ht="15" hidden="false" customHeight="false" outlineLevel="0" collapsed="false">
      <c r="A12" s="14" t="s">
        <v>36</v>
      </c>
      <c r="B12" s="14" t="s">
        <v>37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1121.34</v>
      </c>
      <c r="J12" s="15" t="n">
        <v>112.65</v>
      </c>
      <c r="K12" s="10" t="n">
        <f aca="false">SUM(C12:J12)</f>
        <v>1233.99</v>
      </c>
      <c r="L12" s="12" t="n">
        <f aca="false">IFERROR(K12/'Occupied Lots'!K12,0)</f>
        <v>1.57597701149425</v>
      </c>
    </row>
    <row r="13" customFormat="false" ht="15" hidden="false" customHeight="false" outlineLevel="0" collapsed="false">
      <c r="A13" s="14" t="s">
        <v>38</v>
      </c>
      <c r="B13" s="14" t="s">
        <v>39</v>
      </c>
      <c r="C13" s="15" t="n">
        <v>2486.53</v>
      </c>
      <c r="D13" s="15" t="n">
        <v>4973.06</v>
      </c>
      <c r="E13" s="15" t="n">
        <v>0</v>
      </c>
      <c r="F13" s="15" t="n">
        <v>2486.53</v>
      </c>
      <c r="G13" s="15" t="n">
        <v>2981.53</v>
      </c>
      <c r="H13" s="15" t="n">
        <v>2486.53</v>
      </c>
      <c r="I13" s="15" t="n">
        <v>2486.53</v>
      </c>
      <c r="J13" s="15" t="n">
        <v>2486.53</v>
      </c>
      <c r="K13" s="10" t="n">
        <f aca="false">SUM(C13:J13)</f>
        <v>20387.24</v>
      </c>
      <c r="L13" s="12" t="n">
        <f aca="false">IFERROR(K13/'Occupied Lots'!K13,0)</f>
        <v>25.1074384236453</v>
      </c>
    </row>
    <row r="14" customFormat="false" ht="15" hidden="false" customHeight="false" outlineLevel="0" collapsed="false">
      <c r="A14" s="14" t="s">
        <v>40</v>
      </c>
      <c r="B14" s="14" t="s">
        <v>41</v>
      </c>
      <c r="C14" s="15" t="n">
        <v>1724.69</v>
      </c>
      <c r="D14" s="15" t="n">
        <v>1724.69</v>
      </c>
      <c r="E14" s="15" t="n">
        <v>3449.38</v>
      </c>
      <c r="F14" s="15" t="n">
        <v>1724.69</v>
      </c>
      <c r="G14" s="15" t="n">
        <v>1724.69</v>
      </c>
      <c r="H14" s="15" t="n">
        <v>0</v>
      </c>
      <c r="I14" s="15" t="n">
        <v>1724.69</v>
      </c>
      <c r="J14" s="15" t="n">
        <v>8623.44</v>
      </c>
      <c r="K14" s="10" t="n">
        <f aca="false">SUM(C14:J14)</f>
        <v>20696.27</v>
      </c>
      <c r="L14" s="12" t="n">
        <f aca="false">IFERROR(K14/'Occupied Lots'!K14,0)</f>
        <v>62.7159696969697</v>
      </c>
    </row>
    <row r="15" customFormat="false" ht="15" hidden="false" customHeight="false" outlineLevel="0" collapsed="false">
      <c r="A15" s="14" t="s">
        <v>42</v>
      </c>
      <c r="B15" s="14" t="s">
        <v>43</v>
      </c>
      <c r="C15" s="15" t="n">
        <v>2304.78</v>
      </c>
      <c r="D15" s="15" t="n">
        <v>2286.88</v>
      </c>
      <c r="E15" s="15" t="n">
        <v>4769.48</v>
      </c>
      <c r="F15" s="15" t="n">
        <v>2450.98</v>
      </c>
      <c r="G15" s="15" t="n">
        <v>2713.28</v>
      </c>
      <c r="H15" s="15" t="n">
        <v>0</v>
      </c>
      <c r="I15" s="15" t="n">
        <v>3003.38</v>
      </c>
      <c r="J15" s="15" t="n">
        <v>2685.7</v>
      </c>
      <c r="K15" s="10" t="n">
        <f aca="false">SUM(C15:J15)</f>
        <v>20214.48</v>
      </c>
      <c r="L15" s="12" t="n">
        <f aca="false">IFERROR(K15/'Occupied Lots'!K15,0)</f>
        <v>18.5794852941176</v>
      </c>
    </row>
    <row r="16" customFormat="false" ht="15" hidden="false" customHeight="false" outlineLevel="0" collapsed="false">
      <c r="A16" s="14" t="s">
        <v>44</v>
      </c>
      <c r="B16" s="14" t="s">
        <v>45</v>
      </c>
      <c r="C16" s="15" t="n">
        <v>0</v>
      </c>
      <c r="D16" s="15" t="n">
        <v>0</v>
      </c>
      <c r="E16" s="15" t="n">
        <v>4095</v>
      </c>
      <c r="F16" s="15" t="n">
        <v>575</v>
      </c>
      <c r="G16" s="15" t="n">
        <v>1150</v>
      </c>
      <c r="H16" s="15" t="n">
        <v>4204.2</v>
      </c>
      <c r="I16" s="15" t="n">
        <v>0</v>
      </c>
      <c r="J16" s="15" t="n">
        <v>0</v>
      </c>
      <c r="K16" s="10" t="n">
        <f aca="false">SUM(C16:J16)</f>
        <v>10024.2</v>
      </c>
      <c r="L16" s="12" t="n">
        <f aca="false">IFERROR(K16/'Occupied Lots'!K16,0)</f>
        <v>13.9418636995828</v>
      </c>
    </row>
    <row r="17" customFormat="false" ht="15" hidden="false" customHeight="false" outlineLevel="0" collapsed="false">
      <c r="A17" s="14" t="s">
        <v>46</v>
      </c>
      <c r="B17" s="14" t="s">
        <v>47</v>
      </c>
      <c r="C17" s="15" t="n">
        <v>200</v>
      </c>
      <c r="D17" s="15" t="n">
        <v>0</v>
      </c>
      <c r="E17" s="15" t="n">
        <v>400</v>
      </c>
      <c r="F17" s="15" t="n">
        <v>400</v>
      </c>
      <c r="G17" s="15" t="n">
        <v>210</v>
      </c>
      <c r="H17" s="15" t="n">
        <v>210</v>
      </c>
      <c r="I17" s="15" t="n">
        <v>120</v>
      </c>
      <c r="J17" s="15" t="n">
        <v>210</v>
      </c>
      <c r="K17" s="10" t="n">
        <f aca="false">SUM(C17:J17)</f>
        <v>1750</v>
      </c>
      <c r="L17" s="12" t="n">
        <f aca="false">IFERROR(K17/'Occupied Lots'!K17,0)</f>
        <v>8.25471698113208</v>
      </c>
    </row>
    <row r="18" customFormat="false" ht="15" hidden="false" customHeight="false" outlineLevel="0" collapsed="false">
      <c r="A18" s="14" t="s">
        <v>48</v>
      </c>
      <c r="B18" s="14" t="s">
        <v>49</v>
      </c>
      <c r="C18" s="15" t="n">
        <v>0</v>
      </c>
      <c r="D18" s="15" t="n">
        <v>2786.55</v>
      </c>
      <c r="E18" s="15" t="n">
        <v>2499.51</v>
      </c>
      <c r="F18" s="15" t="n">
        <v>4568.46</v>
      </c>
      <c r="G18" s="15" t="n">
        <v>0</v>
      </c>
      <c r="H18" s="15" t="n">
        <v>5202.72</v>
      </c>
      <c r="I18" s="15" t="n">
        <v>2420.22</v>
      </c>
      <c r="J18" s="15" t="n">
        <v>2499.51</v>
      </c>
      <c r="K18" s="10" t="n">
        <f aca="false">SUM(C18:J18)</f>
        <v>19976.97</v>
      </c>
      <c r="L18" s="12" t="n">
        <f aca="false">IFERROR(K18/'Occupied Lots'!K18,0)</f>
        <v>70.3414436619718</v>
      </c>
    </row>
    <row r="19" customFormat="false" ht="15" hidden="false" customHeight="false" outlineLevel="0" collapsed="false">
      <c r="A19" s="14" t="s">
        <v>50</v>
      </c>
      <c r="B19" s="14" t="s">
        <v>51</v>
      </c>
      <c r="C19" s="15" t="n">
        <v>5417.64</v>
      </c>
      <c r="D19" s="15" t="n">
        <v>2650.03</v>
      </c>
      <c r="E19" s="15" t="n">
        <v>2650.94</v>
      </c>
      <c r="F19" s="15" t="n">
        <v>2847.95</v>
      </c>
      <c r="G19" s="15" t="n">
        <v>4074.18</v>
      </c>
      <c r="H19" s="15" t="n">
        <v>2964.42</v>
      </c>
      <c r="I19" s="15" t="n">
        <v>3718.87</v>
      </c>
      <c r="J19" s="15" t="n">
        <v>3574.46</v>
      </c>
      <c r="K19" s="10" t="n">
        <f aca="false">SUM(C19:J19)</f>
        <v>27898.49</v>
      </c>
      <c r="L19" s="12" t="n">
        <f aca="false">IFERROR(K19/'Occupied Lots'!K19,0)</f>
        <v>46.4974833333333</v>
      </c>
    </row>
    <row r="20" customFormat="false" ht="15" hidden="false" customHeight="false" outlineLevel="0" collapsed="false">
      <c r="A20" s="14" t="s">
        <v>52</v>
      </c>
      <c r="B20" s="14" t="s">
        <v>53</v>
      </c>
      <c r="C20" s="15" t="n">
        <v>0</v>
      </c>
      <c r="D20" s="15" t="n">
        <v>349.91</v>
      </c>
      <c r="E20" s="15" t="n">
        <v>699.82</v>
      </c>
      <c r="F20" s="15" t="n">
        <v>349.91</v>
      </c>
      <c r="G20" s="15" t="n">
        <v>0</v>
      </c>
      <c r="H20" s="15" t="n">
        <v>0</v>
      </c>
      <c r="I20" s="15" t="n">
        <v>0</v>
      </c>
      <c r="J20" s="15" t="n">
        <v>0</v>
      </c>
      <c r="K20" s="10" t="n">
        <f aca="false">SUM(C20:J20)</f>
        <v>1399.64</v>
      </c>
      <c r="L20" s="12" t="n">
        <f aca="false">IFERROR(K20/'Occupied Lots'!K20,0)</f>
        <v>13.3299047619048</v>
      </c>
    </row>
    <row r="21" customFormat="false" ht="15" hidden="false" customHeight="false" outlineLevel="0" collapsed="false">
      <c r="A21" s="14" t="s">
        <v>54</v>
      </c>
      <c r="B21" s="14" t="s">
        <v>55</v>
      </c>
      <c r="C21" s="15" t="n">
        <v>5788.86</v>
      </c>
      <c r="D21" s="15" t="n">
        <v>141.27</v>
      </c>
      <c r="E21" s="15" t="n">
        <v>10692.94</v>
      </c>
      <c r="F21" s="15" t="n">
        <v>5060.68</v>
      </c>
      <c r="G21" s="15" t="n">
        <v>5902.23</v>
      </c>
      <c r="H21" s="15" t="n">
        <v>5263.06</v>
      </c>
      <c r="I21" s="15" t="n">
        <v>5616.28</v>
      </c>
      <c r="J21" s="15" t="n">
        <v>5932.53</v>
      </c>
      <c r="K21" s="10" t="n">
        <f aca="false">SUM(C21:J21)</f>
        <v>44397.85</v>
      </c>
      <c r="L21" s="12" t="n">
        <f aca="false">IFERROR(K21/'Occupied Lots'!K21,0)</f>
        <v>55.5667709637046</v>
      </c>
    </row>
    <row r="22" customFormat="false" ht="15" hidden="false" customHeight="false" outlineLevel="0" collapsed="false">
      <c r="A22" s="14" t="s">
        <v>56</v>
      </c>
      <c r="B22" s="14" t="s">
        <v>57</v>
      </c>
      <c r="C22" s="15" t="n">
        <v>1501.6</v>
      </c>
      <c r="D22" s="15" t="n">
        <v>748.06</v>
      </c>
      <c r="E22" s="15" t="n">
        <v>88.7</v>
      </c>
      <c r="F22" s="15" t="n">
        <v>901.69</v>
      </c>
      <c r="G22" s="15" t="n">
        <v>1771.42</v>
      </c>
      <c r="H22" s="15" t="n">
        <v>922.04</v>
      </c>
      <c r="I22" s="15" t="n">
        <v>933.07</v>
      </c>
      <c r="J22" s="15" t="n">
        <v>910.07</v>
      </c>
      <c r="K22" s="10" t="n">
        <f aca="false">SUM(C22:J22)</f>
        <v>7776.65</v>
      </c>
      <c r="L22" s="12" t="n">
        <f aca="false">IFERROR(K22/'Occupied Lots'!K22,0)</f>
        <v>22.4758670520231</v>
      </c>
    </row>
    <row r="23" customFormat="false" ht="15" hidden="false" customHeight="false" outlineLevel="0" collapsed="false">
      <c r="A23" s="14" t="s">
        <v>58</v>
      </c>
      <c r="B23" s="14" t="s">
        <v>59</v>
      </c>
      <c r="C23" s="15" t="n">
        <v>2915.51</v>
      </c>
      <c r="D23" s="15" t="n">
        <v>740.51</v>
      </c>
      <c r="E23" s="15" t="n">
        <v>740.51</v>
      </c>
      <c r="F23" s="15" t="n">
        <v>809.6</v>
      </c>
      <c r="G23" s="15" t="n">
        <v>740.51</v>
      </c>
      <c r="H23" s="15" t="n">
        <v>740.51</v>
      </c>
      <c r="I23" s="15" t="n">
        <v>0</v>
      </c>
      <c r="J23" s="15" t="n">
        <v>740.51</v>
      </c>
      <c r="K23" s="10" t="n">
        <f aca="false">SUM(C23:J23)</f>
        <v>7427.66</v>
      </c>
      <c r="L23" s="12" t="n">
        <f aca="false">IFERROR(K23/'Occupied Lots'!K23,0)</f>
        <v>37.5134343434344</v>
      </c>
    </row>
    <row r="24" customFormat="false" ht="15" hidden="false" customHeight="false" outlineLevel="0" collapsed="false">
      <c r="A24" s="14" t="s">
        <v>60</v>
      </c>
      <c r="B24" s="14" t="s">
        <v>61</v>
      </c>
      <c r="C24" s="15" t="n">
        <v>579.62</v>
      </c>
      <c r="D24" s="15" t="n">
        <v>579.62</v>
      </c>
      <c r="E24" s="15" t="n">
        <v>1494.56</v>
      </c>
      <c r="F24" s="15" t="n">
        <v>671.91</v>
      </c>
      <c r="G24" s="15" t="n">
        <v>697.79</v>
      </c>
      <c r="H24" s="15" t="n">
        <v>1350.36</v>
      </c>
      <c r="I24" s="15" t="n">
        <v>696.17</v>
      </c>
      <c r="J24" s="15" t="n">
        <v>678.39</v>
      </c>
      <c r="K24" s="10" t="n">
        <f aca="false">SUM(C24:J24)</f>
        <v>6748.42</v>
      </c>
      <c r="L24" s="12" t="n">
        <f aca="false">IFERROR(K24/'Occupied Lots'!K24,0)</f>
        <v>24.1015</v>
      </c>
    </row>
    <row r="25" customFormat="false" ht="15" hidden="false" customHeight="false" outlineLevel="0" collapsed="false">
      <c r="A25" s="14" t="s">
        <v>62</v>
      </c>
      <c r="B25" s="14" t="s">
        <v>63</v>
      </c>
      <c r="C25" s="15" t="n">
        <v>1898.97</v>
      </c>
      <c r="D25" s="15" t="n">
        <v>1621.47</v>
      </c>
      <c r="E25" s="15" t="n">
        <v>3651.06</v>
      </c>
      <c r="F25" s="15" t="n">
        <v>2057.83</v>
      </c>
      <c r="G25" s="15" t="n">
        <v>1825.53</v>
      </c>
      <c r="H25" s="15" t="n">
        <v>190.56</v>
      </c>
      <c r="I25" s="15" t="n">
        <v>3290.4</v>
      </c>
      <c r="J25" s="15" t="n">
        <v>190.56</v>
      </c>
      <c r="K25" s="10" t="n">
        <f aca="false">SUM(C25:J25)</f>
        <v>14726.38</v>
      </c>
      <c r="L25" s="12" t="n">
        <f aca="false">IFERROR(K25/'Occupied Lots'!K25,0)</f>
        <v>20.228543956044</v>
      </c>
    </row>
    <row r="26" customFormat="false" ht="15" hidden="false" customHeight="false" outlineLevel="0" collapsed="false">
      <c r="A26" s="14" t="s">
        <v>64</v>
      </c>
      <c r="B26" s="14" t="s">
        <v>65</v>
      </c>
      <c r="C26" s="15" t="n">
        <v>2012.83</v>
      </c>
      <c r="D26" s="15" t="n">
        <v>4186</v>
      </c>
      <c r="E26" s="15" t="n">
        <v>2093</v>
      </c>
      <c r="F26" s="15" t="n">
        <v>4426.5</v>
      </c>
      <c r="G26" s="15" t="n">
        <v>2384.83</v>
      </c>
      <c r="H26" s="15" t="n">
        <v>2384.83</v>
      </c>
      <c r="I26" s="15" t="n">
        <v>2384.83</v>
      </c>
      <c r="J26" s="15" t="n">
        <v>2384.83</v>
      </c>
      <c r="K26" s="10" t="n">
        <f aca="false">SUM(C26:J26)</f>
        <v>22257.65</v>
      </c>
      <c r="L26" s="12" t="n">
        <f aca="false">IFERROR(K26/'Occupied Lots'!K26,0)</f>
        <v>56.7797193877551</v>
      </c>
    </row>
    <row r="27" customFormat="false" ht="15" hidden="false" customHeight="false" outlineLevel="0" collapsed="false">
      <c r="A27" s="14" t="s">
        <v>66</v>
      </c>
      <c r="B27" s="14" t="s">
        <v>67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2480.75</v>
      </c>
      <c r="I27" s="15" t="n">
        <v>5281.93</v>
      </c>
      <c r="J27" s="15" t="n">
        <v>2243.15</v>
      </c>
      <c r="K27" s="10" t="n">
        <f aca="false">SUM(C27:J27)</f>
        <v>10005.83</v>
      </c>
      <c r="L27" s="12" t="n">
        <f aca="false">IFERROR(K27/'Occupied Lots'!K27,0)</f>
        <v>9.87742349457058</v>
      </c>
    </row>
    <row r="28" customFormat="false" ht="15" hidden="false" customHeight="false" outlineLevel="0" collapsed="false">
      <c r="A28" s="14" t="s">
        <v>69</v>
      </c>
      <c r="B28" s="14" t="s">
        <v>70</v>
      </c>
      <c r="C28" s="15" t="n">
        <v>2268.17</v>
      </c>
      <c r="D28" s="15" t="n">
        <v>3063.97</v>
      </c>
      <c r="E28" s="15" t="n">
        <v>3182.49</v>
      </c>
      <c r="F28" s="15" t="n">
        <v>1635.38</v>
      </c>
      <c r="G28" s="15" t="n">
        <v>1646.39</v>
      </c>
      <c r="H28" s="15" t="n">
        <v>0</v>
      </c>
      <c r="I28" s="15" t="n">
        <v>4147.76</v>
      </c>
      <c r="J28" s="15" t="n">
        <v>2044.1</v>
      </c>
      <c r="K28" s="10" t="n">
        <f aca="false">SUM(C28:J28)</f>
        <v>17988.26</v>
      </c>
      <c r="L28" s="12" t="n">
        <f aca="false">IFERROR(K28/'Occupied Lots'!K28,0)</f>
        <v>34.0686742424242</v>
      </c>
    </row>
    <row r="29" customFormat="false" ht="15" hidden="false" customHeight="false" outlineLevel="0" collapsed="false">
      <c r="A29" s="14" t="s">
        <v>71</v>
      </c>
      <c r="B29" s="14" t="s">
        <v>72</v>
      </c>
      <c r="C29" s="15" t="n">
        <v>1270.27</v>
      </c>
      <c r="D29" s="15" t="n">
        <v>1830.56</v>
      </c>
      <c r="E29" s="15" t="n">
        <v>1270.01</v>
      </c>
      <c r="F29" s="15" t="n">
        <v>1330.75</v>
      </c>
      <c r="G29" s="15" t="n">
        <v>1348.84</v>
      </c>
      <c r="H29" s="15" t="n">
        <v>1895.41</v>
      </c>
      <c r="I29" s="15" t="n">
        <v>1332.8</v>
      </c>
      <c r="J29" s="15" t="n">
        <v>1317.24</v>
      </c>
      <c r="K29" s="10" t="n">
        <f aca="false">SUM(C29:J29)</f>
        <v>11595.88</v>
      </c>
      <c r="L29" s="12" t="n">
        <f aca="false">IFERROR(K29/'Occupied Lots'!K29,0)</f>
        <v>24.5675423728814</v>
      </c>
    </row>
    <row r="30" customFormat="false" ht="15" hidden="false" customHeight="false" outlineLevel="0" collapsed="false">
      <c r="A30" s="14" t="s">
        <v>73</v>
      </c>
      <c r="B30" s="14" t="s">
        <v>74</v>
      </c>
      <c r="C30" s="15" t="n">
        <v>0</v>
      </c>
      <c r="D30" s="15" t="n">
        <v>0</v>
      </c>
      <c r="E30" s="15" t="n">
        <v>265.68</v>
      </c>
      <c r="F30" s="15" t="n">
        <v>91.42</v>
      </c>
      <c r="G30" s="15" t="n">
        <v>1610.57</v>
      </c>
      <c r="H30" s="15" t="n">
        <v>347.22</v>
      </c>
      <c r="I30" s="15" t="n">
        <v>66.42</v>
      </c>
      <c r="J30" s="15" t="n">
        <v>66.42</v>
      </c>
      <c r="K30" s="10" t="n">
        <f aca="false">SUM(C30:J30)</f>
        <v>2447.73</v>
      </c>
      <c r="L30" s="12" t="n">
        <f aca="false">IFERROR(K30/'Occupied Lots'!K30,0)</f>
        <v>1.63618315508021</v>
      </c>
    </row>
    <row r="31" customFormat="false" ht="15" hidden="false" customHeight="false" outlineLevel="0" collapsed="false">
      <c r="A31" s="14" t="s">
        <v>75</v>
      </c>
      <c r="B31" s="14" t="s">
        <v>76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0" t="n">
        <f aca="false">SUM(C31:J31)</f>
        <v>0</v>
      </c>
      <c r="L31" s="12" t="n">
        <f aca="false">IFERROR(K31/'Occupied Lots'!K31,0)</f>
        <v>0</v>
      </c>
    </row>
    <row r="32" customFormat="false" ht="15" hidden="false" customHeight="false" outlineLevel="0" collapsed="false">
      <c r="A32" s="14" t="s">
        <v>78</v>
      </c>
      <c r="B32" s="14" t="s">
        <v>79</v>
      </c>
      <c r="C32" s="15" t="n">
        <v>575</v>
      </c>
      <c r="D32" s="15" t="n">
        <v>0</v>
      </c>
      <c r="E32" s="15" t="n">
        <v>0</v>
      </c>
      <c r="F32" s="15" t="n">
        <v>4760</v>
      </c>
      <c r="G32" s="15" t="n">
        <v>0</v>
      </c>
      <c r="H32" s="15" t="n">
        <v>4871.6</v>
      </c>
      <c r="I32" s="15" t="n">
        <v>644.7</v>
      </c>
      <c r="J32" s="15" t="n">
        <v>0</v>
      </c>
      <c r="K32" s="10" t="n">
        <f aca="false">SUM(C32:J32)</f>
        <v>10851.3</v>
      </c>
      <c r="L32" s="12" t="n">
        <f aca="false">IFERROR(K32/'Occupied Lots'!K32,0)</f>
        <v>15.3483734087695</v>
      </c>
    </row>
    <row r="33" customFormat="false" ht="15" hidden="false" customHeight="false" outlineLevel="0" collapsed="false">
      <c r="A33" s="14" t="s">
        <v>80</v>
      </c>
      <c r="B33" s="14" t="s">
        <v>81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0" t="n">
        <f aca="false">SUM(C33:J33)</f>
        <v>0</v>
      </c>
      <c r="L33" s="12" t="n">
        <f aca="false">IFERROR(K33/'Occupied Lots'!K33,0)</f>
        <v>0</v>
      </c>
    </row>
    <row r="34" customFormat="false" ht="15" hidden="false" customHeight="false" outlineLevel="0" collapsed="false">
      <c r="A34" s="14" t="s">
        <v>83</v>
      </c>
      <c r="B34" s="14" t="s">
        <v>84</v>
      </c>
      <c r="C34" s="15" t="n">
        <v>1968.8</v>
      </c>
      <c r="D34" s="15" t="n">
        <v>2006.23</v>
      </c>
      <c r="E34" s="15" t="n">
        <v>1836.5</v>
      </c>
      <c r="F34" s="15" t="n">
        <v>2199.83</v>
      </c>
      <c r="G34" s="15" t="n">
        <v>3518.31</v>
      </c>
      <c r="H34" s="15" t="n">
        <v>2016.95</v>
      </c>
      <c r="I34" s="15" t="n">
        <v>1848.43</v>
      </c>
      <c r="J34" s="15" t="n">
        <v>2073.12</v>
      </c>
      <c r="K34" s="10" t="n">
        <f aca="false">SUM(C34:J34)</f>
        <v>17468.17</v>
      </c>
      <c r="L34" s="12" t="n">
        <f aca="false">IFERROR(K34/'Occupied Lots'!K34,0)</f>
        <v>54.9313522012579</v>
      </c>
    </row>
    <row r="35" customFormat="false" ht="15" hidden="false" customHeight="false" outlineLevel="0" collapsed="false">
      <c r="A35" s="14" t="s">
        <v>85</v>
      </c>
      <c r="B35" s="14" t="s">
        <v>86</v>
      </c>
      <c r="C35" s="15" t="n">
        <v>65</v>
      </c>
      <c r="D35" s="15" t="n">
        <v>957.84</v>
      </c>
      <c r="E35" s="15" t="n">
        <v>944.84</v>
      </c>
      <c r="F35" s="15" t="n">
        <v>968.4</v>
      </c>
      <c r="G35" s="15" t="n">
        <v>1871.8</v>
      </c>
      <c r="H35" s="15" t="n">
        <v>106.58</v>
      </c>
      <c r="I35" s="15" t="n">
        <v>1044.64</v>
      </c>
      <c r="J35" s="15" t="n">
        <v>1031.64</v>
      </c>
      <c r="K35" s="10" t="n">
        <f aca="false">SUM(C35:J35)</f>
        <v>6990.74</v>
      </c>
      <c r="L35" s="12" t="n">
        <f aca="false">IFERROR(K35/'Occupied Lots'!K35,0)</f>
        <v>24.106</v>
      </c>
    </row>
    <row r="36" customFormat="false" ht="15" hidden="false" customHeight="false" outlineLevel="0" collapsed="false">
      <c r="A36" s="14" t="s">
        <v>87</v>
      </c>
      <c r="B36" s="14" t="s">
        <v>88</v>
      </c>
      <c r="C36" s="15" t="n">
        <v>1405.56</v>
      </c>
      <c r="D36" s="15" t="n">
        <v>1405.56</v>
      </c>
      <c r="E36" s="15" t="n">
        <v>1405.56</v>
      </c>
      <c r="F36" s="15" t="n">
        <v>609.08</v>
      </c>
      <c r="G36" s="15" t="n">
        <v>1869.7</v>
      </c>
      <c r="H36" s="15" t="n">
        <v>1432.34</v>
      </c>
      <c r="I36" s="15" t="n">
        <v>1432.34</v>
      </c>
      <c r="J36" s="15" t="n">
        <v>1432.34</v>
      </c>
      <c r="K36" s="10" t="n">
        <f aca="false">SUM(C36:J36)</f>
        <v>10992.48</v>
      </c>
      <c r="L36" s="12" t="n">
        <f aca="false">IFERROR(K36/'Occupied Lots'!K36,0)</f>
        <v>41.4810566037736</v>
      </c>
    </row>
    <row r="37" customFormat="false" ht="15" hidden="false" customHeight="false" outlineLevel="0" collapsed="false">
      <c r="A37" s="14" t="s">
        <v>89</v>
      </c>
      <c r="B37" s="14" t="s">
        <v>90</v>
      </c>
      <c r="C37" s="15" t="n">
        <v>1361.21</v>
      </c>
      <c r="D37" s="15" t="n">
        <v>1158.25</v>
      </c>
      <c r="E37" s="15" t="n">
        <v>443.81</v>
      </c>
      <c r="F37" s="15" t="n">
        <v>1250.26</v>
      </c>
      <c r="G37" s="15" t="n">
        <v>1035.4</v>
      </c>
      <c r="H37" s="15" t="n">
        <v>860.95</v>
      </c>
      <c r="I37" s="15" t="n">
        <v>1226.47</v>
      </c>
      <c r="J37" s="15" t="n">
        <v>968.95</v>
      </c>
      <c r="K37" s="10" t="n">
        <f aca="false">SUM(C37:J37)</f>
        <v>8305.3</v>
      </c>
      <c r="L37" s="12" t="n">
        <f aca="false">IFERROR(K37/'Occupied Lots'!K37,0)</f>
        <v>6.61776892430279</v>
      </c>
    </row>
    <row r="38" customFormat="false" ht="15" hidden="false" customHeight="false" outlineLevel="0" collapsed="false">
      <c r="A38" s="14" t="s">
        <v>91</v>
      </c>
      <c r="B38" s="14" t="s">
        <v>92</v>
      </c>
      <c r="C38" s="15" t="n">
        <v>623.33</v>
      </c>
      <c r="D38" s="15" t="n">
        <v>623.33</v>
      </c>
      <c r="E38" s="15" t="n">
        <v>623.33</v>
      </c>
      <c r="F38" s="15" t="n">
        <v>623.33</v>
      </c>
      <c r="G38" s="15" t="n">
        <v>673.33</v>
      </c>
      <c r="H38" s="15" t="n">
        <v>642.04</v>
      </c>
      <c r="I38" s="15" t="n">
        <v>642.04</v>
      </c>
      <c r="J38" s="15" t="n">
        <v>642.04</v>
      </c>
      <c r="K38" s="10" t="n">
        <f aca="false">SUM(C38:J38)</f>
        <v>5092.77</v>
      </c>
      <c r="L38" s="12" t="n">
        <f aca="false">IFERROR(K38/'Occupied Lots'!K38,0)</f>
        <v>16.1675238095238</v>
      </c>
    </row>
    <row r="39" customFormat="false" ht="15" hidden="false" customHeight="false" outlineLevel="0" collapsed="false">
      <c r="A39" s="14" t="s">
        <v>93</v>
      </c>
      <c r="B39" s="14" t="s">
        <v>94</v>
      </c>
      <c r="C39" s="15" t="n">
        <v>1555.9</v>
      </c>
      <c r="D39" s="15" t="n">
        <v>4548</v>
      </c>
      <c r="E39" s="15" t="n">
        <v>0</v>
      </c>
      <c r="F39" s="15" t="n">
        <v>5940</v>
      </c>
      <c r="G39" s="15" t="n">
        <v>0</v>
      </c>
      <c r="H39" s="15" t="n">
        <v>425</v>
      </c>
      <c r="I39" s="15" t="n">
        <v>11220</v>
      </c>
      <c r="J39" s="15" t="n">
        <v>0</v>
      </c>
      <c r="K39" s="10" t="n">
        <f aca="false">SUM(C39:J39)</f>
        <v>23688.9</v>
      </c>
      <c r="L39" s="12" t="n">
        <f aca="false">IFERROR(K39/'Occupied Lots'!K39,0)</f>
        <v>46.6316929133858</v>
      </c>
    </row>
    <row r="40" customFormat="false" ht="15" hidden="false" customHeight="false" outlineLevel="0" collapsed="false">
      <c r="A40" s="14" t="s">
        <v>95</v>
      </c>
      <c r="B40" s="14" t="s">
        <v>96</v>
      </c>
      <c r="C40" s="15" t="n">
        <v>2095.9</v>
      </c>
      <c r="D40" s="15" t="n">
        <v>0</v>
      </c>
      <c r="E40" s="15" t="n">
        <v>4349.32</v>
      </c>
      <c r="F40" s="15" t="n">
        <v>4001.34</v>
      </c>
      <c r="G40" s="15" t="n">
        <v>579</v>
      </c>
      <c r="H40" s="15" t="n">
        <v>2845.25</v>
      </c>
      <c r="I40" s="15" t="n">
        <v>2012.95</v>
      </c>
      <c r="J40" s="15" t="n">
        <v>1974.52</v>
      </c>
      <c r="K40" s="10" t="n">
        <f aca="false">SUM(C40:J40)</f>
        <v>17858.28</v>
      </c>
      <c r="L40" s="12" t="n">
        <f aca="false">IFERROR(K40/'Occupied Lots'!K40,0)</f>
        <v>27.5590740740741</v>
      </c>
    </row>
    <row r="41" customFormat="false" ht="15" hidden="false" customHeight="false" outlineLevel="0" collapsed="false">
      <c r="A41" s="14" t="s">
        <v>97</v>
      </c>
      <c r="B41" s="14" t="s">
        <v>98</v>
      </c>
      <c r="C41" s="15" t="n">
        <v>0</v>
      </c>
      <c r="D41" s="15" t="n">
        <v>0</v>
      </c>
      <c r="E41" s="15" t="n">
        <v>0</v>
      </c>
      <c r="F41" s="15" t="n">
        <v>4110.6</v>
      </c>
      <c r="G41" s="15" t="n">
        <v>0</v>
      </c>
      <c r="H41" s="15" t="n">
        <v>18887.18</v>
      </c>
      <c r="I41" s="15" t="n">
        <v>16291</v>
      </c>
      <c r="J41" s="15" t="n">
        <v>9507.45</v>
      </c>
      <c r="K41" s="10" t="n">
        <f aca="false">SUM(C41:J41)</f>
        <v>48796.23</v>
      </c>
      <c r="L41" s="12" t="n">
        <f aca="false">IFERROR(K41/'Occupied Lots'!K41,0)</f>
        <v>20.6763686440678</v>
      </c>
    </row>
    <row r="42" customFormat="false" ht="15" hidden="false" customHeight="false" outlineLevel="0" collapsed="false">
      <c r="A42" s="14" t="s">
        <v>100</v>
      </c>
      <c r="B42" s="14" t="s">
        <v>101</v>
      </c>
      <c r="C42" s="15" t="n">
        <v>1266.95</v>
      </c>
      <c r="D42" s="15" t="n">
        <v>0</v>
      </c>
      <c r="E42" s="15" t="n">
        <v>2533.9</v>
      </c>
      <c r="F42" s="15" t="n">
        <v>1397.95</v>
      </c>
      <c r="G42" s="15" t="n">
        <v>1397.95</v>
      </c>
      <c r="H42" s="15" t="n">
        <v>1626.67</v>
      </c>
      <c r="I42" s="15" t="n">
        <v>3488.34</v>
      </c>
      <c r="J42" s="15" t="n">
        <v>3173.34</v>
      </c>
      <c r="K42" s="10" t="n">
        <f aca="false">SUM(C42:J42)</f>
        <v>14885.1</v>
      </c>
      <c r="L42" s="12" t="n">
        <f aca="false">IFERROR(K42/'Occupied Lots'!K42,0)</f>
        <v>42.5288571428571</v>
      </c>
    </row>
    <row r="43" customFormat="false" ht="15" hidden="false" customHeight="false" outlineLevel="0" collapsed="false">
      <c r="A43" s="14" t="s">
        <v>102</v>
      </c>
      <c r="B43" s="14" t="s">
        <v>103</v>
      </c>
      <c r="C43" s="15" t="n">
        <v>1949.96</v>
      </c>
      <c r="D43" s="15" t="n">
        <v>4032.26</v>
      </c>
      <c r="E43" s="15" t="n">
        <v>4908.54</v>
      </c>
      <c r="F43" s="15" t="n">
        <v>2012.75</v>
      </c>
      <c r="G43" s="15" t="n">
        <v>5991.13</v>
      </c>
      <c r="H43" s="15" t="n">
        <v>1032.3</v>
      </c>
      <c r="I43" s="15" t="n">
        <v>8271.23</v>
      </c>
      <c r="J43" s="15" t="n">
        <v>6839.36</v>
      </c>
      <c r="K43" s="10" t="n">
        <f aca="false">SUM(C43:J43)</f>
        <v>35037.53</v>
      </c>
      <c r="L43" s="12" t="n">
        <f aca="false">IFERROR(K43/'Occupied Lots'!K43,0)</f>
        <v>25.8770531757755</v>
      </c>
    </row>
    <row r="44" customFormat="false" ht="15" hidden="false" customHeight="false" outlineLevel="0" collapsed="false">
      <c r="A44" s="14" t="s">
        <v>104</v>
      </c>
      <c r="B44" s="14" t="s">
        <v>105</v>
      </c>
      <c r="C44" s="15" t="n">
        <v>11062.91</v>
      </c>
      <c r="D44" s="15" t="n">
        <v>8885.9</v>
      </c>
      <c r="E44" s="15" t="n">
        <v>8561.8</v>
      </c>
      <c r="F44" s="15" t="n">
        <v>9546.55</v>
      </c>
      <c r="G44" s="15" t="n">
        <v>13719.39</v>
      </c>
      <c r="H44" s="15" t="n">
        <v>8153.06</v>
      </c>
      <c r="I44" s="15" t="n">
        <v>9811.9</v>
      </c>
      <c r="J44" s="15" t="n">
        <v>8829.51</v>
      </c>
      <c r="K44" s="10" t="n">
        <f aca="false">SUM(C44:J44)</f>
        <v>78571.02</v>
      </c>
      <c r="L44" s="12" t="n">
        <f aca="false">IFERROR(K44/'Occupied Lots'!K44,0)</f>
        <v>60.2538496932515</v>
      </c>
    </row>
    <row r="45" customFormat="false" ht="15" hidden="false" customHeight="false" outlineLevel="0" collapsed="false">
      <c r="A45" s="14" t="s">
        <v>106</v>
      </c>
      <c r="B45" s="14" t="s">
        <v>107</v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825</v>
      </c>
      <c r="H45" s="15" t="n">
        <v>0</v>
      </c>
      <c r="I45" s="15" t="n">
        <v>0</v>
      </c>
      <c r="J45" s="15" t="n">
        <v>0</v>
      </c>
      <c r="K45" s="10" t="n">
        <f aca="false">SUM(C45:J45)</f>
        <v>825</v>
      </c>
      <c r="L45" s="12" t="n">
        <f aca="false">IFERROR(K45/'Occupied Lots'!K45,0)</f>
        <v>3.40909090909091</v>
      </c>
    </row>
    <row r="46" customFormat="false" ht="15" hidden="false" customHeight="false" outlineLevel="0" collapsed="false">
      <c r="A46" s="14" t="s">
        <v>108</v>
      </c>
      <c r="B46" s="14" t="s">
        <v>109</v>
      </c>
      <c r="C46" s="15" t="n">
        <v>1825.95</v>
      </c>
      <c r="D46" s="15" t="n">
        <v>1825.95</v>
      </c>
      <c r="E46" s="15" t="n">
        <v>1825.95</v>
      </c>
      <c r="F46" s="15" t="n">
        <v>1825.95</v>
      </c>
      <c r="G46" s="15" t="n">
        <v>2173.17</v>
      </c>
      <c r="H46" s="15" t="n">
        <v>1825.95</v>
      </c>
      <c r="I46" s="15" t="n">
        <v>1825.95</v>
      </c>
      <c r="J46" s="15" t="n">
        <v>1825.95</v>
      </c>
      <c r="K46" s="10" t="n">
        <f aca="false">SUM(C46:J46)</f>
        <v>14954.82</v>
      </c>
      <c r="L46" s="12" t="n">
        <f aca="false">IFERROR(K46/'Occupied Lots'!K46,0)</f>
        <v>20.684398340249</v>
      </c>
    </row>
    <row r="47" customFormat="false" ht="15" hidden="false" customHeight="false" outlineLevel="0" collapsed="false">
      <c r="A47" s="14" t="s">
        <v>110</v>
      </c>
      <c r="B47" s="14" t="s">
        <v>111</v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942.09</v>
      </c>
      <c r="J47" s="15" t="n">
        <v>0</v>
      </c>
      <c r="K47" s="10" t="n">
        <f aca="false">SUM(C47:J47)</f>
        <v>942.09</v>
      </c>
      <c r="L47" s="12" t="n">
        <f aca="false">IFERROR(K47/'Occupied Lots'!K47,0)</f>
        <v>0.733143968871595</v>
      </c>
    </row>
    <row r="48" customFormat="false" ht="15" hidden="false" customHeight="false" outlineLevel="0" collapsed="false">
      <c r="A48" s="14" t="s">
        <v>112</v>
      </c>
      <c r="B48" s="14" t="s">
        <v>113</v>
      </c>
      <c r="C48" s="15" t="n">
        <v>3090.6</v>
      </c>
      <c r="D48" s="15" t="n">
        <v>3090.6</v>
      </c>
      <c r="E48" s="15" t="n">
        <v>3688.6</v>
      </c>
      <c r="F48" s="15" t="n">
        <v>5583.2</v>
      </c>
      <c r="G48" s="15" t="n">
        <v>273.69</v>
      </c>
      <c r="H48" s="15" t="n">
        <v>3090.6</v>
      </c>
      <c r="I48" s="15" t="n">
        <v>2791.6</v>
      </c>
      <c r="J48" s="15" t="n">
        <v>2791.6</v>
      </c>
      <c r="K48" s="10" t="n">
        <f aca="false">SUM(C48:J48)</f>
        <v>24400.49</v>
      </c>
      <c r="L48" s="12" t="n">
        <f aca="false">IFERROR(K48/'Occupied Lots'!K48,0)</f>
        <v>82.4340878378378</v>
      </c>
    </row>
    <row r="49" customFormat="false" ht="15" hidden="false" customHeight="false" outlineLevel="0" collapsed="false">
      <c r="A49" s="14" t="s">
        <v>114</v>
      </c>
      <c r="B49" s="14" t="s">
        <v>115</v>
      </c>
      <c r="C49" s="15" t="n">
        <v>0</v>
      </c>
      <c r="D49" s="15" t="n">
        <v>831</v>
      </c>
      <c r="E49" s="15" t="n">
        <v>1764.27</v>
      </c>
      <c r="F49" s="15" t="n">
        <v>0</v>
      </c>
      <c r="G49" s="15" t="n">
        <v>1764.27</v>
      </c>
      <c r="H49" s="15" t="n">
        <v>0</v>
      </c>
      <c r="I49" s="15" t="n">
        <v>0</v>
      </c>
      <c r="J49" s="15" t="n">
        <v>0</v>
      </c>
      <c r="K49" s="10" t="n">
        <f aca="false">SUM(C49:J49)</f>
        <v>4359.54</v>
      </c>
      <c r="L49" s="12" t="n">
        <f aca="false">IFERROR(K49/'Occupied Lots'!K49,0)</f>
        <v>8.82497975708502</v>
      </c>
    </row>
    <row r="50" customFormat="false" ht="15" hidden="false" customHeight="false" outlineLevel="0" collapsed="false">
      <c r="A50" s="14" t="s">
        <v>117</v>
      </c>
      <c r="B50" s="14" t="s">
        <v>118</v>
      </c>
      <c r="C50" s="15" t="n">
        <v>831.4</v>
      </c>
      <c r="D50" s="15" t="n">
        <v>831.4</v>
      </c>
      <c r="E50" s="15" t="n">
        <v>831.4</v>
      </c>
      <c r="F50" s="15" t="n">
        <v>831.4</v>
      </c>
      <c r="G50" s="15" t="n">
        <v>831.4</v>
      </c>
      <c r="H50" s="15" t="n">
        <v>831.4</v>
      </c>
      <c r="I50" s="15" t="n">
        <v>831.4</v>
      </c>
      <c r="J50" s="15" t="n">
        <v>831.4</v>
      </c>
      <c r="K50" s="10" t="n">
        <f aca="false">SUM(C50:J50)</f>
        <v>6651.2</v>
      </c>
      <c r="L50" s="12" t="n">
        <f aca="false">IFERROR(K50/'Occupied Lots'!K50,0)</f>
        <v>96.3942028985507</v>
      </c>
    </row>
    <row r="51" customFormat="false" ht="15" hidden="false" customHeight="false" outlineLevel="0" collapsed="false">
      <c r="A51" s="14" t="s">
        <v>119</v>
      </c>
      <c r="B51" s="14" t="s">
        <v>120</v>
      </c>
      <c r="C51" s="15" t="n">
        <v>1443</v>
      </c>
      <c r="D51" s="15" t="n">
        <v>1443</v>
      </c>
      <c r="E51" s="15" t="n">
        <v>1443</v>
      </c>
      <c r="F51" s="15" t="n">
        <v>1443</v>
      </c>
      <c r="G51" s="15" t="n">
        <v>1443</v>
      </c>
      <c r="H51" s="15" t="n">
        <v>1443</v>
      </c>
      <c r="I51" s="15" t="n">
        <v>1513</v>
      </c>
      <c r="J51" s="15" t="n">
        <v>1443</v>
      </c>
      <c r="K51" s="10" t="n">
        <f aca="false">SUM(C51:J51)</f>
        <v>11614</v>
      </c>
      <c r="L51" s="12" t="n">
        <f aca="false">IFERROR(K51/'Occupied Lots'!K51,0)</f>
        <v>13.5836257309942</v>
      </c>
    </row>
    <row r="52" customFormat="false" ht="15" hidden="false" customHeight="false" outlineLevel="0" collapsed="false">
      <c r="A52" s="14" t="s">
        <v>121</v>
      </c>
      <c r="B52" s="14" t="s">
        <v>122</v>
      </c>
      <c r="C52" s="15" t="n">
        <v>1430.79</v>
      </c>
      <c r="D52" s="15" t="n">
        <v>1430.79</v>
      </c>
      <c r="E52" s="15" t="n">
        <v>1430.79</v>
      </c>
      <c r="F52" s="15" t="n">
        <v>1430.79</v>
      </c>
      <c r="G52" s="15" t="n">
        <v>1832.04</v>
      </c>
      <c r="H52" s="15" t="n">
        <v>1449.59</v>
      </c>
      <c r="I52" s="15" t="n">
        <v>1430.79</v>
      </c>
      <c r="J52" s="15" t="n">
        <v>1430.79</v>
      </c>
      <c r="K52" s="10" t="n">
        <f aca="false">SUM(C52:J52)</f>
        <v>11866.37</v>
      </c>
      <c r="L52" s="12" t="n">
        <f aca="false">IFERROR(K52/'Occupied Lots'!K52,0)</f>
        <v>19.2012459546926</v>
      </c>
    </row>
    <row r="53" customFormat="false" ht="15" hidden="false" customHeight="false" outlineLevel="0" collapsed="false">
      <c r="A53" s="14" t="s">
        <v>123</v>
      </c>
      <c r="B53" s="14" t="s">
        <v>124</v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825</v>
      </c>
      <c r="H53" s="15" t="n">
        <v>0</v>
      </c>
      <c r="I53" s="15" t="n">
        <v>0</v>
      </c>
      <c r="J53" s="15" t="n">
        <v>0</v>
      </c>
      <c r="K53" s="10" t="n">
        <f aca="false">SUM(C53:J53)</f>
        <v>825</v>
      </c>
      <c r="L53" s="12" t="n">
        <f aca="false">IFERROR(K53/'Occupied Lots'!K53,0)</f>
        <v>1.52495378927911</v>
      </c>
    </row>
    <row r="54" customFormat="false" ht="15" hidden="false" customHeight="false" outlineLevel="0" collapsed="false">
      <c r="A54" s="14" t="s">
        <v>125</v>
      </c>
      <c r="B54" s="14" t="s">
        <v>126</v>
      </c>
      <c r="C54" s="15" t="n">
        <v>0</v>
      </c>
      <c r="D54" s="15" t="n">
        <v>0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372.85</v>
      </c>
      <c r="J54" s="15" t="n">
        <v>0</v>
      </c>
      <c r="K54" s="10" t="n">
        <f aca="false">SUM(C54:J54)</f>
        <v>372.85</v>
      </c>
      <c r="L54" s="12" t="n">
        <f aca="false">IFERROR(K54/'Occupied Lots'!K54,0)</f>
        <v>0.783298319327731</v>
      </c>
    </row>
    <row r="55" customFormat="false" ht="15" hidden="false" customHeight="false" outlineLevel="0" collapsed="false">
      <c r="A55" s="14" t="s">
        <v>127</v>
      </c>
      <c r="B55" s="14" t="s">
        <v>128</v>
      </c>
      <c r="C55" s="15" t="n">
        <v>0</v>
      </c>
      <c r="D55" s="15" t="n">
        <v>4142.61</v>
      </c>
      <c r="E55" s="15" t="n">
        <v>6666.97</v>
      </c>
      <c r="F55" s="15" t="n">
        <v>747.48</v>
      </c>
      <c r="G55" s="15" t="n">
        <v>4829.24</v>
      </c>
      <c r="H55" s="15" t="n">
        <v>427.55</v>
      </c>
      <c r="I55" s="15" t="n">
        <v>7750.99</v>
      </c>
      <c r="J55" s="15" t="n">
        <v>4799.87</v>
      </c>
      <c r="K55" s="10" t="n">
        <f aca="false">SUM(C55:J55)</f>
        <v>29364.71</v>
      </c>
      <c r="L55" s="12" t="n">
        <f aca="false">IFERROR(K55/'Occupied Lots'!K55,0)</f>
        <v>26.4546936936937</v>
      </c>
    </row>
    <row r="56" customFormat="false" ht="15" hidden="false" customHeight="false" outlineLevel="0" collapsed="false">
      <c r="A56" s="14" t="s">
        <v>129</v>
      </c>
      <c r="B56" s="14" t="s">
        <v>130</v>
      </c>
      <c r="C56" s="15" t="n">
        <v>6016.11</v>
      </c>
      <c r="D56" s="15" t="n">
        <v>3282.83</v>
      </c>
      <c r="E56" s="15" t="n">
        <v>4265.25</v>
      </c>
      <c r="F56" s="15" t="n">
        <v>4691.38</v>
      </c>
      <c r="G56" s="15" t="n">
        <v>4108.41</v>
      </c>
      <c r="H56" s="15" t="n">
        <v>5817.74</v>
      </c>
      <c r="I56" s="15" t="n">
        <v>4814.35</v>
      </c>
      <c r="J56" s="15" t="n">
        <v>5334.06</v>
      </c>
      <c r="K56" s="10" t="n">
        <f aca="false">SUM(C56:J56)</f>
        <v>38330.13</v>
      </c>
      <c r="L56" s="12" t="n">
        <f aca="false">IFERROR(K56/'Occupied Lots'!K56,0)</f>
        <v>133.090729166667</v>
      </c>
    </row>
    <row r="57" customFormat="false" ht="15" hidden="false" customHeight="false" outlineLevel="0" collapsed="false">
      <c r="A57" s="14" t="s">
        <v>131</v>
      </c>
      <c r="B57" s="14" t="s">
        <v>132</v>
      </c>
      <c r="C57" s="15" t="n">
        <v>1525.6</v>
      </c>
      <c r="D57" s="15" t="n">
        <v>1508.11</v>
      </c>
      <c r="E57" s="15" t="n">
        <v>1511.6</v>
      </c>
      <c r="F57" s="15" t="n">
        <v>1818.5</v>
      </c>
      <c r="G57" s="15" t="n">
        <v>1886.98</v>
      </c>
      <c r="H57" s="15" t="n">
        <v>1891.87</v>
      </c>
      <c r="I57" s="15" t="n">
        <v>6400.87</v>
      </c>
      <c r="J57" s="15" t="n">
        <v>2325</v>
      </c>
      <c r="K57" s="10" t="n">
        <f aca="false">SUM(C57:J57)</f>
        <v>18868.53</v>
      </c>
      <c r="L57" s="12" t="n">
        <f aca="false">IFERROR(K57/'Occupied Lots'!K57,0)</f>
        <v>10.5058630289532</v>
      </c>
    </row>
    <row r="58" customFormat="false" ht="15" hidden="false" customHeight="false" outlineLevel="0" collapsed="false">
      <c r="A58" s="14" t="s">
        <v>133</v>
      </c>
      <c r="B58" s="14" t="s">
        <v>134</v>
      </c>
      <c r="C58" s="15" t="n">
        <v>5245.32</v>
      </c>
      <c r="D58" s="15" t="n">
        <v>2697.66</v>
      </c>
      <c r="E58" s="15" t="n">
        <v>2547.66</v>
      </c>
      <c r="F58" s="15" t="n">
        <v>5095.32</v>
      </c>
      <c r="G58" s="15" t="n">
        <v>0</v>
      </c>
      <c r="H58" s="15" t="n">
        <v>2697.66</v>
      </c>
      <c r="I58" s="15" t="n">
        <v>2697.66</v>
      </c>
      <c r="J58" s="15" t="n">
        <v>2547.66</v>
      </c>
      <c r="K58" s="10" t="n">
        <f aca="false">SUM(C58:J58)</f>
        <v>23528.94</v>
      </c>
      <c r="L58" s="12" t="n">
        <f aca="false">IFERROR(K58/'Occupied Lots'!K58,0)</f>
        <v>17.3645313653137</v>
      </c>
    </row>
    <row r="59" customFormat="false" ht="15" hidden="false" customHeight="false" outlineLevel="0" collapsed="false">
      <c r="A59" s="14" t="s">
        <v>135</v>
      </c>
      <c r="B59" s="14" t="s">
        <v>136</v>
      </c>
      <c r="C59" s="15" t="n">
        <v>1317.87</v>
      </c>
      <c r="D59" s="15" t="n">
        <v>1300.27</v>
      </c>
      <c r="E59" s="15" t="n">
        <v>1014.27</v>
      </c>
      <c r="F59" s="15" t="n">
        <v>1332.62</v>
      </c>
      <c r="G59" s="15" t="n">
        <v>1175.56</v>
      </c>
      <c r="H59" s="15" t="n">
        <v>930.56</v>
      </c>
      <c r="I59" s="15" t="n">
        <v>670.56</v>
      </c>
      <c r="J59" s="15" t="n">
        <v>670.56</v>
      </c>
      <c r="K59" s="10" t="n">
        <f aca="false">SUM(C59:J59)</f>
        <v>8412.27</v>
      </c>
      <c r="L59" s="12" t="n">
        <f aca="false">IFERROR(K59/'Occupied Lots'!K59,0)</f>
        <v>26.28834375</v>
      </c>
    </row>
    <row r="60" customFormat="false" ht="15" hidden="false" customHeight="false" outlineLevel="0" collapsed="false">
      <c r="A60" s="14" t="s">
        <v>137</v>
      </c>
      <c r="B60" s="14" t="s">
        <v>138</v>
      </c>
      <c r="C60" s="15" t="n">
        <v>540</v>
      </c>
      <c r="D60" s="15" t="n">
        <v>540</v>
      </c>
      <c r="E60" s="15" t="n">
        <v>540</v>
      </c>
      <c r="F60" s="15" t="n">
        <v>540</v>
      </c>
      <c r="G60" s="15" t="n">
        <v>540</v>
      </c>
      <c r="H60" s="15" t="n">
        <v>540</v>
      </c>
      <c r="I60" s="15" t="n">
        <v>540</v>
      </c>
      <c r="J60" s="15" t="n">
        <v>540</v>
      </c>
      <c r="K60" s="10" t="n">
        <f aca="false">SUM(C60:J60)</f>
        <v>4320</v>
      </c>
      <c r="L60" s="12" t="n">
        <f aca="false">IFERROR(K60/'Occupied Lots'!K60,0)</f>
        <v>10.188679245283</v>
      </c>
    </row>
    <row r="61" customFormat="false" ht="15" hidden="false" customHeight="false" outlineLevel="0" collapsed="false">
      <c r="A61" s="14" t="s">
        <v>139</v>
      </c>
      <c r="B61" s="14" t="s">
        <v>140</v>
      </c>
      <c r="C61" s="15" t="n">
        <v>4034.1</v>
      </c>
      <c r="D61" s="15" t="n">
        <v>3964.93</v>
      </c>
      <c r="E61" s="15" t="n">
        <v>3967.3</v>
      </c>
      <c r="F61" s="15" t="n">
        <v>3967.3</v>
      </c>
      <c r="G61" s="15" t="n">
        <v>3967.3</v>
      </c>
      <c r="H61" s="15" t="n">
        <v>3967.3</v>
      </c>
      <c r="I61" s="15" t="n">
        <v>3967.3</v>
      </c>
      <c r="J61" s="15" t="n">
        <v>3967.3</v>
      </c>
      <c r="K61" s="10" t="n">
        <f aca="false">SUM(C61:J61)</f>
        <v>31802.83</v>
      </c>
      <c r="L61" s="12" t="n">
        <f aca="false">IFERROR(K61/'Occupied Lots'!K61,0)</f>
        <v>30.0878240302744</v>
      </c>
    </row>
    <row r="62" customFormat="false" ht="15" hidden="false" customHeight="false" outlineLevel="0" collapsed="false">
      <c r="A62" s="14" t="s">
        <v>141</v>
      </c>
      <c r="B62" s="14" t="s">
        <v>142</v>
      </c>
      <c r="C62" s="15" t="n">
        <v>9717.76</v>
      </c>
      <c r="D62" s="15" t="n">
        <v>2645.93</v>
      </c>
      <c r="E62" s="15" t="n">
        <v>5040.54</v>
      </c>
      <c r="F62" s="15" t="n">
        <v>1001.94</v>
      </c>
      <c r="G62" s="15" t="n">
        <v>11309.97</v>
      </c>
      <c r="H62" s="15" t="n">
        <v>524.87</v>
      </c>
      <c r="I62" s="15" t="n">
        <v>4498.8</v>
      </c>
      <c r="J62" s="15" t="n">
        <v>1467</v>
      </c>
      <c r="K62" s="10" t="n">
        <f aca="false">SUM(C62:J62)</f>
        <v>36206.81</v>
      </c>
      <c r="L62" s="12" t="n">
        <f aca="false">IFERROR(K62/'Occupied Lots'!K62,0)</f>
        <v>33.1564194139194</v>
      </c>
    </row>
    <row r="63" customFormat="false" ht="15" hidden="false" customHeight="false" outlineLevel="0" collapsed="false">
      <c r="A63" s="14" t="s">
        <v>143</v>
      </c>
      <c r="B63" s="14" t="s">
        <v>144</v>
      </c>
      <c r="C63" s="15" t="n">
        <v>574.44</v>
      </c>
      <c r="D63" s="15" t="n">
        <v>570.02</v>
      </c>
      <c r="E63" s="15" t="n">
        <v>1342.04</v>
      </c>
      <c r="F63" s="15" t="n">
        <v>1032.33</v>
      </c>
      <c r="G63" s="15" t="n">
        <v>1901.01</v>
      </c>
      <c r="H63" s="15" t="n">
        <v>1632.99</v>
      </c>
      <c r="I63" s="15" t="n">
        <v>3296.92</v>
      </c>
      <c r="J63" s="15" t="n">
        <v>1452.13</v>
      </c>
      <c r="K63" s="10" t="n">
        <f aca="false">SUM(C63:J63)</f>
        <v>11801.88</v>
      </c>
      <c r="L63" s="12" t="n">
        <f aca="false">IFERROR(K63/'Occupied Lots'!K63,0)</f>
        <v>36.2020858895706</v>
      </c>
    </row>
    <row r="64" customFormat="false" ht="15" hidden="false" customHeight="false" outlineLevel="0" collapsed="false">
      <c r="A64" s="9" t="s">
        <v>145</v>
      </c>
      <c r="C64" s="10" t="n">
        <f aca="false">SUM(C2:C63)</f>
        <v>104935.04</v>
      </c>
      <c r="D64" s="10" t="n">
        <f aca="false">SUM(D2:D63)</f>
        <v>93460.8</v>
      </c>
      <c r="E64" s="10" t="n">
        <f aca="false">SUM(E2:E63)</f>
        <v>122983.35</v>
      </c>
      <c r="F64" s="10" t="n">
        <f aca="false">SUM(F2:F63)</f>
        <v>118784.69</v>
      </c>
      <c r="G64" s="10" t="n">
        <f aca="false">SUM(G2:G63)</f>
        <v>114648.24</v>
      </c>
      <c r="H64" s="10" t="n">
        <f aca="false">SUM(H2:H63)</f>
        <v>114510.56</v>
      </c>
      <c r="I64" s="10" t="n">
        <f aca="false">SUM(I2:I63)</f>
        <v>175503.12</v>
      </c>
      <c r="J64" s="10" t="n">
        <f aca="false">SUM(J2:J63)</f>
        <v>123012.59</v>
      </c>
      <c r="K64" s="10" t="n">
        <f aca="false">SUM(K2:K63)</f>
        <v>967838.39</v>
      </c>
      <c r="L64" s="12" t="n">
        <f aca="false">IFERROR(K64/'Occupied Lots'!K64,0)</f>
        <v>24.3714340753425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1"/>
    <col collapsed="false" customWidth="true" hidden="false" outlineLevel="0" max="12" min="11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</row>
    <row r="2" customFormat="false" ht="15" hidden="false" customHeight="false" outlineLevel="0" collapsed="false">
      <c r="A2" s="14" t="s">
        <v>13</v>
      </c>
      <c r="B2" s="14" t="s">
        <v>14</v>
      </c>
      <c r="C2" s="15" t="n">
        <v>0</v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0" t="n">
        <f aca="false">SUM(C2:J2)</f>
        <v>0</v>
      </c>
      <c r="L2" s="12" t="n">
        <f aca="false">IFERROR(K2/'Occupied Lots'!K2,0)</f>
        <v>0</v>
      </c>
    </row>
    <row r="3" customFormat="false" ht="15" hidden="false" customHeight="false" outlineLevel="0" collapsed="false">
      <c r="A3" s="14" t="s">
        <v>16</v>
      </c>
      <c r="B3" s="14" t="s">
        <v>17</v>
      </c>
      <c r="C3" s="15" t="n">
        <v>4105.92</v>
      </c>
      <c r="D3" s="15" t="n">
        <v>1840</v>
      </c>
      <c r="E3" s="15" t="n">
        <v>1380</v>
      </c>
      <c r="F3" s="15" t="n">
        <v>1097.1</v>
      </c>
      <c r="G3" s="15" t="n">
        <v>2212.6</v>
      </c>
      <c r="H3" s="15" t="n">
        <v>5642</v>
      </c>
      <c r="I3" s="15" t="n">
        <v>2155</v>
      </c>
      <c r="J3" s="15" t="n">
        <v>6530.78</v>
      </c>
      <c r="K3" s="10" t="n">
        <f aca="false">SUM(C3:J3)</f>
        <v>24963.4</v>
      </c>
      <c r="L3" s="12" t="n">
        <f aca="false">IFERROR(K3/'Occupied Lots'!K3,0)</f>
        <v>42.3108474576271</v>
      </c>
    </row>
    <row r="4" customFormat="false" ht="15" hidden="false" customHeight="false" outlineLevel="0" collapsed="false">
      <c r="A4" s="14" t="s">
        <v>19</v>
      </c>
      <c r="B4" s="14" t="s">
        <v>20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0" t="n">
        <f aca="false">SUM(C4:J4)</f>
        <v>0</v>
      </c>
      <c r="L4" s="12" t="n">
        <f aca="false">IFERROR(K4/'Occupied Lots'!K4,0)</f>
        <v>0</v>
      </c>
    </row>
    <row r="5" customFormat="false" ht="15" hidden="false" customHeight="false" outlineLevel="0" collapsed="false">
      <c r="A5" s="14" t="s">
        <v>21</v>
      </c>
      <c r="B5" s="14" t="s">
        <v>22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0" t="n">
        <f aca="false">SUM(C5:J5)</f>
        <v>0</v>
      </c>
      <c r="L5" s="12" t="n">
        <f aca="false">IFERROR(K5/'Occupied Lots'!K5,0)</f>
        <v>0</v>
      </c>
    </row>
    <row r="6" customFormat="false" ht="15" hidden="false" customHeight="false" outlineLevel="0" collapsed="false">
      <c r="A6" s="14" t="s">
        <v>23</v>
      </c>
      <c r="B6" s="14" t="s">
        <v>24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0" t="n">
        <f aca="false">SUM(C6:J6)</f>
        <v>0</v>
      </c>
      <c r="L6" s="12" t="n">
        <f aca="false">IFERROR(K6/'Occupied Lots'!K6,0)</f>
        <v>0</v>
      </c>
    </row>
    <row r="7" customFormat="false" ht="15" hidden="false" customHeight="false" outlineLevel="0" collapsed="false">
      <c r="A7" s="14" t="s">
        <v>25</v>
      </c>
      <c r="B7" s="14" t="s">
        <v>26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0" t="n">
        <f aca="false">SUM(C7:J7)</f>
        <v>0</v>
      </c>
      <c r="L7" s="12" t="n">
        <f aca="false">IFERROR(K7/'Occupied Lots'!K7,0)</f>
        <v>0</v>
      </c>
    </row>
    <row r="8" customFormat="false" ht="15" hidden="false" customHeight="false" outlineLevel="0" collapsed="false">
      <c r="A8" s="14" t="s">
        <v>27</v>
      </c>
      <c r="B8" s="14" t="s">
        <v>28</v>
      </c>
      <c r="C8" s="15" t="n">
        <v>0</v>
      </c>
      <c r="D8" s="15" t="n">
        <v>0</v>
      </c>
      <c r="E8" s="15" t="n">
        <v>73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0" t="n">
        <f aca="false">SUM(C8:J8)</f>
        <v>73</v>
      </c>
      <c r="L8" s="12" t="n">
        <f aca="false">IFERROR(K8/'Occupied Lots'!K8,0)</f>
        <v>0.120661157024793</v>
      </c>
    </row>
    <row r="9" customFormat="false" ht="15" hidden="false" customHeight="false" outlineLevel="0" collapsed="false">
      <c r="A9" s="14" t="s">
        <v>29</v>
      </c>
      <c r="B9" s="14" t="s">
        <v>30</v>
      </c>
      <c r="C9" s="15" t="n">
        <v>0</v>
      </c>
      <c r="D9" s="15" t="n">
        <v>658.31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0" t="n">
        <f aca="false">SUM(C9:J9)</f>
        <v>658.31</v>
      </c>
      <c r="L9" s="12" t="n">
        <f aca="false">IFERROR(K9/'Occupied Lots'!K9,0)</f>
        <v>1.4342265795207</v>
      </c>
    </row>
    <row r="10" customFormat="false" ht="15" hidden="false" customHeight="false" outlineLevel="0" collapsed="false">
      <c r="A10" s="14" t="s">
        <v>31</v>
      </c>
      <c r="B10" s="14" t="s">
        <v>32</v>
      </c>
      <c r="C10" s="15" t="n">
        <v>0</v>
      </c>
      <c r="D10" s="15" t="n">
        <v>0</v>
      </c>
      <c r="E10" s="15" t="n">
        <v>0</v>
      </c>
      <c r="F10" s="15" t="n">
        <v>275</v>
      </c>
      <c r="G10" s="15" t="n">
        <v>1124</v>
      </c>
      <c r="H10" s="15" t="n">
        <v>0</v>
      </c>
      <c r="I10" s="15" t="n">
        <v>0</v>
      </c>
      <c r="J10" s="15" t="n">
        <v>0</v>
      </c>
      <c r="K10" s="10" t="n">
        <f aca="false">SUM(C10:J10)</f>
        <v>1399</v>
      </c>
      <c r="L10" s="12" t="n">
        <f aca="false">IFERROR(K10/'Occupied Lots'!K10,0)</f>
        <v>5.64112903225807</v>
      </c>
    </row>
    <row r="11" customFormat="false" ht="15" hidden="false" customHeight="false" outlineLevel="0" collapsed="false">
      <c r="A11" s="14" t="s">
        <v>34</v>
      </c>
      <c r="B11" s="14" t="s">
        <v>35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0" t="n">
        <f aca="false">SUM(C11:J11)</f>
        <v>0</v>
      </c>
      <c r="L11" s="12" t="n">
        <f aca="false">IFERROR(K11/'Occupied Lots'!K11,0)</f>
        <v>0</v>
      </c>
    </row>
    <row r="12" customFormat="false" ht="15" hidden="false" customHeight="false" outlineLevel="0" collapsed="false">
      <c r="A12" s="14" t="s">
        <v>36</v>
      </c>
      <c r="B12" s="14" t="s">
        <v>37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0" t="n">
        <f aca="false">SUM(C12:J12)</f>
        <v>0</v>
      </c>
      <c r="L12" s="12" t="n">
        <f aca="false">IFERROR(K12/'Occupied Lots'!K12,0)</f>
        <v>0</v>
      </c>
    </row>
    <row r="13" customFormat="false" ht="15" hidden="false" customHeight="false" outlineLevel="0" collapsed="false">
      <c r="A13" s="14" t="s">
        <v>38</v>
      </c>
      <c r="B13" s="14" t="s">
        <v>39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0" t="n">
        <f aca="false">SUM(C13:J13)</f>
        <v>0</v>
      </c>
      <c r="L13" s="12" t="n">
        <f aca="false">IFERROR(K13/'Occupied Lots'!K13,0)</f>
        <v>0</v>
      </c>
    </row>
    <row r="14" customFormat="false" ht="15" hidden="false" customHeight="false" outlineLevel="0" collapsed="false">
      <c r="A14" s="14" t="s">
        <v>40</v>
      </c>
      <c r="B14" s="14" t="s">
        <v>41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0" t="n">
        <f aca="false">SUM(C14:J14)</f>
        <v>0</v>
      </c>
      <c r="L14" s="12" t="n">
        <f aca="false">IFERROR(K14/'Occupied Lots'!K14,0)</f>
        <v>0</v>
      </c>
    </row>
    <row r="15" customFormat="false" ht="15" hidden="false" customHeight="false" outlineLevel="0" collapsed="false">
      <c r="A15" s="14" t="s">
        <v>42</v>
      </c>
      <c r="B15" s="14" t="s">
        <v>43</v>
      </c>
      <c r="C15" s="15" t="n">
        <v>8936.68</v>
      </c>
      <c r="D15" s="15" t="n">
        <v>4445.8</v>
      </c>
      <c r="E15" s="15" t="n">
        <v>1600</v>
      </c>
      <c r="F15" s="15" t="n">
        <v>3200</v>
      </c>
      <c r="G15" s="15" t="n">
        <v>4402</v>
      </c>
      <c r="H15" s="15" t="n">
        <v>1854</v>
      </c>
      <c r="I15" s="15" t="n">
        <v>5425</v>
      </c>
      <c r="J15" s="15" t="n">
        <v>0</v>
      </c>
      <c r="K15" s="10" t="n">
        <f aca="false">SUM(C15:J15)</f>
        <v>29863.48</v>
      </c>
      <c r="L15" s="12" t="n">
        <f aca="false">IFERROR(K15/'Occupied Lots'!K15,0)</f>
        <v>27.4480514705882</v>
      </c>
    </row>
    <row r="16" customFormat="false" ht="15" hidden="false" customHeight="false" outlineLevel="0" collapsed="false">
      <c r="A16" s="14" t="s">
        <v>44</v>
      </c>
      <c r="B16" s="14" t="s">
        <v>45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0" t="n">
        <f aca="false">SUM(C16:J16)</f>
        <v>0</v>
      </c>
      <c r="L16" s="12" t="n">
        <f aca="false">IFERROR(K16/'Occupied Lots'!K16,0)</f>
        <v>0</v>
      </c>
    </row>
    <row r="17" customFormat="false" ht="15" hidden="false" customHeight="false" outlineLevel="0" collapsed="false">
      <c r="A17" s="14" t="s">
        <v>46</v>
      </c>
      <c r="B17" s="14" t="s">
        <v>47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0" t="n">
        <f aca="false">SUM(C17:J17)</f>
        <v>0</v>
      </c>
      <c r="L17" s="12" t="n">
        <f aca="false">IFERROR(K17/'Occupied Lots'!K17,0)</f>
        <v>0</v>
      </c>
    </row>
    <row r="18" customFormat="false" ht="15" hidden="false" customHeight="false" outlineLevel="0" collapsed="false">
      <c r="A18" s="14" t="s">
        <v>48</v>
      </c>
      <c r="B18" s="14" t="s">
        <v>49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0" t="n">
        <f aca="false">SUM(C18:J18)</f>
        <v>0</v>
      </c>
      <c r="L18" s="12" t="n">
        <f aca="false">IFERROR(K18/'Occupied Lots'!K18,0)</f>
        <v>0</v>
      </c>
    </row>
    <row r="19" customFormat="false" ht="15" hidden="false" customHeight="false" outlineLevel="0" collapsed="false">
      <c r="A19" s="14" t="s">
        <v>50</v>
      </c>
      <c r="B19" s="14" t="s">
        <v>51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0" t="n">
        <f aca="false">SUM(C19:J19)</f>
        <v>0</v>
      </c>
      <c r="L19" s="12" t="n">
        <f aca="false">IFERROR(K19/'Occupied Lots'!K19,0)</f>
        <v>0</v>
      </c>
    </row>
    <row r="20" customFormat="false" ht="15" hidden="false" customHeight="false" outlineLevel="0" collapsed="false">
      <c r="A20" s="14" t="s">
        <v>52</v>
      </c>
      <c r="B20" s="14" t="s">
        <v>53</v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0" t="n">
        <f aca="false">SUM(C20:J20)</f>
        <v>0</v>
      </c>
      <c r="L20" s="12" t="n">
        <f aca="false">IFERROR(K20/'Occupied Lots'!K20,0)</f>
        <v>0</v>
      </c>
    </row>
    <row r="21" customFormat="false" ht="15" hidden="false" customHeight="false" outlineLevel="0" collapsed="false">
      <c r="A21" s="14" t="s">
        <v>54</v>
      </c>
      <c r="B21" s="14" t="s">
        <v>55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0" t="n">
        <f aca="false">SUM(C21:J21)</f>
        <v>0</v>
      </c>
      <c r="L21" s="12" t="n">
        <f aca="false">IFERROR(K21/'Occupied Lots'!K21,0)</f>
        <v>0</v>
      </c>
    </row>
    <row r="22" customFormat="false" ht="15" hidden="false" customHeight="false" outlineLevel="0" collapsed="false">
      <c r="A22" s="14" t="s">
        <v>56</v>
      </c>
      <c r="B22" s="14" t="s">
        <v>57</v>
      </c>
      <c r="C22" s="15" t="n">
        <v>0</v>
      </c>
      <c r="D22" s="15" t="n">
        <v>0</v>
      </c>
      <c r="E22" s="15" t="n">
        <v>375</v>
      </c>
      <c r="F22" s="15" t="n">
        <v>772.5</v>
      </c>
      <c r="G22" s="15" t="n">
        <v>0</v>
      </c>
      <c r="H22" s="15" t="n">
        <v>0</v>
      </c>
      <c r="I22" s="15" t="n">
        <v>0</v>
      </c>
      <c r="J22" s="15" t="n">
        <v>0</v>
      </c>
      <c r="K22" s="10" t="n">
        <f aca="false">SUM(C22:J22)</f>
        <v>1147.5</v>
      </c>
      <c r="L22" s="12" t="n">
        <f aca="false">IFERROR(K22/'Occupied Lots'!K22,0)</f>
        <v>3.31647398843931</v>
      </c>
    </row>
    <row r="23" customFormat="false" ht="15" hidden="false" customHeight="false" outlineLevel="0" collapsed="false">
      <c r="A23" s="14" t="s">
        <v>58</v>
      </c>
      <c r="B23" s="14" t="s">
        <v>59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0" t="n">
        <f aca="false">SUM(C23:J23)</f>
        <v>0</v>
      </c>
      <c r="L23" s="12" t="n">
        <f aca="false">IFERROR(K23/'Occupied Lots'!K23,0)</f>
        <v>0</v>
      </c>
    </row>
    <row r="24" customFormat="false" ht="15" hidden="false" customHeight="false" outlineLevel="0" collapsed="false">
      <c r="A24" s="14" t="s">
        <v>60</v>
      </c>
      <c r="B24" s="14" t="s">
        <v>61</v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0" t="n">
        <f aca="false">SUM(C24:J24)</f>
        <v>0</v>
      </c>
      <c r="L24" s="12" t="n">
        <f aca="false">IFERROR(K24/'Occupied Lots'!K24,0)</f>
        <v>0</v>
      </c>
    </row>
    <row r="25" customFormat="false" ht="15" hidden="false" customHeight="false" outlineLevel="0" collapsed="false">
      <c r="A25" s="14" t="s">
        <v>62</v>
      </c>
      <c r="B25" s="14" t="s">
        <v>63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0" t="n">
        <f aca="false">SUM(C25:J25)</f>
        <v>0</v>
      </c>
      <c r="L25" s="12" t="n">
        <f aca="false">IFERROR(K25/'Occupied Lots'!K25,0)</f>
        <v>0</v>
      </c>
    </row>
    <row r="26" customFormat="false" ht="15" hidden="false" customHeight="false" outlineLevel="0" collapsed="false">
      <c r="A26" s="14" t="s">
        <v>64</v>
      </c>
      <c r="B26" s="14" t="s">
        <v>65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0" t="n">
        <f aca="false">SUM(C26:J26)</f>
        <v>0</v>
      </c>
      <c r="L26" s="12" t="n">
        <f aca="false">IFERROR(K26/'Occupied Lots'!K26,0)</f>
        <v>0</v>
      </c>
    </row>
    <row r="27" customFormat="false" ht="15" hidden="false" customHeight="false" outlineLevel="0" collapsed="false">
      <c r="A27" s="14" t="s">
        <v>66</v>
      </c>
      <c r="B27" s="14" t="s">
        <v>67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0" t="n">
        <f aca="false">SUM(C27:J27)</f>
        <v>0</v>
      </c>
      <c r="L27" s="12" t="n">
        <f aca="false">IFERROR(K27/'Occupied Lots'!K27,0)</f>
        <v>0</v>
      </c>
    </row>
    <row r="28" customFormat="false" ht="15" hidden="false" customHeight="false" outlineLevel="0" collapsed="false">
      <c r="A28" s="14" t="s">
        <v>69</v>
      </c>
      <c r="B28" s="14" t="s">
        <v>70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0" t="n">
        <f aca="false">SUM(C28:J28)</f>
        <v>0</v>
      </c>
      <c r="L28" s="12" t="n">
        <f aca="false">IFERROR(K28/'Occupied Lots'!K28,0)</f>
        <v>0</v>
      </c>
    </row>
    <row r="29" customFormat="false" ht="15" hidden="false" customHeight="false" outlineLevel="0" collapsed="false">
      <c r="A29" s="14" t="s">
        <v>71</v>
      </c>
      <c r="B29" s="14" t="s">
        <v>72</v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0" t="n">
        <f aca="false">SUM(C29:J29)</f>
        <v>0</v>
      </c>
      <c r="L29" s="12" t="n">
        <f aca="false">IFERROR(K29/'Occupied Lots'!K29,0)</f>
        <v>0</v>
      </c>
    </row>
    <row r="30" customFormat="false" ht="15" hidden="false" customHeight="false" outlineLevel="0" collapsed="false">
      <c r="A30" s="14" t="s">
        <v>73</v>
      </c>
      <c r="B30" s="14" t="s">
        <v>74</v>
      </c>
      <c r="C30" s="15" t="n">
        <v>450</v>
      </c>
      <c r="D30" s="15" t="n">
        <v>1219.97</v>
      </c>
      <c r="E30" s="15" t="n">
        <v>0</v>
      </c>
      <c r="F30" s="15" t="n">
        <v>423.72</v>
      </c>
      <c r="G30" s="15" t="n">
        <v>0</v>
      </c>
      <c r="H30" s="15" t="n">
        <v>0</v>
      </c>
      <c r="I30" s="15" t="n">
        <v>0</v>
      </c>
      <c r="J30" s="15" t="n">
        <v>0</v>
      </c>
      <c r="K30" s="10" t="n">
        <f aca="false">SUM(C30:J30)</f>
        <v>2093.69</v>
      </c>
      <c r="L30" s="12" t="n">
        <f aca="false">IFERROR(K30/'Occupied Lots'!K30,0)</f>
        <v>1.39952540106952</v>
      </c>
    </row>
    <row r="31" customFormat="false" ht="15" hidden="false" customHeight="false" outlineLevel="0" collapsed="false">
      <c r="A31" s="14" t="s">
        <v>75</v>
      </c>
      <c r="B31" s="14" t="s">
        <v>76</v>
      </c>
      <c r="C31" s="15" t="n">
        <v>4682.5</v>
      </c>
      <c r="D31" s="15" t="n">
        <v>750</v>
      </c>
      <c r="E31" s="15" t="n">
        <v>0</v>
      </c>
      <c r="F31" s="15" t="n">
        <v>5250</v>
      </c>
      <c r="G31" s="15" t="n">
        <v>2007.5</v>
      </c>
      <c r="H31" s="15" t="n">
        <v>2157.5</v>
      </c>
      <c r="I31" s="15" t="n">
        <v>2565.5</v>
      </c>
      <c r="J31" s="15" t="n">
        <v>865</v>
      </c>
      <c r="K31" s="10" t="n">
        <f aca="false">SUM(C31:J31)</f>
        <v>18278</v>
      </c>
      <c r="L31" s="12" t="n">
        <f aca="false">IFERROR(K31/'Occupied Lots'!K31,0)</f>
        <v>32.6392857142857</v>
      </c>
    </row>
    <row r="32" customFormat="false" ht="15" hidden="false" customHeight="false" outlineLevel="0" collapsed="false">
      <c r="A32" s="14" t="s">
        <v>78</v>
      </c>
      <c r="B32" s="14" t="s">
        <v>79</v>
      </c>
      <c r="C32" s="15" t="n">
        <v>575</v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0" t="n">
        <f aca="false">SUM(C32:J32)</f>
        <v>575</v>
      </c>
      <c r="L32" s="12" t="n">
        <f aca="false">IFERROR(K32/'Occupied Lots'!K32,0)</f>
        <v>0.813295615275813</v>
      </c>
    </row>
    <row r="33" customFormat="false" ht="15" hidden="false" customHeight="false" outlineLevel="0" collapsed="false">
      <c r="A33" s="14" t="s">
        <v>80</v>
      </c>
      <c r="B33" s="14" t="s">
        <v>81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0" t="n">
        <f aca="false">SUM(C33:J33)</f>
        <v>0</v>
      </c>
      <c r="L33" s="12" t="n">
        <f aca="false">IFERROR(K33/'Occupied Lots'!K33,0)</f>
        <v>0</v>
      </c>
    </row>
    <row r="34" customFormat="false" ht="15" hidden="false" customHeight="false" outlineLevel="0" collapsed="false">
      <c r="A34" s="14" t="s">
        <v>83</v>
      </c>
      <c r="B34" s="14" t="s">
        <v>84</v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0" t="n">
        <f aca="false">SUM(C34:J34)</f>
        <v>0</v>
      </c>
      <c r="L34" s="12" t="n">
        <f aca="false">IFERROR(K34/'Occupied Lots'!K34,0)</f>
        <v>0</v>
      </c>
    </row>
    <row r="35" customFormat="false" ht="15" hidden="false" customHeight="false" outlineLevel="0" collapsed="false">
      <c r="A35" s="14" t="s">
        <v>85</v>
      </c>
      <c r="B35" s="14" t="s">
        <v>86</v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0" t="n">
        <f aca="false">SUM(C35:J35)</f>
        <v>0</v>
      </c>
      <c r="L35" s="12" t="n">
        <f aca="false">IFERROR(K35/'Occupied Lots'!K35,0)</f>
        <v>0</v>
      </c>
    </row>
    <row r="36" customFormat="false" ht="15" hidden="false" customHeight="false" outlineLevel="0" collapsed="false">
      <c r="A36" s="14" t="s">
        <v>87</v>
      </c>
      <c r="B36" s="14" t="s">
        <v>88</v>
      </c>
      <c r="C36" s="15" t="n">
        <v>0</v>
      </c>
      <c r="D36" s="15" t="n">
        <v>0</v>
      </c>
      <c r="E36" s="15" t="n">
        <v>0</v>
      </c>
      <c r="F36" s="15" t="n">
        <v>209.21</v>
      </c>
      <c r="G36" s="15" t="n">
        <v>0</v>
      </c>
      <c r="H36" s="15" t="n">
        <v>0</v>
      </c>
      <c r="I36" s="15" t="n">
        <v>0</v>
      </c>
      <c r="J36" s="15" t="n">
        <v>0</v>
      </c>
      <c r="K36" s="10" t="n">
        <f aca="false">SUM(C36:J36)</f>
        <v>209.21</v>
      </c>
      <c r="L36" s="12" t="n">
        <f aca="false">IFERROR(K36/'Occupied Lots'!K36,0)</f>
        <v>0.789471698113208</v>
      </c>
    </row>
    <row r="37" customFormat="false" ht="15" hidden="false" customHeight="false" outlineLevel="0" collapsed="false">
      <c r="A37" s="14" t="s">
        <v>89</v>
      </c>
      <c r="B37" s="14" t="s">
        <v>90</v>
      </c>
      <c r="C37" s="15" t="n">
        <v>11049.98</v>
      </c>
      <c r="D37" s="15" t="n">
        <v>2372</v>
      </c>
      <c r="E37" s="15" t="n">
        <v>2665.13</v>
      </c>
      <c r="F37" s="15" t="n">
        <v>3800</v>
      </c>
      <c r="G37" s="15" t="n">
        <v>670</v>
      </c>
      <c r="H37" s="15" t="n">
        <v>2550</v>
      </c>
      <c r="I37" s="15" t="n">
        <v>150</v>
      </c>
      <c r="J37" s="15" t="n">
        <v>0</v>
      </c>
      <c r="K37" s="10" t="n">
        <f aca="false">SUM(C37:J37)</f>
        <v>23257.11</v>
      </c>
      <c r="L37" s="12" t="n">
        <f aca="false">IFERROR(K37/'Occupied Lots'!K37,0)</f>
        <v>18.531561752988</v>
      </c>
    </row>
    <row r="38" customFormat="false" ht="15" hidden="false" customHeight="false" outlineLevel="0" collapsed="false">
      <c r="A38" s="14" t="s">
        <v>91</v>
      </c>
      <c r="B38" s="14" t="s">
        <v>92</v>
      </c>
      <c r="C38" s="15" t="n">
        <v>0</v>
      </c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0" t="n">
        <f aca="false">SUM(C38:J38)</f>
        <v>0</v>
      </c>
      <c r="L38" s="12" t="n">
        <f aca="false">IFERROR(K38/'Occupied Lots'!K38,0)</f>
        <v>0</v>
      </c>
    </row>
    <row r="39" customFormat="false" ht="15" hidden="false" customHeight="false" outlineLevel="0" collapsed="false">
      <c r="A39" s="14" t="s">
        <v>93</v>
      </c>
      <c r="B39" s="14" t="s">
        <v>94</v>
      </c>
      <c r="C39" s="15" t="n">
        <v>309.47</v>
      </c>
      <c r="D39" s="15" t="n">
        <v>201.82</v>
      </c>
      <c r="E39" s="15" t="n">
        <v>0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0" t="n">
        <f aca="false">SUM(C39:J39)</f>
        <v>511.29</v>
      </c>
      <c r="L39" s="12" t="n">
        <f aca="false">IFERROR(K39/'Occupied Lots'!K39,0)</f>
        <v>1.00647637795276</v>
      </c>
    </row>
    <row r="40" customFormat="false" ht="15" hidden="false" customHeight="false" outlineLevel="0" collapsed="false">
      <c r="A40" s="14" t="s">
        <v>95</v>
      </c>
      <c r="B40" s="14" t="s">
        <v>96</v>
      </c>
      <c r="C40" s="15" t="n">
        <v>440</v>
      </c>
      <c r="D40" s="15" t="n">
        <v>2107.82</v>
      </c>
      <c r="E40" s="15" t="n">
        <v>6781.26</v>
      </c>
      <c r="F40" s="15" t="n">
        <v>2645</v>
      </c>
      <c r="G40" s="15" t="n">
        <v>200.3</v>
      </c>
      <c r="H40" s="15" t="n">
        <v>2645</v>
      </c>
      <c r="I40" s="15" t="n">
        <v>0</v>
      </c>
      <c r="J40" s="15" t="n">
        <v>0</v>
      </c>
      <c r="K40" s="10" t="n">
        <f aca="false">SUM(C40:J40)</f>
        <v>14819.38</v>
      </c>
      <c r="L40" s="12" t="n">
        <f aca="false">IFERROR(K40/'Occupied Lots'!K40,0)</f>
        <v>22.8694135802469</v>
      </c>
    </row>
    <row r="41" customFormat="false" ht="15" hidden="false" customHeight="false" outlineLevel="0" collapsed="false">
      <c r="A41" s="14" t="s">
        <v>97</v>
      </c>
      <c r="B41" s="14" t="s">
        <v>98</v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0" t="n">
        <f aca="false">SUM(C41:J41)</f>
        <v>0</v>
      </c>
      <c r="L41" s="12" t="n">
        <f aca="false">IFERROR(K41/'Occupied Lots'!K41,0)</f>
        <v>0</v>
      </c>
    </row>
    <row r="42" customFormat="false" ht="15" hidden="false" customHeight="false" outlineLevel="0" collapsed="false">
      <c r="A42" s="14" t="s">
        <v>100</v>
      </c>
      <c r="B42" s="14" t="s">
        <v>101</v>
      </c>
      <c r="C42" s="15" t="n">
        <v>0</v>
      </c>
      <c r="D42" s="15" t="n">
        <v>975</v>
      </c>
      <c r="E42" s="15" t="n">
        <v>0</v>
      </c>
      <c r="F42" s="15" t="n">
        <v>975</v>
      </c>
      <c r="G42" s="15" t="n">
        <v>0</v>
      </c>
      <c r="H42" s="15" t="n">
        <v>0</v>
      </c>
      <c r="I42" s="15" t="n">
        <v>0</v>
      </c>
      <c r="J42" s="15" t="n">
        <v>0</v>
      </c>
      <c r="K42" s="10" t="n">
        <f aca="false">SUM(C42:J42)</f>
        <v>1950</v>
      </c>
      <c r="L42" s="12" t="n">
        <f aca="false">IFERROR(K42/'Occupied Lots'!K42,0)</f>
        <v>5.57142857142857</v>
      </c>
    </row>
    <row r="43" customFormat="false" ht="15" hidden="false" customHeight="false" outlineLevel="0" collapsed="false">
      <c r="A43" s="14" t="s">
        <v>102</v>
      </c>
      <c r="B43" s="14" t="s">
        <v>103</v>
      </c>
      <c r="C43" s="15" t="n">
        <v>635</v>
      </c>
      <c r="D43" s="15" t="n">
        <v>2560</v>
      </c>
      <c r="E43" s="15" t="n">
        <v>85</v>
      </c>
      <c r="F43" s="15" t="n">
        <v>85</v>
      </c>
      <c r="G43" s="15" t="n">
        <v>935</v>
      </c>
      <c r="H43" s="15" t="n">
        <v>85</v>
      </c>
      <c r="I43" s="15" t="n">
        <v>100</v>
      </c>
      <c r="J43" s="15" t="n">
        <v>0</v>
      </c>
      <c r="K43" s="10" t="n">
        <f aca="false">SUM(C43:J43)</f>
        <v>4485</v>
      </c>
      <c r="L43" s="12" t="n">
        <f aca="false">IFERROR(K43/'Occupied Lots'!K43,0)</f>
        <v>3.31240768094535</v>
      </c>
    </row>
    <row r="44" customFormat="false" ht="15" hidden="false" customHeight="false" outlineLevel="0" collapsed="false">
      <c r="A44" s="14" t="s">
        <v>104</v>
      </c>
      <c r="B44" s="14" t="s">
        <v>105</v>
      </c>
      <c r="C44" s="15" t="n">
        <v>0</v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0" t="n">
        <f aca="false">SUM(C44:J44)</f>
        <v>0</v>
      </c>
      <c r="L44" s="12" t="n">
        <f aca="false">IFERROR(K44/'Occupied Lots'!K44,0)</f>
        <v>0</v>
      </c>
    </row>
    <row r="45" customFormat="false" ht="15" hidden="false" customHeight="false" outlineLevel="0" collapsed="false">
      <c r="A45" s="14" t="s">
        <v>106</v>
      </c>
      <c r="B45" s="14" t="s">
        <v>107</v>
      </c>
      <c r="C45" s="15" t="n">
        <v>0</v>
      </c>
      <c r="D45" s="15" t="n">
        <v>2632.92</v>
      </c>
      <c r="E45" s="15" t="n">
        <v>0</v>
      </c>
      <c r="F45" s="15" t="n">
        <v>0</v>
      </c>
      <c r="G45" s="15" t="n">
        <v>9799.63</v>
      </c>
      <c r="H45" s="15" t="n">
        <v>2721.92</v>
      </c>
      <c r="I45" s="15" t="n">
        <v>7596.85</v>
      </c>
      <c r="J45" s="15" t="n">
        <v>2442.02</v>
      </c>
      <c r="K45" s="10" t="n">
        <f aca="false">SUM(C45:J45)</f>
        <v>25193.34</v>
      </c>
      <c r="L45" s="12" t="n">
        <f aca="false">IFERROR(K45/'Occupied Lots'!K45,0)</f>
        <v>104.104710743802</v>
      </c>
    </row>
    <row r="46" customFormat="false" ht="15" hidden="false" customHeight="false" outlineLevel="0" collapsed="false">
      <c r="A46" s="14" t="s">
        <v>108</v>
      </c>
      <c r="B46" s="14" t="s">
        <v>109</v>
      </c>
      <c r="C46" s="15" t="n">
        <v>0</v>
      </c>
      <c r="D46" s="15" t="n">
        <v>0</v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0" t="n">
        <f aca="false">SUM(C46:J46)</f>
        <v>0</v>
      </c>
      <c r="L46" s="12" t="n">
        <f aca="false">IFERROR(K46/'Occupied Lots'!K46,0)</f>
        <v>0</v>
      </c>
    </row>
    <row r="47" customFormat="false" ht="15" hidden="false" customHeight="false" outlineLevel="0" collapsed="false">
      <c r="A47" s="14" t="s">
        <v>110</v>
      </c>
      <c r="B47" s="14" t="s">
        <v>111</v>
      </c>
      <c r="C47" s="15" t="n">
        <v>2686.08</v>
      </c>
      <c r="D47" s="15" t="n">
        <v>1376.57</v>
      </c>
      <c r="E47" s="15" t="n">
        <v>1292.74</v>
      </c>
      <c r="F47" s="15" t="n">
        <v>0</v>
      </c>
      <c r="G47" s="15" t="n">
        <v>6353.48</v>
      </c>
      <c r="H47" s="15" t="n">
        <v>1292.74</v>
      </c>
      <c r="I47" s="15" t="n">
        <v>1605.72</v>
      </c>
      <c r="J47" s="15" t="n">
        <v>1292.74</v>
      </c>
      <c r="K47" s="10" t="n">
        <f aca="false">SUM(C47:J47)</f>
        <v>15900.07</v>
      </c>
      <c r="L47" s="12" t="n">
        <f aca="false">IFERROR(K47/'Occupied Lots'!K47,0)</f>
        <v>12.3735953307393</v>
      </c>
    </row>
    <row r="48" customFormat="false" ht="15" hidden="false" customHeight="false" outlineLevel="0" collapsed="false">
      <c r="A48" s="14" t="s">
        <v>112</v>
      </c>
      <c r="B48" s="14" t="s">
        <v>113</v>
      </c>
      <c r="C48" s="15" t="n">
        <v>0</v>
      </c>
      <c r="D48" s="15" t="n">
        <v>0</v>
      </c>
      <c r="E48" s="15" t="n">
        <v>0</v>
      </c>
      <c r="F48" s="15" t="n">
        <v>674.82</v>
      </c>
      <c r="G48" s="15" t="n">
        <v>0</v>
      </c>
      <c r="H48" s="15" t="n">
        <v>0</v>
      </c>
      <c r="I48" s="15" t="n">
        <v>0</v>
      </c>
      <c r="J48" s="15" t="n">
        <v>0</v>
      </c>
      <c r="K48" s="10" t="n">
        <f aca="false">SUM(C48:J48)</f>
        <v>674.82</v>
      </c>
      <c r="L48" s="12" t="n">
        <f aca="false">IFERROR(K48/'Occupied Lots'!K48,0)</f>
        <v>2.2797972972973</v>
      </c>
    </row>
    <row r="49" customFormat="false" ht="15" hidden="false" customHeight="false" outlineLevel="0" collapsed="false">
      <c r="A49" s="14" t="s">
        <v>114</v>
      </c>
      <c r="B49" s="14" t="s">
        <v>115</v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0" t="n">
        <f aca="false">SUM(C49:J49)</f>
        <v>0</v>
      </c>
      <c r="L49" s="12" t="n">
        <f aca="false">IFERROR(K49/'Occupied Lots'!K49,0)</f>
        <v>0</v>
      </c>
    </row>
    <row r="50" customFormat="false" ht="15" hidden="false" customHeight="false" outlineLevel="0" collapsed="false">
      <c r="A50" s="14" t="s">
        <v>117</v>
      </c>
      <c r="B50" s="14" t="s">
        <v>118</v>
      </c>
      <c r="C50" s="15" t="n">
        <v>0</v>
      </c>
      <c r="D50" s="15" t="n">
        <v>0</v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0" t="n">
        <f aca="false">SUM(C50:J50)</f>
        <v>0</v>
      </c>
      <c r="L50" s="12" t="n">
        <f aca="false">IFERROR(K50/'Occupied Lots'!K50,0)</f>
        <v>0</v>
      </c>
    </row>
    <row r="51" customFormat="false" ht="15" hidden="false" customHeight="false" outlineLevel="0" collapsed="false">
      <c r="A51" s="14" t="s">
        <v>119</v>
      </c>
      <c r="B51" s="14" t="s">
        <v>120</v>
      </c>
      <c r="C51" s="15" t="n">
        <v>0</v>
      </c>
      <c r="D51" s="15" t="n">
        <v>0</v>
      </c>
      <c r="E51" s="15" t="n">
        <v>0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0" t="n">
        <f aca="false">SUM(C51:J51)</f>
        <v>0</v>
      </c>
      <c r="L51" s="12" t="n">
        <f aca="false">IFERROR(K51/'Occupied Lots'!K51,0)</f>
        <v>0</v>
      </c>
    </row>
    <row r="52" customFormat="false" ht="15" hidden="false" customHeight="false" outlineLevel="0" collapsed="false">
      <c r="A52" s="14" t="s">
        <v>121</v>
      </c>
      <c r="B52" s="14" t="s">
        <v>122</v>
      </c>
      <c r="C52" s="15" t="n">
        <v>0</v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0" t="n">
        <f aca="false">SUM(C52:J52)</f>
        <v>0</v>
      </c>
      <c r="L52" s="12" t="n">
        <f aca="false">IFERROR(K52/'Occupied Lots'!K52,0)</f>
        <v>0</v>
      </c>
    </row>
    <row r="53" customFormat="false" ht="15" hidden="false" customHeight="false" outlineLevel="0" collapsed="false">
      <c r="A53" s="14" t="s">
        <v>123</v>
      </c>
      <c r="B53" s="14" t="s">
        <v>124</v>
      </c>
      <c r="C53" s="15" t="n">
        <v>3436.97</v>
      </c>
      <c r="D53" s="15" t="n">
        <v>1049.61</v>
      </c>
      <c r="E53" s="15" t="n">
        <v>1269.11</v>
      </c>
      <c r="F53" s="15" t="n">
        <v>2284.86</v>
      </c>
      <c r="G53" s="15" t="n">
        <v>1154.5</v>
      </c>
      <c r="H53" s="15" t="n">
        <v>1213.75</v>
      </c>
      <c r="I53" s="15" t="n">
        <v>1860.4</v>
      </c>
      <c r="J53" s="15" t="n">
        <v>2132.5</v>
      </c>
      <c r="K53" s="10" t="n">
        <f aca="false">SUM(C53:J53)</f>
        <v>14401.7</v>
      </c>
      <c r="L53" s="12" t="n">
        <f aca="false">IFERROR(K53/'Occupied Lots'!K53,0)</f>
        <v>26.6205175600739</v>
      </c>
    </row>
    <row r="54" customFormat="false" ht="15" hidden="false" customHeight="false" outlineLevel="0" collapsed="false">
      <c r="A54" s="14" t="s">
        <v>125</v>
      </c>
      <c r="B54" s="14" t="s">
        <v>126</v>
      </c>
      <c r="C54" s="15" t="n">
        <v>0</v>
      </c>
      <c r="D54" s="15" t="n">
        <v>0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0" t="n">
        <f aca="false">SUM(C54:J54)</f>
        <v>0</v>
      </c>
      <c r="L54" s="12" t="n">
        <f aca="false">IFERROR(K54/'Occupied Lots'!K54,0)</f>
        <v>0</v>
      </c>
    </row>
    <row r="55" customFormat="false" ht="15" hidden="false" customHeight="false" outlineLevel="0" collapsed="false">
      <c r="A55" s="14" t="s">
        <v>127</v>
      </c>
      <c r="B55" s="14" t="s">
        <v>128</v>
      </c>
      <c r="C55" s="15" t="n">
        <v>7997.93</v>
      </c>
      <c r="D55" s="15" t="n">
        <v>3864.52</v>
      </c>
      <c r="E55" s="15" t="n">
        <v>8089.19</v>
      </c>
      <c r="F55" s="15" t="n">
        <v>5202.64</v>
      </c>
      <c r="G55" s="15" t="n">
        <v>17709.61</v>
      </c>
      <c r="H55" s="15" t="n">
        <v>16183.3</v>
      </c>
      <c r="I55" s="15" t="n">
        <v>8762.16</v>
      </c>
      <c r="J55" s="15" t="n">
        <v>6425.2</v>
      </c>
      <c r="K55" s="10" t="n">
        <f aca="false">SUM(C55:J55)</f>
        <v>74234.55</v>
      </c>
      <c r="L55" s="12" t="n">
        <f aca="false">IFERROR(K55/'Occupied Lots'!K55,0)</f>
        <v>66.877972972973</v>
      </c>
    </row>
    <row r="56" customFormat="false" ht="15" hidden="false" customHeight="false" outlineLevel="0" collapsed="false">
      <c r="A56" s="14" t="s">
        <v>129</v>
      </c>
      <c r="B56" s="14" t="s">
        <v>130</v>
      </c>
      <c r="C56" s="15" t="n">
        <v>0</v>
      </c>
      <c r="D56" s="15" t="n">
        <v>0</v>
      </c>
      <c r="E56" s="15" t="n">
        <v>0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0" t="n">
        <f aca="false">SUM(C56:J56)</f>
        <v>0</v>
      </c>
      <c r="L56" s="12" t="n">
        <f aca="false">IFERROR(K56/'Occupied Lots'!K56,0)</f>
        <v>0</v>
      </c>
    </row>
    <row r="57" customFormat="false" ht="15" hidden="false" customHeight="false" outlineLevel="0" collapsed="false">
      <c r="A57" s="14" t="s">
        <v>131</v>
      </c>
      <c r="B57" s="14" t="s">
        <v>132</v>
      </c>
      <c r="C57" s="15" t="n">
        <v>0</v>
      </c>
      <c r="D57" s="15" t="n">
        <v>0</v>
      </c>
      <c r="E57" s="15" t="n">
        <v>0</v>
      </c>
      <c r="F57" s="15" t="n">
        <v>407.17</v>
      </c>
      <c r="G57" s="15" t="n">
        <v>0</v>
      </c>
      <c r="H57" s="15" t="n">
        <v>0</v>
      </c>
      <c r="I57" s="15" t="n">
        <v>0</v>
      </c>
      <c r="J57" s="15" t="n">
        <v>0</v>
      </c>
      <c r="K57" s="10" t="n">
        <f aca="false">SUM(C57:J57)</f>
        <v>407.17</v>
      </c>
      <c r="L57" s="12" t="n">
        <f aca="false">IFERROR(K57/'Occupied Lots'!K57,0)</f>
        <v>0.226709354120267</v>
      </c>
    </row>
    <row r="58" customFormat="false" ht="15" hidden="false" customHeight="false" outlineLevel="0" collapsed="false">
      <c r="A58" s="14" t="s">
        <v>133</v>
      </c>
      <c r="B58" s="14" t="s">
        <v>134</v>
      </c>
      <c r="C58" s="15" t="n">
        <v>7754.16</v>
      </c>
      <c r="D58" s="15" t="n">
        <v>3133.36</v>
      </c>
      <c r="E58" s="15" t="n">
        <v>5792.99</v>
      </c>
      <c r="F58" s="15" t="n">
        <v>3779.98</v>
      </c>
      <c r="G58" s="15" t="n">
        <v>4246.03</v>
      </c>
      <c r="H58" s="15" t="n">
        <v>6070.18</v>
      </c>
      <c r="I58" s="15" t="n">
        <v>5561.38</v>
      </c>
      <c r="J58" s="15" t="n">
        <v>3976.57</v>
      </c>
      <c r="K58" s="10" t="n">
        <f aca="false">SUM(C58:J58)</f>
        <v>40314.65</v>
      </c>
      <c r="L58" s="12" t="n">
        <f aca="false">IFERROR(K58/'Occupied Lots'!K58,0)</f>
        <v>29.7525092250923</v>
      </c>
    </row>
    <row r="59" customFormat="false" ht="15" hidden="false" customHeight="false" outlineLevel="0" collapsed="false">
      <c r="A59" s="14" t="s">
        <v>135</v>
      </c>
      <c r="B59" s="14" t="s">
        <v>136</v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0" t="n">
        <f aca="false">SUM(C59:J59)</f>
        <v>0</v>
      </c>
      <c r="L59" s="12" t="n">
        <f aca="false">IFERROR(K59/'Occupied Lots'!K59,0)</f>
        <v>0</v>
      </c>
    </row>
    <row r="60" customFormat="false" ht="15" hidden="false" customHeight="false" outlineLevel="0" collapsed="false">
      <c r="A60" s="14" t="s">
        <v>137</v>
      </c>
      <c r="B60" s="14" t="s">
        <v>138</v>
      </c>
      <c r="C60" s="15" t="n">
        <v>0</v>
      </c>
      <c r="D60" s="15" t="n">
        <v>0</v>
      </c>
      <c r="E60" s="15" t="n">
        <v>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0" t="n">
        <f aca="false">SUM(C60:J60)</f>
        <v>0</v>
      </c>
      <c r="L60" s="12" t="n">
        <f aca="false">IFERROR(K60/'Occupied Lots'!K60,0)</f>
        <v>0</v>
      </c>
    </row>
    <row r="61" customFormat="false" ht="15" hidden="false" customHeight="false" outlineLevel="0" collapsed="false">
      <c r="A61" s="14" t="s">
        <v>139</v>
      </c>
      <c r="B61" s="14" t="s">
        <v>140</v>
      </c>
      <c r="C61" s="15" t="n">
        <v>3704.6</v>
      </c>
      <c r="D61" s="15" t="n">
        <v>963.2</v>
      </c>
      <c r="E61" s="15" t="n">
        <v>0</v>
      </c>
      <c r="F61" s="15" t="n">
        <v>0</v>
      </c>
      <c r="G61" s="15" t="n">
        <v>2889.6</v>
      </c>
      <c r="H61" s="15" t="n">
        <v>0</v>
      </c>
      <c r="I61" s="15" t="n">
        <v>0</v>
      </c>
      <c r="J61" s="15" t="n">
        <v>1926.4</v>
      </c>
      <c r="K61" s="10" t="n">
        <f aca="false">SUM(C61:J61)</f>
        <v>9483.8</v>
      </c>
      <c r="L61" s="12" t="n">
        <f aca="false">IFERROR(K61/'Occupied Lots'!K61,0)</f>
        <v>8.97237464522233</v>
      </c>
    </row>
    <row r="62" customFormat="false" ht="15" hidden="false" customHeight="false" outlineLevel="0" collapsed="false">
      <c r="A62" s="14" t="s">
        <v>141</v>
      </c>
      <c r="B62" s="14" t="s">
        <v>142</v>
      </c>
      <c r="C62" s="15" t="n">
        <v>6212.12</v>
      </c>
      <c r="D62" s="15" t="n">
        <v>5934.72</v>
      </c>
      <c r="E62" s="15" t="n">
        <v>7400.53</v>
      </c>
      <c r="F62" s="15" t="n">
        <v>5294.64</v>
      </c>
      <c r="G62" s="15" t="n">
        <v>5953.91</v>
      </c>
      <c r="H62" s="15" t="n">
        <v>3482.53</v>
      </c>
      <c r="I62" s="15" t="n">
        <v>3797.15</v>
      </c>
      <c r="J62" s="15" t="n">
        <v>4068.12</v>
      </c>
      <c r="K62" s="10" t="n">
        <f aca="false">SUM(C62:J62)</f>
        <v>42143.72</v>
      </c>
      <c r="L62" s="12" t="n">
        <f aca="false">IFERROR(K62/'Occupied Lots'!K62,0)</f>
        <v>38.5931501831502</v>
      </c>
    </row>
    <row r="63" customFormat="false" ht="15" hidden="false" customHeight="false" outlineLevel="0" collapsed="false">
      <c r="A63" s="14" t="s">
        <v>143</v>
      </c>
      <c r="B63" s="14" t="s">
        <v>144</v>
      </c>
      <c r="C63" s="15" t="n">
        <v>0</v>
      </c>
      <c r="D63" s="15" t="n">
        <v>0</v>
      </c>
      <c r="E63" s="15" t="n">
        <v>0</v>
      </c>
      <c r="F63" s="15" t="n">
        <v>491.93</v>
      </c>
      <c r="G63" s="15" t="n">
        <v>0</v>
      </c>
      <c r="H63" s="15" t="n">
        <v>450</v>
      </c>
      <c r="I63" s="15" t="n">
        <v>0</v>
      </c>
      <c r="J63" s="15" t="n">
        <v>0</v>
      </c>
      <c r="K63" s="10" t="n">
        <f aca="false">SUM(C63:J63)</f>
        <v>941.93</v>
      </c>
      <c r="L63" s="12" t="n">
        <f aca="false">IFERROR(K63/'Occupied Lots'!K63,0)</f>
        <v>2.88935582822086</v>
      </c>
    </row>
    <row r="64" customFormat="false" ht="15" hidden="false" customHeight="false" outlineLevel="0" collapsed="false">
      <c r="A64" s="9" t="s">
        <v>145</v>
      </c>
      <c r="C64" s="10" t="n">
        <f aca="false">SUM(C2:C63)</f>
        <v>62976.41</v>
      </c>
      <c r="D64" s="10" t="n">
        <f aca="false">SUM(D2:D63)</f>
        <v>36085.62</v>
      </c>
      <c r="E64" s="10" t="n">
        <f aca="false">SUM(E2:E63)</f>
        <v>36803.95</v>
      </c>
      <c r="F64" s="10" t="n">
        <f aca="false">SUM(F2:F63)</f>
        <v>36868.57</v>
      </c>
      <c r="G64" s="10" t="n">
        <f aca="false">SUM(G2:G63)</f>
        <v>59658.16</v>
      </c>
      <c r="H64" s="10" t="n">
        <f aca="false">SUM(H2:H63)</f>
        <v>46347.92</v>
      </c>
      <c r="I64" s="10" t="n">
        <f aca="false">SUM(I2:I63)</f>
        <v>39579.16</v>
      </c>
      <c r="J64" s="10" t="n">
        <f aca="false">SUM(J2:J63)</f>
        <v>29659.33</v>
      </c>
      <c r="K64" s="10" t="n">
        <f aca="false">SUM(K2:K63)</f>
        <v>347979.12</v>
      </c>
      <c r="L64" s="12" t="n">
        <f aca="false">IFERROR(K64/'Occupied Lots'!K64,0)</f>
        <v>8.76256849315069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6" min="3" style="0" width="16"/>
  </cols>
  <sheetData>
    <row r="1" customFormat="false" ht="15" hidden="false" customHeight="false" outlineLevel="0" collapsed="false">
      <c r="A1" s="16" t="s">
        <v>157</v>
      </c>
    </row>
    <row r="2" customFormat="false" ht="15" hidden="false" customHeight="false" outlineLevel="0" collapsed="false">
      <c r="A2" s="17" t="s">
        <v>0</v>
      </c>
      <c r="B2" s="17" t="s">
        <v>1</v>
      </c>
      <c r="C2" s="17" t="s">
        <v>158</v>
      </c>
      <c r="D2" s="17" t="s">
        <v>159</v>
      </c>
    </row>
    <row r="3" customFormat="false" ht="15" hidden="false" customHeight="false" outlineLevel="0" collapsed="false">
      <c r="A3" s="14" t="s">
        <v>160</v>
      </c>
      <c r="B3" s="14" t="s">
        <v>161</v>
      </c>
      <c r="C3" s="15" t="n">
        <v>90.4</v>
      </c>
      <c r="D3" s="15" t="n">
        <v>8</v>
      </c>
    </row>
    <row r="4" customFormat="false" ht="15" hidden="false" customHeight="false" outlineLevel="0" collapsed="false">
      <c r="A4" s="14" t="s">
        <v>162</v>
      </c>
      <c r="B4" s="14" t="s">
        <v>163</v>
      </c>
      <c r="C4" s="15" t="n">
        <v>1</v>
      </c>
      <c r="D4" s="15" t="n">
        <v>8</v>
      </c>
    </row>
    <row r="5" customFormat="false" ht="15" hidden="false" customHeight="false" outlineLevel="0" collapsed="false">
      <c r="A5" s="14" t="s">
        <v>164</v>
      </c>
      <c r="B5" s="14" t="s">
        <v>165</v>
      </c>
      <c r="C5" s="15" t="n">
        <v>57</v>
      </c>
      <c r="D5" s="15" t="n">
        <v>2</v>
      </c>
    </row>
    <row r="6" customFormat="false" ht="15" hidden="false" customHeight="false" outlineLevel="0" collapsed="false">
      <c r="A6" s="14" t="s">
        <v>166</v>
      </c>
      <c r="B6" s="14" t="s">
        <v>167</v>
      </c>
      <c r="C6" s="15" t="n">
        <v>166</v>
      </c>
      <c r="D6" s="15" t="n">
        <v>8</v>
      </c>
    </row>
    <row r="7" customFormat="false" ht="15" hidden="false" customHeight="false" outlineLevel="0" collapsed="false">
      <c r="A7" s="14" t="s">
        <v>168</v>
      </c>
      <c r="B7" s="14" t="s">
        <v>169</v>
      </c>
      <c r="C7" s="15" t="n">
        <v>41</v>
      </c>
      <c r="D7" s="15" t="n">
        <v>8</v>
      </c>
    </row>
    <row r="8" customFormat="false" ht="15" hidden="false" customHeight="false" outlineLevel="0" collapsed="false">
      <c r="A8" s="14" t="s">
        <v>170</v>
      </c>
      <c r="B8" s="14" t="s">
        <v>171</v>
      </c>
      <c r="C8" s="15" t="n">
        <v>29</v>
      </c>
      <c r="D8" s="15" t="n">
        <v>8</v>
      </c>
    </row>
    <row r="9" customFormat="false" ht="15" hidden="false" customHeight="false" outlineLevel="0" collapsed="false">
      <c r="A9" s="14" t="s">
        <v>172</v>
      </c>
      <c r="B9" s="14" t="s">
        <v>173</v>
      </c>
      <c r="C9" s="15" t="n">
        <v>124</v>
      </c>
      <c r="D9" s="15" t="n">
        <v>8</v>
      </c>
    </row>
    <row r="10" customFormat="false" ht="15" hidden="false" customHeight="false" outlineLevel="0" collapsed="false">
      <c r="A10" s="14" t="s">
        <v>174</v>
      </c>
      <c r="B10" s="14" t="s">
        <v>175</v>
      </c>
      <c r="C10" s="15" t="n">
        <v>104</v>
      </c>
      <c r="D10" s="15" t="n">
        <v>8</v>
      </c>
    </row>
    <row r="11" customFormat="false" ht="15" hidden="false" customHeight="false" outlineLevel="0" collapsed="false">
      <c r="A11" s="14" t="s">
        <v>176</v>
      </c>
      <c r="B11" s="14" t="s">
        <v>177</v>
      </c>
      <c r="C11" s="15" t="n">
        <v>63</v>
      </c>
      <c r="D11" s="15" t="n">
        <v>2</v>
      </c>
    </row>
    <row r="12" customFormat="false" ht="15" hidden="false" customHeight="false" outlineLevel="0" collapsed="false">
      <c r="A12" s="14" t="s">
        <v>178</v>
      </c>
      <c r="B12" s="14" t="s">
        <v>179</v>
      </c>
      <c r="C12" s="15" t="n">
        <v>97</v>
      </c>
      <c r="D12" s="15" t="n">
        <v>8</v>
      </c>
    </row>
    <row r="13" customFormat="false" ht="15" hidden="false" customHeight="false" outlineLevel="0" collapsed="false">
      <c r="A13" s="14" t="s">
        <v>180</v>
      </c>
      <c r="B13" s="14" t="s">
        <v>181</v>
      </c>
      <c r="C13" s="15" t="n">
        <v>53</v>
      </c>
      <c r="D13" s="15" t="n">
        <v>8</v>
      </c>
    </row>
    <row r="14" customFormat="false" ht="15" hidden="false" customHeight="false" outlineLevel="0" collapsed="false">
      <c r="A14" s="14" t="s">
        <v>182</v>
      </c>
      <c r="B14" s="14" t="s">
        <v>183</v>
      </c>
      <c r="C14" s="15" t="n">
        <v>50</v>
      </c>
      <c r="D14" s="15" t="n">
        <v>8</v>
      </c>
    </row>
    <row r="15" customFormat="false" ht="15" hidden="false" customHeight="false" outlineLevel="0" collapsed="false">
      <c r="A15" s="14" t="s">
        <v>184</v>
      </c>
      <c r="B15" s="14" t="s">
        <v>185</v>
      </c>
      <c r="C15" s="15" t="n">
        <v>59.5</v>
      </c>
      <c r="D15" s="15" t="n">
        <v>8</v>
      </c>
    </row>
    <row r="16" customFormat="false" ht="15" hidden="false" customHeight="false" outlineLevel="0" collapsed="false">
      <c r="A16" s="14" t="s">
        <v>186</v>
      </c>
      <c r="B16" s="14" t="s">
        <v>187</v>
      </c>
      <c r="C16" s="15" t="n">
        <v>1</v>
      </c>
      <c r="D16" s="15" t="n">
        <v>8</v>
      </c>
    </row>
    <row r="17" customFormat="false" ht="15" hidden="false" customHeight="false" outlineLevel="0" collapsed="false">
      <c r="A17" s="14" t="s">
        <v>188</v>
      </c>
      <c r="B17" s="14" t="s">
        <v>189</v>
      </c>
      <c r="C17" s="15" t="n">
        <v>53.4</v>
      </c>
      <c r="D17" s="15" t="n">
        <v>8</v>
      </c>
    </row>
    <row r="18" customFormat="false" ht="15" hidden="false" customHeight="false" outlineLevel="0" collapsed="false">
      <c r="A18" s="14" t="s">
        <v>190</v>
      </c>
      <c r="B18" s="14" t="s">
        <v>191</v>
      </c>
      <c r="C18" s="15" t="n">
        <v>103</v>
      </c>
      <c r="D18" s="15" t="n">
        <v>8</v>
      </c>
    </row>
    <row r="19" customFormat="false" ht="15" hidden="false" customHeight="false" outlineLevel="0" collapsed="false">
      <c r="A19" s="14" t="s">
        <v>192</v>
      </c>
      <c r="B19" s="14" t="s">
        <v>193</v>
      </c>
      <c r="C19" s="15" t="n">
        <v>19</v>
      </c>
      <c r="D19" s="15" t="n">
        <v>8</v>
      </c>
    </row>
    <row r="20" customFormat="false" ht="15" hidden="false" customHeight="false" outlineLevel="0" collapsed="false">
      <c r="A20" s="14" t="s">
        <v>194</v>
      </c>
      <c r="B20" s="14" t="s">
        <v>195</v>
      </c>
      <c r="C20" s="15" t="n">
        <v>61.4</v>
      </c>
      <c r="D20" s="15" t="n">
        <v>8</v>
      </c>
    </row>
    <row r="21" customFormat="false" ht="15" hidden="false" customHeight="false" outlineLevel="0" collapsed="false">
      <c r="A21" s="14" t="s">
        <v>196</v>
      </c>
      <c r="B21" s="14" t="s">
        <v>197</v>
      </c>
      <c r="C21" s="15" t="n">
        <v>46.9</v>
      </c>
      <c r="D21" s="15" t="n">
        <v>8</v>
      </c>
    </row>
    <row r="22" customFormat="false" ht="15" hidden="false" customHeight="false" outlineLevel="0" collapsed="false">
      <c r="A22" s="14" t="s">
        <v>198</v>
      </c>
      <c r="B22" s="14" t="s">
        <v>199</v>
      </c>
      <c r="C22" s="15" t="n">
        <v>48.1</v>
      </c>
      <c r="D22" s="15" t="n">
        <v>8</v>
      </c>
    </row>
    <row r="23" customFormat="false" ht="15" hidden="false" customHeight="false" outlineLevel="0" collapsed="false">
      <c r="A23" s="14" t="s">
        <v>200</v>
      </c>
      <c r="B23" s="14" t="s">
        <v>201</v>
      </c>
      <c r="C23" s="15" t="n">
        <v>32</v>
      </c>
      <c r="D23" s="15" t="n">
        <v>2</v>
      </c>
    </row>
    <row r="24" customFormat="false" ht="15" hidden="false" customHeight="false" outlineLevel="0" collapsed="false">
      <c r="A24" s="14" t="s">
        <v>202</v>
      </c>
      <c r="B24" s="14" t="s">
        <v>203</v>
      </c>
      <c r="C24" s="15" t="n">
        <v>8</v>
      </c>
      <c r="D24" s="15" t="n">
        <v>2</v>
      </c>
    </row>
    <row r="27" customFormat="false" ht="15" hidden="false" customHeight="false" outlineLevel="0" collapsed="false">
      <c r="A27" s="16" t="s">
        <v>204</v>
      </c>
    </row>
    <row r="28" customFormat="false" ht="15" hidden="false" customHeight="false" outlineLevel="0" collapsed="false">
      <c r="A28" s="17" t="s">
        <v>205</v>
      </c>
      <c r="B28" s="17" t="s">
        <v>1</v>
      </c>
      <c r="C28" s="17" t="s">
        <v>2</v>
      </c>
      <c r="D28" s="17" t="s">
        <v>3</v>
      </c>
      <c r="E28" s="17" t="s">
        <v>5</v>
      </c>
    </row>
    <row r="29" customFormat="false" ht="15" hidden="false" customHeight="false" outlineLevel="0" collapsed="false">
      <c r="A29" s="14" t="s">
        <v>206</v>
      </c>
      <c r="B29" s="14" t="s">
        <v>207</v>
      </c>
      <c r="C29" s="15" t="n">
        <v>955.67</v>
      </c>
      <c r="D29" s="15" t="n">
        <v>0</v>
      </c>
      <c r="E29" s="15" t="n">
        <v>1399.64</v>
      </c>
    </row>
    <row r="30" customFormat="false" ht="15" hidden="false" customHeight="false" outlineLevel="0" collapsed="false">
      <c r="A30" s="14" t="s">
        <v>208</v>
      </c>
      <c r="B30" s="14" t="s">
        <v>209</v>
      </c>
      <c r="C30" s="15" t="n">
        <v>9700.11</v>
      </c>
      <c r="D30" s="15" t="n">
        <v>0</v>
      </c>
      <c r="E30" s="15" t="n">
        <v>48291.31</v>
      </c>
    </row>
    <row r="33" customFormat="false" ht="15" hidden="false" customHeight="false" outlineLevel="0" collapsed="false">
      <c r="A33" s="16" t="s">
        <v>210</v>
      </c>
    </row>
    <row r="34" customFormat="false" ht="15" hidden="false" customHeight="false" outlineLevel="0" collapsed="false">
      <c r="A34" s="17" t="s">
        <v>211</v>
      </c>
      <c r="B34" s="17" t="s">
        <v>212</v>
      </c>
      <c r="C34" s="17" t="s">
        <v>213</v>
      </c>
      <c r="D34" s="17" t="s">
        <v>214</v>
      </c>
    </row>
    <row r="35" customFormat="false" ht="15" hidden="false" customHeight="false" outlineLevel="0" collapsed="false">
      <c r="A35" s="14" t="s">
        <v>215</v>
      </c>
      <c r="B35" s="14" t="s">
        <v>216</v>
      </c>
      <c r="C35" s="14" t="s">
        <v>129</v>
      </c>
      <c r="D35" s="14" t="s">
        <v>130</v>
      </c>
    </row>
    <row r="36" customFormat="false" ht="15" hidden="false" customHeight="false" outlineLevel="0" collapsed="false">
      <c r="A36" s="14" t="s">
        <v>217</v>
      </c>
      <c r="B36" s="14" t="s">
        <v>218</v>
      </c>
      <c r="C36" s="14" t="s">
        <v>80</v>
      </c>
      <c r="D36" s="14" t="s">
        <v>81</v>
      </c>
    </row>
    <row r="37" customFormat="false" ht="15" hidden="false" customHeight="false" outlineLevel="0" collapsed="false">
      <c r="A37" s="14" t="s">
        <v>219</v>
      </c>
      <c r="B37" s="14" t="s">
        <v>220</v>
      </c>
      <c r="C37" s="14" t="s">
        <v>143</v>
      </c>
      <c r="D37" s="14" t="s">
        <v>144</v>
      </c>
    </row>
    <row r="38" customFormat="false" ht="15" hidden="false" customHeight="false" outlineLevel="0" collapsed="false">
      <c r="A38" s="14" t="s">
        <v>221</v>
      </c>
      <c r="B38" s="14" t="s">
        <v>222</v>
      </c>
      <c r="C38" s="14" t="s">
        <v>87</v>
      </c>
      <c r="D38" s="14" t="s">
        <v>88</v>
      </c>
    </row>
    <row r="39" customFormat="false" ht="15" hidden="false" customHeight="false" outlineLevel="0" collapsed="false">
      <c r="A39" s="14" t="s">
        <v>223</v>
      </c>
      <c r="B39" s="14" t="s">
        <v>224</v>
      </c>
      <c r="C39" s="14" t="s">
        <v>83</v>
      </c>
      <c r="D39" s="14" t="s">
        <v>84</v>
      </c>
    </row>
    <row r="40" customFormat="false" ht="15" hidden="false" customHeight="false" outlineLevel="0" collapsed="false">
      <c r="A40" s="14" t="s">
        <v>225</v>
      </c>
      <c r="B40" s="14" t="s">
        <v>226</v>
      </c>
      <c r="C40" s="14" t="s">
        <v>198</v>
      </c>
      <c r="D40" s="14" t="s">
        <v>199</v>
      </c>
    </row>
    <row r="41" customFormat="false" ht="15" hidden="false" customHeight="false" outlineLevel="0" collapsed="false">
      <c r="A41" s="14" t="s">
        <v>227</v>
      </c>
      <c r="B41" s="14" t="s">
        <v>228</v>
      </c>
      <c r="C41" s="14" t="s">
        <v>21</v>
      </c>
      <c r="D41" s="14" t="s">
        <v>22</v>
      </c>
    </row>
    <row r="42" customFormat="false" ht="15" hidden="false" customHeight="false" outlineLevel="0" collapsed="false">
      <c r="A42" s="14" t="s">
        <v>229</v>
      </c>
      <c r="B42" s="14" t="s">
        <v>230</v>
      </c>
      <c r="C42" s="14" t="s">
        <v>46</v>
      </c>
      <c r="D42" s="14" t="s">
        <v>47</v>
      </c>
    </row>
    <row r="43" customFormat="false" ht="15" hidden="false" customHeight="false" outlineLevel="0" collapsed="false">
      <c r="A43" s="14" t="s">
        <v>231</v>
      </c>
      <c r="B43" s="14" t="s">
        <v>232</v>
      </c>
      <c r="C43" s="14" t="s">
        <v>135</v>
      </c>
      <c r="D43" s="14" t="s">
        <v>136</v>
      </c>
    </row>
    <row r="44" customFormat="false" ht="15" hidden="false" customHeight="false" outlineLevel="0" collapsed="false">
      <c r="A44" s="14" t="s">
        <v>233</v>
      </c>
      <c r="B44" s="14" t="s">
        <v>234</v>
      </c>
      <c r="C44" s="14" t="s">
        <v>58</v>
      </c>
      <c r="D44" s="14" t="s">
        <v>59</v>
      </c>
    </row>
    <row r="47" customFormat="false" ht="15" hidden="false" customHeight="false" outlineLevel="0" collapsed="false">
      <c r="A47" s="16" t="s">
        <v>235</v>
      </c>
    </row>
    <row r="48" customFormat="false" ht="15" hidden="false" customHeight="false" outlineLevel="0" collapsed="false">
      <c r="A48" s="17" t="s">
        <v>0</v>
      </c>
      <c r="B48" s="17" t="s">
        <v>1</v>
      </c>
      <c r="C48" s="17" t="s">
        <v>12</v>
      </c>
    </row>
    <row r="49" customFormat="false" ht="15" hidden="false" customHeight="false" outlineLevel="0" collapsed="false">
      <c r="A49" s="14" t="s">
        <v>31</v>
      </c>
      <c r="B49" s="14" t="s">
        <v>32</v>
      </c>
      <c r="C49" s="14" t="s">
        <v>116</v>
      </c>
    </row>
    <row r="50" customFormat="false" ht="15" hidden="false" customHeight="false" outlineLevel="0" collapsed="false">
      <c r="A50" s="14" t="s">
        <v>114</v>
      </c>
      <c r="B50" s="14" t="s">
        <v>115</v>
      </c>
      <c r="C50" s="14" t="s">
        <v>116</v>
      </c>
    </row>
    <row r="53" customFormat="false" ht="15" hidden="false" customHeight="false" outlineLevel="0" collapsed="false">
      <c r="A53" s="16" t="s">
        <v>236</v>
      </c>
    </row>
    <row r="54" customFormat="false" ht="15" hidden="false" customHeight="false" outlineLevel="0" collapsed="false">
      <c r="A54" s="17" t="s">
        <v>0</v>
      </c>
      <c r="B54" s="17" t="s">
        <v>1</v>
      </c>
      <c r="C54" s="17" t="s">
        <v>237</v>
      </c>
    </row>
    <row r="55" customFormat="false" ht="15" hidden="false" customHeight="false" outlineLevel="0" collapsed="false">
      <c r="A55" s="14" t="s">
        <v>66</v>
      </c>
      <c r="B55" s="14" t="s">
        <v>67</v>
      </c>
      <c r="C55" s="15" t="n">
        <v>5</v>
      </c>
    </row>
    <row r="56" customFormat="false" ht="15" hidden="false" customHeight="false" outlineLevel="0" collapsed="false">
      <c r="A56" s="14" t="s">
        <v>97</v>
      </c>
      <c r="B56" s="14" t="s">
        <v>98</v>
      </c>
      <c r="C56" s="15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26.85" hidden="false" customHeight="false" outlineLevel="0" collapsed="false">
      <c r="A1" s="9" t="s">
        <v>238</v>
      </c>
      <c r="B1" s="18" t="s">
        <v>239</v>
      </c>
    </row>
    <row r="2" customFormat="false" ht="15" hidden="false" customHeight="false" outlineLevel="0" collapsed="false">
      <c r="A2" s="9" t="s">
        <v>240</v>
      </c>
      <c r="B2" s="18" t="s">
        <v>241</v>
      </c>
    </row>
    <row r="3" customFormat="false" ht="15" hidden="false" customHeight="false" outlineLevel="0" collapsed="false">
      <c r="A3" s="9" t="s">
        <v>242</v>
      </c>
      <c r="B3" s="18" t="s">
        <v>243</v>
      </c>
    </row>
    <row r="4" customFormat="false" ht="15" hidden="false" customHeight="false" outlineLevel="0" collapsed="false">
      <c r="A4" s="9" t="s">
        <v>244</v>
      </c>
      <c r="B4" s="18" t="s">
        <v>245</v>
      </c>
    </row>
    <row r="5" customFormat="false" ht="26.85" hidden="false" customHeight="false" outlineLevel="0" collapsed="false">
      <c r="A5" s="9" t="s">
        <v>246</v>
      </c>
      <c r="B5" s="18" t="s">
        <v>247</v>
      </c>
    </row>
    <row r="6" customFormat="false" ht="15" hidden="false" customHeight="false" outlineLevel="0" collapsed="false">
      <c r="A6" s="9" t="s">
        <v>248</v>
      </c>
      <c r="B6" s="18" t="s">
        <v>249</v>
      </c>
    </row>
    <row r="7" customFormat="false" ht="26.85" hidden="false" customHeight="false" outlineLevel="0" collapsed="false">
      <c r="A7" s="9" t="s">
        <v>250</v>
      </c>
      <c r="B7" s="18" t="s">
        <v>251</v>
      </c>
    </row>
    <row r="8" customFormat="false" ht="26.85" hidden="false" customHeight="false" outlineLevel="0" collapsed="false">
      <c r="A8" s="9" t="s">
        <v>252</v>
      </c>
      <c r="B8" s="18" t="s">
        <v>253</v>
      </c>
    </row>
    <row r="9" customFormat="false" ht="26.85" hidden="false" customHeight="false" outlineLevel="0" collapsed="false">
      <c r="A9" s="9" t="s">
        <v>254</v>
      </c>
      <c r="B9" s="18" t="s">
        <v>255</v>
      </c>
    </row>
    <row r="10" customFormat="false" ht="26.85" hidden="false" customHeight="false" outlineLevel="0" collapsed="false">
      <c r="A10" s="9" t="s">
        <v>256</v>
      </c>
      <c r="B10" s="18" t="s">
        <v>257</v>
      </c>
    </row>
    <row r="11" customFormat="false" ht="26.85" hidden="false" customHeight="false" outlineLevel="0" collapsed="false">
      <c r="A11" s="9" t="s">
        <v>258</v>
      </c>
      <c r="B11" s="18" t="s">
        <v>259</v>
      </c>
    </row>
    <row r="12" customFormat="false" ht="15" hidden="false" customHeight="false" outlineLevel="0" collapsed="false">
      <c r="A12" s="9" t="s">
        <v>260</v>
      </c>
      <c r="B12" s="18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2026-09-04T19:04:46Z</dcterms:created>
  <dc:creator>openpyxl</dc:creator>
  <dc:description/>
  <dc:language>en-US</dc:language>
  <cp:lastModifiedBy/>
  <dcterms:modified xsi:type="dcterms:W3CDTF">2026-09-04T19:04:46Z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