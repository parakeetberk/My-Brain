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akeetcommunities.sharepoint.com/sites/main/Shared Documents/Marketing/"/>
    </mc:Choice>
  </mc:AlternateContent>
  <xr:revisionPtr revIDLastSave="1" documentId="8_{51605F79-8A87-4C0B-9646-587D399AD8AA}" xr6:coauthVersionLast="47" xr6:coauthVersionMax="47" xr10:uidLastSave="{C8F476C2-5F00-4F3C-8033-E74E263350C8}"/>
  <bookViews>
    <workbookView xWindow="28680" yWindow="-3555" windowWidth="51840" windowHeight="21120" xr2:uid="{26E9D423-9085-4606-B543-DAA648A1EF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6" i="1" l="1"/>
  <c r="X26" i="1"/>
  <c r="W26" i="1"/>
  <c r="Y25" i="1"/>
  <c r="X25" i="1"/>
  <c r="W25" i="1"/>
  <c r="Y24" i="1"/>
  <c r="X24" i="1"/>
  <c r="W24" i="1"/>
  <c r="V24" i="1"/>
  <c r="U24" i="1"/>
  <c r="Y51" i="1"/>
  <c r="Y20" i="1"/>
  <c r="Y41" i="1"/>
  <c r="Y48" i="1"/>
  <c r="Y10" i="1"/>
  <c r="Y56" i="1"/>
  <c r="Y53" i="1"/>
  <c r="Y55" i="1"/>
  <c r="Y39" i="1"/>
  <c r="Y40" i="1"/>
  <c r="Y15" i="1"/>
  <c r="Y47" i="1"/>
  <c r="Y52" i="1"/>
  <c r="Y16" i="1"/>
  <c r="Y54" i="1"/>
  <c r="Y5" i="1"/>
  <c r="Y42" i="1"/>
  <c r="Y9" i="1"/>
  <c r="Y7" i="1"/>
  <c r="Y43" i="1"/>
  <c r="Y6" i="1"/>
  <c r="Y45" i="1"/>
  <c r="Y21" i="1"/>
  <c r="Y11" i="1"/>
  <c r="Y46" i="1"/>
  <c r="Y49" i="1"/>
  <c r="Y50" i="1"/>
  <c r="Y44" i="1"/>
  <c r="Y17" i="1"/>
  <c r="Y22" i="1"/>
  <c r="Y19" i="1"/>
  <c r="Y13" i="1"/>
  <c r="Y18" i="1"/>
  <c r="Y12" i="1"/>
  <c r="Y14" i="1"/>
  <c r="Y8" i="1"/>
  <c r="Y4" i="1"/>
  <c r="X51" i="1"/>
  <c r="X20" i="1"/>
  <c r="X41" i="1"/>
  <c r="X48" i="1"/>
  <c r="X10" i="1"/>
  <c r="X56" i="1"/>
  <c r="X53" i="1"/>
  <c r="X55" i="1"/>
  <c r="X39" i="1"/>
  <c r="X40" i="1"/>
  <c r="X15" i="1"/>
  <c r="X47" i="1"/>
  <c r="X52" i="1"/>
  <c r="X16" i="1"/>
  <c r="X54" i="1"/>
  <c r="X5" i="1"/>
  <c r="X42" i="1"/>
  <c r="X9" i="1"/>
  <c r="X7" i="1"/>
  <c r="X43" i="1"/>
  <c r="X6" i="1"/>
  <c r="X45" i="1"/>
  <c r="X21" i="1"/>
  <c r="X11" i="1"/>
  <c r="X46" i="1"/>
  <c r="X49" i="1"/>
  <c r="X50" i="1"/>
  <c r="X44" i="1"/>
  <c r="X17" i="1"/>
  <c r="X22" i="1"/>
  <c r="X19" i="1"/>
  <c r="X13" i="1"/>
  <c r="X18" i="1"/>
  <c r="X12" i="1"/>
  <c r="X14" i="1"/>
  <c r="X8" i="1"/>
  <c r="X4" i="1"/>
  <c r="W51" i="1"/>
  <c r="W20" i="1"/>
  <c r="W41" i="1"/>
  <c r="W48" i="1"/>
  <c r="W10" i="1"/>
  <c r="W56" i="1"/>
  <c r="W53" i="1"/>
  <c r="W55" i="1"/>
  <c r="W39" i="1"/>
  <c r="W40" i="1"/>
  <c r="W15" i="1"/>
  <c r="W47" i="1"/>
  <c r="W52" i="1"/>
  <c r="W16" i="1"/>
  <c r="W54" i="1"/>
  <c r="W5" i="1"/>
  <c r="W42" i="1"/>
  <c r="W9" i="1"/>
  <c r="W7" i="1"/>
  <c r="W43" i="1"/>
  <c r="W6" i="1"/>
  <c r="W45" i="1"/>
  <c r="W21" i="1"/>
  <c r="W11" i="1"/>
  <c r="W46" i="1"/>
  <c r="W49" i="1"/>
  <c r="W50" i="1"/>
  <c r="W44" i="1"/>
  <c r="W17" i="1"/>
  <c r="W22" i="1"/>
  <c r="W19" i="1"/>
  <c r="W13" i="1"/>
  <c r="W18" i="1"/>
  <c r="W12" i="1"/>
  <c r="W14" i="1"/>
  <c r="W8" i="1"/>
  <c r="W4" i="1"/>
  <c r="V51" i="1"/>
  <c r="V20" i="1"/>
  <c r="V41" i="1"/>
  <c r="V26" i="1" s="1"/>
  <c r="V48" i="1"/>
  <c r="V10" i="1"/>
  <c r="V56" i="1"/>
  <c r="V53" i="1"/>
  <c r="V55" i="1"/>
  <c r="V39" i="1"/>
  <c r="V40" i="1"/>
  <c r="V15" i="1"/>
  <c r="V47" i="1"/>
  <c r="V52" i="1"/>
  <c r="V16" i="1"/>
  <c r="V54" i="1"/>
  <c r="V5" i="1"/>
  <c r="V25" i="1" s="1"/>
  <c r="V42" i="1"/>
  <c r="V9" i="1"/>
  <c r="V7" i="1"/>
  <c r="V43" i="1"/>
  <c r="V6" i="1"/>
  <c r="V45" i="1"/>
  <c r="V21" i="1"/>
  <c r="V11" i="1"/>
  <c r="V46" i="1"/>
  <c r="V49" i="1"/>
  <c r="V50" i="1"/>
  <c r="V44" i="1"/>
  <c r="V17" i="1"/>
  <c r="V22" i="1"/>
  <c r="V19" i="1"/>
  <c r="V13" i="1"/>
  <c r="V18" i="1"/>
  <c r="V12" i="1"/>
  <c r="V14" i="1"/>
  <c r="V8" i="1"/>
  <c r="V4" i="1"/>
  <c r="U51" i="1"/>
  <c r="U20" i="1"/>
  <c r="U41" i="1"/>
  <c r="U48" i="1"/>
  <c r="U10" i="1"/>
  <c r="U56" i="1"/>
  <c r="U53" i="1"/>
  <c r="U55" i="1"/>
  <c r="U39" i="1"/>
  <c r="U40" i="1"/>
  <c r="U26" i="1" s="1"/>
  <c r="U15" i="1"/>
  <c r="U47" i="1"/>
  <c r="U52" i="1"/>
  <c r="U16" i="1"/>
  <c r="U54" i="1"/>
  <c r="U5" i="1"/>
  <c r="U42" i="1"/>
  <c r="U9" i="1"/>
  <c r="U7" i="1"/>
  <c r="U43" i="1"/>
  <c r="U6" i="1"/>
  <c r="U45" i="1"/>
  <c r="U21" i="1"/>
  <c r="U11" i="1"/>
  <c r="U46" i="1"/>
  <c r="U49" i="1"/>
  <c r="U50" i="1"/>
  <c r="U44" i="1"/>
  <c r="U17" i="1"/>
  <c r="U22" i="1"/>
  <c r="U19" i="1"/>
  <c r="U13" i="1"/>
  <c r="U18" i="1"/>
  <c r="U12" i="1"/>
  <c r="U14" i="1"/>
  <c r="U8" i="1"/>
  <c r="U4" i="1"/>
  <c r="U25" i="1" s="1"/>
  <c r="S12" i="1"/>
  <c r="K1" i="1"/>
  <c r="S15" i="1" s="1"/>
  <c r="I1" i="1"/>
  <c r="S14" i="1" s="1"/>
  <c r="H1" i="1"/>
  <c r="S13" i="1" s="1"/>
  <c r="F1" i="1"/>
  <c r="C1" i="1"/>
  <c r="S11" i="1" s="1"/>
</calcChain>
</file>

<file path=xl/sharedStrings.xml><?xml version="1.0" encoding="utf-8"?>
<sst xmlns="http://schemas.openxmlformats.org/spreadsheetml/2006/main" count="304" uniqueCount="56">
  <si>
    <t>Your Community</t>
  </si>
  <si>
    <t>Today's Date</t>
  </si>
  <si>
    <t>On a scale of 1 to 5 (1 dissatisfied / 5 very satisfied), how would you rate the overall condition and cleanliness of the common areas?</t>
  </si>
  <si>
    <t>Do you have any suggestions for improvement? (If none, please write "none")</t>
  </si>
  <si>
    <t>What is an amenity you would like to see in the community? (If none, please write "none")</t>
  </si>
  <si>
    <t>On a scale of 1 to 5 (1 dissatisfied / 5 very satisfied), how would you rate the responsiveness of maintenance in addressing your requests?</t>
  </si>
  <si>
    <t>On a scale of 1 to 5 (1 dissatisfied / 5 very satisfied), how would you rate the communication from the management regarding community updates?</t>
  </si>
  <si>
    <t>On a scale of 1 to 5 (1 dissatisfied / 5 very satisfied), how would you rate the friendliness and accommodativeness of the staff?</t>
  </si>
  <si>
    <t>Parakeet</t>
  </si>
  <si>
    <t>Roads really need repair</t>
  </si>
  <si>
    <t>None</t>
  </si>
  <si>
    <t>Again roads are in bad shape. Hard to drive through park</t>
  </si>
  <si>
    <t>none</t>
  </si>
  <si>
    <t>Harbour</t>
  </si>
  <si>
    <t>Paradise Lakes</t>
  </si>
  <si>
    <t>Lucky Clover</t>
  </si>
  <si>
    <t>Southgate</t>
  </si>
  <si>
    <t>Palm Haven</t>
  </si>
  <si>
    <t>Tradewinds</t>
  </si>
  <si>
    <t>Whispering Pines</t>
  </si>
  <si>
    <t>Sea Shells</t>
  </si>
  <si>
    <t>Royal Oaks</t>
  </si>
  <si>
    <t>Ormond Beach</t>
  </si>
  <si>
    <t>Oceanaire</t>
  </si>
  <si>
    <t>Bay Oaks Village I</t>
  </si>
  <si>
    <t>Lake Saunders</t>
  </si>
  <si>
    <t>Vantage Oaks</t>
  </si>
  <si>
    <t>Bay Oaks Village</t>
  </si>
  <si>
    <t>Central</t>
  </si>
  <si>
    <t>Westwood</t>
  </si>
  <si>
    <t>Congress</t>
  </si>
  <si>
    <t>Hunter Springs</t>
  </si>
  <si>
    <t>Wolf Bay</t>
  </si>
  <si>
    <t>Apple Creek</t>
  </si>
  <si>
    <t>Countryside</t>
  </si>
  <si>
    <t>Riviera</t>
  </si>
  <si>
    <t>Mayflower</t>
  </si>
  <si>
    <t>Parktown</t>
  </si>
  <si>
    <t>River Oaks</t>
  </si>
  <si>
    <t>Cambridge</t>
  </si>
  <si>
    <t>Gulf Breeze</t>
  </si>
  <si>
    <t>Crystal Acres</t>
  </si>
  <si>
    <t>Meadow Woods</t>
  </si>
  <si>
    <t>Lamberton Lake</t>
  </si>
  <si>
    <t>J Bar J</t>
  </si>
  <si>
    <t>Monson</t>
  </si>
  <si>
    <t>American</t>
  </si>
  <si>
    <t>Triple S</t>
  </si>
  <si>
    <t>Palm Spring Estates</t>
  </si>
  <si>
    <t>How would you rate the overall condition and cleanliness of the common areas?</t>
  </si>
  <si>
    <t>How would you rate the responsiveness of maintenance in addressing your requests?</t>
  </si>
  <si>
    <t>How would you rate the communication from the management regarding community updates?</t>
  </si>
  <si>
    <t>How would you rate the friendliness and accommodativeness of the staff?</t>
  </si>
  <si>
    <t>All</t>
  </si>
  <si>
    <t>Keet</t>
  </si>
  <si>
    <t>Non Keet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</si>
</sst>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A155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wrapText="1"/>
    </xf>
    <xf numFmtId="0" fontId="3" fillId="0" borderId="0" xfId="0" applyFont="1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B5A54-9B92-4F3A-86AC-B20C1711B2F9}">
  <dimension ref="A1:Y244"/>
  <sheetViews>
    <sheetView tabSelected="1" workbookViewId="0">
      <selection activeCell="C2" sqref="C2"/>
    </sheetView>
  </sheetViews>
  <sheetFormatPr defaultColWidth="22" defaultRowHeight="12.75" x14ac:dyDescent="0.2"/>
  <cols>
    <col min="4" max="5" width="0" hidden="1" customWidth="1"/>
    <col min="7" max="7" width="0" hidden="1" customWidth="1"/>
    <col min="10" max="10" width="0" hidden="1" customWidth="1"/>
    <col min="12" max="12" width="0" hidden="1" customWidth="1"/>
    <col min="13" max="17" width="7.7109375" customWidth="1"/>
    <col min="18" max="18" width="76.5703125" bestFit="1" customWidth="1"/>
  </cols>
  <sheetData>
    <row r="1" spans="1:25" x14ac:dyDescent="0.2">
      <c r="C1">
        <f>AVERAGE(C3:C10000)</f>
        <v>3.2768595041322315</v>
      </c>
      <c r="F1">
        <f>AVERAGE(F3:F10000)</f>
        <v>3.1115702479338845</v>
      </c>
      <c r="H1">
        <f>AVERAGE(H3:H10000)</f>
        <v>3.3181818181818183</v>
      </c>
      <c r="I1">
        <f>AVERAGE(I3:I10000)</f>
        <v>3.549586776859504</v>
      </c>
      <c r="K1">
        <f>AVERAGE(K3:K10000)</f>
        <v>3.2561983471074378</v>
      </c>
    </row>
    <row r="2" spans="1:25" s="3" customFormat="1" ht="89.2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3</v>
      </c>
      <c r="H2" s="3" t="s">
        <v>6</v>
      </c>
      <c r="I2" s="3" t="s">
        <v>7</v>
      </c>
      <c r="J2" s="3" t="s">
        <v>3</v>
      </c>
      <c r="K2" s="3" t="s">
        <v>6</v>
      </c>
      <c r="L2" s="3" t="s">
        <v>3</v>
      </c>
      <c r="T2" s="3" t="s">
        <v>0</v>
      </c>
    </row>
    <row r="3" spans="1:25" ht="38.25" x14ac:dyDescent="0.2">
      <c r="A3" s="2" t="s">
        <v>8</v>
      </c>
      <c r="B3" s="4">
        <v>45300</v>
      </c>
      <c r="C3" s="2">
        <v>2</v>
      </c>
      <c r="D3" s="2" t="s">
        <v>9</v>
      </c>
      <c r="E3" s="5" t="s">
        <v>10</v>
      </c>
      <c r="F3" s="2">
        <v>4</v>
      </c>
      <c r="G3" s="2" t="s">
        <v>11</v>
      </c>
      <c r="H3" s="2">
        <v>5</v>
      </c>
      <c r="I3" s="2">
        <v>4</v>
      </c>
      <c r="J3" s="2"/>
      <c r="K3" s="2">
        <v>5</v>
      </c>
      <c r="L3" s="2" t="s">
        <v>12</v>
      </c>
    </row>
    <row r="4" spans="1:25" x14ac:dyDescent="0.2">
      <c r="A4" t="s">
        <v>13</v>
      </c>
      <c r="B4" s="1">
        <v>45300</v>
      </c>
      <c r="C4">
        <v>4</v>
      </c>
      <c r="F4">
        <v>3</v>
      </c>
      <c r="H4">
        <v>2</v>
      </c>
      <c r="I4">
        <v>3</v>
      </c>
      <c r="K4">
        <v>4</v>
      </c>
      <c r="T4" s="2" t="s">
        <v>8</v>
      </c>
      <c r="U4" s="6">
        <f t="shared" ref="U4:U22" si="0">AVERAGEIFS(C:C,$A:$A,T4)</f>
        <v>3</v>
      </c>
      <c r="V4" s="6">
        <f t="shared" ref="V4:V22" si="1">AVERAGEIFS(F:F,$A:$A,$T4)</f>
        <v>2.8</v>
      </c>
      <c r="W4" s="6">
        <f t="shared" ref="W4:W22" si="2">AVERAGEIFS(H:H,$A:$A,$T4)</f>
        <v>3.4</v>
      </c>
      <c r="X4" s="6">
        <f t="shared" ref="X4:X22" si="3">AVERAGEIFS(I:I,$A:$A,$T4)</f>
        <v>3.3</v>
      </c>
      <c r="Y4" s="6">
        <f t="shared" ref="Y4:Y22" si="4">AVERAGEIFS(K:K,$A:$A,$T4)</f>
        <v>3</v>
      </c>
    </row>
    <row r="5" spans="1:25" x14ac:dyDescent="0.2">
      <c r="A5" t="s">
        <v>14</v>
      </c>
      <c r="B5" s="1">
        <v>45300</v>
      </c>
      <c r="C5">
        <v>4</v>
      </c>
      <c r="F5">
        <v>4</v>
      </c>
      <c r="H5">
        <v>5</v>
      </c>
      <c r="I5">
        <v>5</v>
      </c>
      <c r="K5">
        <v>1</v>
      </c>
      <c r="T5" t="s">
        <v>33</v>
      </c>
      <c r="U5" s="6">
        <f t="shared" si="0"/>
        <v>3.4545454545454546</v>
      </c>
      <c r="V5" s="6">
        <f t="shared" si="1"/>
        <v>2.8181818181818183</v>
      </c>
      <c r="W5" s="6">
        <f t="shared" si="2"/>
        <v>3.0909090909090908</v>
      </c>
      <c r="X5" s="6">
        <f t="shared" si="3"/>
        <v>3.5454545454545454</v>
      </c>
      <c r="Y5" s="6">
        <f t="shared" si="4"/>
        <v>3</v>
      </c>
    </row>
    <row r="6" spans="1:25" x14ac:dyDescent="0.2">
      <c r="A6" t="s">
        <v>15</v>
      </c>
      <c r="B6" s="1">
        <v>45300</v>
      </c>
      <c r="C6">
        <v>5</v>
      </c>
      <c r="F6">
        <v>5</v>
      </c>
      <c r="H6">
        <v>5</v>
      </c>
      <c r="I6">
        <v>5</v>
      </c>
      <c r="K6">
        <v>5</v>
      </c>
      <c r="T6" t="s">
        <v>28</v>
      </c>
      <c r="U6" s="6">
        <f t="shared" si="0"/>
        <v>4</v>
      </c>
      <c r="V6" s="6">
        <f t="shared" si="1"/>
        <v>1</v>
      </c>
      <c r="W6" s="6">
        <f t="shared" si="2"/>
        <v>4</v>
      </c>
      <c r="X6" s="6">
        <f t="shared" si="3"/>
        <v>4</v>
      </c>
      <c r="Y6" s="6">
        <f t="shared" si="4"/>
        <v>3</v>
      </c>
    </row>
    <row r="7" spans="1:25" x14ac:dyDescent="0.2">
      <c r="A7" t="s">
        <v>15</v>
      </c>
      <c r="B7" s="1">
        <v>45300</v>
      </c>
      <c r="C7">
        <v>4</v>
      </c>
      <c r="F7">
        <v>5</v>
      </c>
      <c r="H7">
        <v>3</v>
      </c>
      <c r="I7">
        <v>3</v>
      </c>
      <c r="K7">
        <v>2</v>
      </c>
      <c r="T7" t="s">
        <v>30</v>
      </c>
      <c r="U7" s="6">
        <f t="shared" si="0"/>
        <v>2.5</v>
      </c>
      <c r="V7" s="6">
        <f t="shared" si="1"/>
        <v>2</v>
      </c>
      <c r="W7" s="6">
        <f t="shared" si="2"/>
        <v>2</v>
      </c>
      <c r="X7" s="6">
        <f t="shared" si="3"/>
        <v>3</v>
      </c>
      <c r="Y7" s="6">
        <f t="shared" si="4"/>
        <v>2</v>
      </c>
    </row>
    <row r="8" spans="1:25" x14ac:dyDescent="0.2">
      <c r="A8" t="s">
        <v>16</v>
      </c>
      <c r="B8" s="1">
        <v>45300</v>
      </c>
      <c r="C8">
        <v>4</v>
      </c>
      <c r="F8">
        <v>4</v>
      </c>
      <c r="H8">
        <v>4</v>
      </c>
      <c r="I8">
        <v>4</v>
      </c>
      <c r="K8">
        <v>4</v>
      </c>
      <c r="T8" t="s">
        <v>13</v>
      </c>
      <c r="U8" s="6">
        <f t="shared" si="0"/>
        <v>4</v>
      </c>
      <c r="V8" s="6">
        <f t="shared" si="1"/>
        <v>3</v>
      </c>
      <c r="W8" s="6">
        <f t="shared" si="2"/>
        <v>2</v>
      </c>
      <c r="X8" s="6">
        <f t="shared" si="3"/>
        <v>3</v>
      </c>
      <c r="Y8" s="6">
        <f t="shared" si="4"/>
        <v>4</v>
      </c>
    </row>
    <row r="9" spans="1:25" x14ac:dyDescent="0.2">
      <c r="A9" t="s">
        <v>17</v>
      </c>
      <c r="B9" s="1">
        <v>45300</v>
      </c>
      <c r="C9">
        <v>5</v>
      </c>
      <c r="F9">
        <v>3</v>
      </c>
      <c r="H9">
        <v>5</v>
      </c>
      <c r="I9">
        <v>5</v>
      </c>
      <c r="K9">
        <v>5</v>
      </c>
      <c r="T9" t="s">
        <v>31</v>
      </c>
      <c r="U9" s="6">
        <f t="shared" si="0"/>
        <v>2</v>
      </c>
      <c r="V9" s="6">
        <f t="shared" si="1"/>
        <v>1</v>
      </c>
      <c r="W9" s="6">
        <f t="shared" si="2"/>
        <v>2</v>
      </c>
      <c r="X9" s="6">
        <f t="shared" si="3"/>
        <v>2</v>
      </c>
      <c r="Y9" s="6">
        <f t="shared" si="4"/>
        <v>2</v>
      </c>
    </row>
    <row r="10" spans="1:25" x14ac:dyDescent="0.2">
      <c r="A10" t="s">
        <v>18</v>
      </c>
      <c r="B10" s="1">
        <v>45300</v>
      </c>
      <c r="C10">
        <v>4</v>
      </c>
      <c r="F10">
        <v>4</v>
      </c>
      <c r="H10">
        <v>3</v>
      </c>
      <c r="I10">
        <v>2</v>
      </c>
      <c r="K10">
        <v>3</v>
      </c>
      <c r="T10" t="s">
        <v>44</v>
      </c>
      <c r="U10" s="6">
        <f t="shared" si="0"/>
        <v>2.5</v>
      </c>
      <c r="V10" s="6">
        <f t="shared" si="1"/>
        <v>2.5</v>
      </c>
      <c r="W10" s="6">
        <f t="shared" si="2"/>
        <v>2</v>
      </c>
      <c r="X10" s="6">
        <f t="shared" si="3"/>
        <v>1.5</v>
      </c>
      <c r="Y10" s="6">
        <f t="shared" si="4"/>
        <v>1.5</v>
      </c>
    </row>
    <row r="11" spans="1:25" x14ac:dyDescent="0.2">
      <c r="A11" t="s">
        <v>16</v>
      </c>
      <c r="B11" s="1">
        <v>45300</v>
      </c>
      <c r="C11">
        <v>4</v>
      </c>
      <c r="F11">
        <v>2</v>
      </c>
      <c r="H11">
        <v>2</v>
      </c>
      <c r="I11">
        <v>2</v>
      </c>
      <c r="K11">
        <v>2</v>
      </c>
      <c r="R11" t="s">
        <v>49</v>
      </c>
      <c r="S11" s="6">
        <f>+C1</f>
        <v>3.2768595041322315</v>
      </c>
      <c r="T11" t="s">
        <v>25</v>
      </c>
      <c r="U11" s="6">
        <f t="shared" si="0"/>
        <v>3</v>
      </c>
      <c r="V11" s="6">
        <f t="shared" si="1"/>
        <v>2.6</v>
      </c>
      <c r="W11" s="6">
        <f t="shared" si="2"/>
        <v>3.6</v>
      </c>
      <c r="X11" s="6">
        <f t="shared" si="3"/>
        <v>3.6</v>
      </c>
      <c r="Y11" s="6">
        <f t="shared" si="4"/>
        <v>3.4</v>
      </c>
    </row>
    <row r="12" spans="1:25" x14ac:dyDescent="0.2">
      <c r="A12" t="s">
        <v>14</v>
      </c>
      <c r="B12" s="1">
        <v>45300</v>
      </c>
      <c r="C12">
        <v>2</v>
      </c>
      <c r="F12">
        <v>3</v>
      </c>
      <c r="H12">
        <v>1</v>
      </c>
      <c r="I12">
        <v>4</v>
      </c>
      <c r="K12">
        <v>2</v>
      </c>
      <c r="R12" t="s">
        <v>50</v>
      </c>
      <c r="S12" s="6">
        <f>+F1</f>
        <v>3.1115702479338845</v>
      </c>
      <c r="T12" t="s">
        <v>15</v>
      </c>
      <c r="U12" s="6">
        <f t="shared" si="0"/>
        <v>3.1538461538461537</v>
      </c>
      <c r="V12" s="6">
        <f t="shared" si="1"/>
        <v>3.7692307692307692</v>
      </c>
      <c r="W12" s="6">
        <f t="shared" si="2"/>
        <v>3.4615384615384617</v>
      </c>
      <c r="X12" s="6">
        <f t="shared" si="3"/>
        <v>3.7692307692307692</v>
      </c>
      <c r="Y12" s="6">
        <f t="shared" si="4"/>
        <v>3.4615384615384617</v>
      </c>
    </row>
    <row r="13" spans="1:25" x14ac:dyDescent="0.2">
      <c r="A13" t="s">
        <v>14</v>
      </c>
      <c r="B13" s="1">
        <v>45300</v>
      </c>
      <c r="C13">
        <v>5</v>
      </c>
      <c r="F13">
        <v>5</v>
      </c>
      <c r="H13">
        <v>5</v>
      </c>
      <c r="I13">
        <v>5</v>
      </c>
      <c r="K13">
        <v>5</v>
      </c>
      <c r="R13" t="s">
        <v>51</v>
      </c>
      <c r="S13" s="6">
        <f>+H1</f>
        <v>3.3181818181818183</v>
      </c>
      <c r="T13" t="s">
        <v>17</v>
      </c>
      <c r="U13" s="6">
        <f t="shared" si="0"/>
        <v>3.3333333333333335</v>
      </c>
      <c r="V13" s="6">
        <f t="shared" si="1"/>
        <v>2</v>
      </c>
      <c r="W13" s="6">
        <f t="shared" si="2"/>
        <v>3.3333333333333335</v>
      </c>
      <c r="X13" s="6">
        <f t="shared" si="3"/>
        <v>2.6666666666666665</v>
      </c>
      <c r="Y13" s="6">
        <f t="shared" si="4"/>
        <v>2.6666666666666665</v>
      </c>
    </row>
    <row r="14" spans="1:25" x14ac:dyDescent="0.2">
      <c r="A14" t="s">
        <v>19</v>
      </c>
      <c r="B14" s="1">
        <v>45300</v>
      </c>
      <c r="C14">
        <v>3</v>
      </c>
      <c r="F14">
        <v>2</v>
      </c>
      <c r="H14">
        <v>3</v>
      </c>
      <c r="I14">
        <v>3</v>
      </c>
      <c r="K14">
        <v>3</v>
      </c>
      <c r="R14" t="s">
        <v>52</v>
      </c>
      <c r="S14" s="6">
        <f>+I1</f>
        <v>3.549586776859504</v>
      </c>
      <c r="T14" t="s">
        <v>14</v>
      </c>
      <c r="U14" s="6">
        <f t="shared" si="0"/>
        <v>4</v>
      </c>
      <c r="V14" s="6">
        <f t="shared" si="1"/>
        <v>4.0909090909090908</v>
      </c>
      <c r="W14" s="6">
        <f t="shared" si="2"/>
        <v>4.2272727272727275</v>
      </c>
      <c r="X14" s="6">
        <f t="shared" si="3"/>
        <v>4.9090909090909092</v>
      </c>
      <c r="Y14" s="6">
        <f t="shared" si="4"/>
        <v>3.9090909090909092</v>
      </c>
    </row>
    <row r="15" spans="1:25" x14ac:dyDescent="0.2">
      <c r="A15" t="s">
        <v>8</v>
      </c>
      <c r="B15" s="1">
        <v>45300</v>
      </c>
      <c r="C15">
        <v>4</v>
      </c>
      <c r="F15">
        <v>3</v>
      </c>
      <c r="H15">
        <v>4</v>
      </c>
      <c r="I15">
        <v>4</v>
      </c>
      <c r="K15">
        <v>2</v>
      </c>
      <c r="R15" t="s">
        <v>51</v>
      </c>
      <c r="S15" s="6">
        <f>+K1</f>
        <v>3.2561983471074378</v>
      </c>
      <c r="T15" t="s">
        <v>38</v>
      </c>
      <c r="U15" s="6">
        <f t="shared" si="0"/>
        <v>2.0833333333333335</v>
      </c>
      <c r="V15" s="6">
        <f t="shared" si="1"/>
        <v>2.5833333333333335</v>
      </c>
      <c r="W15" s="6">
        <f t="shared" si="2"/>
        <v>2.5</v>
      </c>
      <c r="X15" s="6">
        <f t="shared" si="3"/>
        <v>2.6666666666666665</v>
      </c>
      <c r="Y15" s="6">
        <f t="shared" si="4"/>
        <v>2.5833333333333335</v>
      </c>
    </row>
    <row r="16" spans="1:25" x14ac:dyDescent="0.2">
      <c r="A16" t="s">
        <v>16</v>
      </c>
      <c r="C16">
        <v>4</v>
      </c>
      <c r="F16">
        <v>4</v>
      </c>
      <c r="H16">
        <v>5</v>
      </c>
      <c r="I16">
        <v>5</v>
      </c>
      <c r="K16">
        <v>5</v>
      </c>
      <c r="T16" t="s">
        <v>35</v>
      </c>
      <c r="U16" s="6">
        <f t="shared" si="0"/>
        <v>1.8333333333333333</v>
      </c>
      <c r="V16" s="6">
        <f t="shared" si="1"/>
        <v>2.1666666666666665</v>
      </c>
      <c r="W16" s="6">
        <f t="shared" si="2"/>
        <v>2.6666666666666665</v>
      </c>
      <c r="X16" s="6">
        <f t="shared" si="3"/>
        <v>2.5</v>
      </c>
      <c r="Y16" s="6">
        <f t="shared" si="4"/>
        <v>2.1666666666666665</v>
      </c>
    </row>
    <row r="17" spans="1:25" x14ac:dyDescent="0.2">
      <c r="A17" t="s">
        <v>14</v>
      </c>
      <c r="C17">
        <v>5</v>
      </c>
      <c r="F17">
        <v>5</v>
      </c>
      <c r="H17">
        <v>5</v>
      </c>
      <c r="I17">
        <v>5</v>
      </c>
      <c r="K17">
        <v>5</v>
      </c>
      <c r="T17" t="s">
        <v>20</v>
      </c>
      <c r="U17" s="6">
        <f t="shared" si="0"/>
        <v>3.1538461538461537</v>
      </c>
      <c r="V17" s="6">
        <f t="shared" si="1"/>
        <v>3.2307692307692308</v>
      </c>
      <c r="W17" s="6">
        <f t="shared" si="2"/>
        <v>3.6923076923076925</v>
      </c>
      <c r="X17" s="6">
        <f t="shared" si="3"/>
        <v>4.0769230769230766</v>
      </c>
      <c r="Y17" s="6">
        <f t="shared" si="4"/>
        <v>3.3846153846153846</v>
      </c>
    </row>
    <row r="18" spans="1:25" x14ac:dyDescent="0.2">
      <c r="A18" t="s">
        <v>19</v>
      </c>
      <c r="C18">
        <v>5</v>
      </c>
      <c r="F18">
        <v>2</v>
      </c>
      <c r="H18">
        <v>3</v>
      </c>
      <c r="I18">
        <v>2</v>
      </c>
      <c r="K18">
        <v>2</v>
      </c>
      <c r="T18" t="s">
        <v>16</v>
      </c>
      <c r="U18" s="6">
        <f t="shared" si="0"/>
        <v>3.2666666666666666</v>
      </c>
      <c r="V18" s="6">
        <f t="shared" si="1"/>
        <v>2.7333333333333334</v>
      </c>
      <c r="W18" s="6">
        <f t="shared" si="2"/>
        <v>3.4666666666666668</v>
      </c>
      <c r="X18" s="6">
        <f t="shared" si="3"/>
        <v>3.8</v>
      </c>
      <c r="Y18" s="6">
        <f t="shared" si="4"/>
        <v>3.3333333333333335</v>
      </c>
    </row>
    <row r="19" spans="1:25" x14ac:dyDescent="0.2">
      <c r="A19" t="s">
        <v>14</v>
      </c>
      <c r="C19">
        <v>4</v>
      </c>
      <c r="F19">
        <v>3</v>
      </c>
      <c r="H19">
        <v>5</v>
      </c>
      <c r="I19">
        <v>5</v>
      </c>
      <c r="K19">
        <v>5</v>
      </c>
      <c r="T19" t="s">
        <v>18</v>
      </c>
      <c r="U19" s="6">
        <f t="shared" si="0"/>
        <v>3.1428571428571428</v>
      </c>
      <c r="V19" s="6">
        <f t="shared" si="1"/>
        <v>3</v>
      </c>
      <c r="W19" s="6">
        <f t="shared" si="2"/>
        <v>3.1428571428571428</v>
      </c>
      <c r="X19" s="6">
        <f t="shared" si="3"/>
        <v>3</v>
      </c>
      <c r="Y19" s="6">
        <f t="shared" si="4"/>
        <v>3.2857142857142856</v>
      </c>
    </row>
    <row r="20" spans="1:25" x14ac:dyDescent="0.2">
      <c r="A20" t="s">
        <v>19</v>
      </c>
      <c r="C20">
        <v>5</v>
      </c>
      <c r="F20">
        <v>5</v>
      </c>
      <c r="H20">
        <v>4</v>
      </c>
      <c r="I20">
        <v>5</v>
      </c>
      <c r="K20">
        <v>5</v>
      </c>
      <c r="T20" t="s">
        <v>47</v>
      </c>
      <c r="U20" s="6">
        <f t="shared" si="0"/>
        <v>4.2727272727272725</v>
      </c>
      <c r="V20" s="6">
        <f t="shared" si="1"/>
        <v>4.4090909090909092</v>
      </c>
      <c r="W20" s="6">
        <f t="shared" si="2"/>
        <v>4</v>
      </c>
      <c r="X20" s="6">
        <f t="shared" si="3"/>
        <v>4.2727272727272725</v>
      </c>
      <c r="Y20" s="6">
        <f t="shared" si="4"/>
        <v>4.1818181818181817</v>
      </c>
    </row>
    <row r="21" spans="1:25" x14ac:dyDescent="0.2">
      <c r="A21" t="s">
        <v>20</v>
      </c>
      <c r="C21">
        <v>4</v>
      </c>
      <c r="F21">
        <v>4</v>
      </c>
      <c r="H21">
        <v>4</v>
      </c>
      <c r="I21">
        <v>4</v>
      </c>
      <c r="K21">
        <v>3</v>
      </c>
      <c r="T21" t="s">
        <v>26</v>
      </c>
      <c r="U21" s="6">
        <f t="shared" si="0"/>
        <v>3.7272727272727271</v>
      </c>
      <c r="V21" s="6">
        <f t="shared" si="1"/>
        <v>3.4545454545454546</v>
      </c>
      <c r="W21" s="6">
        <f t="shared" si="2"/>
        <v>2.9090909090909092</v>
      </c>
      <c r="X21" s="6">
        <f t="shared" si="3"/>
        <v>3.4545454545454546</v>
      </c>
      <c r="Y21" s="6">
        <f t="shared" si="4"/>
        <v>3.2727272727272729</v>
      </c>
    </row>
    <row r="22" spans="1:25" x14ac:dyDescent="0.2">
      <c r="A22" t="s">
        <v>14</v>
      </c>
      <c r="C22">
        <v>5</v>
      </c>
      <c r="F22">
        <v>3</v>
      </c>
      <c r="H22">
        <v>4</v>
      </c>
      <c r="I22">
        <v>5</v>
      </c>
      <c r="K22">
        <v>4</v>
      </c>
      <c r="T22" t="s">
        <v>19</v>
      </c>
      <c r="U22" s="6">
        <f t="shared" si="0"/>
        <v>3.6296296296296298</v>
      </c>
      <c r="V22" s="6">
        <f t="shared" si="1"/>
        <v>3.1111111111111112</v>
      </c>
      <c r="W22" s="6">
        <f t="shared" si="2"/>
        <v>3.2222222222222223</v>
      </c>
      <c r="X22" s="6">
        <f t="shared" si="3"/>
        <v>3.5185185185185186</v>
      </c>
      <c r="Y22" s="6">
        <f t="shared" si="4"/>
        <v>3.1481481481481484</v>
      </c>
    </row>
    <row r="23" spans="1:25" x14ac:dyDescent="0.2">
      <c r="A23" t="s">
        <v>16</v>
      </c>
      <c r="C23">
        <v>4</v>
      </c>
      <c r="F23">
        <v>1</v>
      </c>
      <c r="H23">
        <v>3</v>
      </c>
      <c r="I23">
        <v>4</v>
      </c>
      <c r="K23">
        <v>3</v>
      </c>
    </row>
    <row r="24" spans="1:25" x14ac:dyDescent="0.2">
      <c r="A24" t="s">
        <v>20</v>
      </c>
      <c r="C24">
        <v>3</v>
      </c>
      <c r="F24">
        <v>3</v>
      </c>
      <c r="H24">
        <v>4</v>
      </c>
      <c r="I24">
        <v>3</v>
      </c>
      <c r="K24">
        <v>3</v>
      </c>
      <c r="T24" t="s">
        <v>53</v>
      </c>
      <c r="U24" s="6">
        <f>+S11</f>
        <v>3.2768595041322315</v>
      </c>
      <c r="V24" s="6">
        <f>+S12</f>
        <v>3.1115702479338845</v>
      </c>
      <c r="W24" s="6">
        <f>+S13</f>
        <v>3.3181818181818183</v>
      </c>
      <c r="X24" s="6">
        <f>+S14</f>
        <v>3.549586776859504</v>
      </c>
      <c r="Y24" s="6">
        <f>+S15</f>
        <v>3.2561983471074378</v>
      </c>
    </row>
    <row r="25" spans="1:25" x14ac:dyDescent="0.2">
      <c r="A25" t="s">
        <v>16</v>
      </c>
      <c r="C25">
        <v>2</v>
      </c>
      <c r="F25">
        <v>1</v>
      </c>
      <c r="H25">
        <v>2</v>
      </c>
      <c r="I25">
        <v>2</v>
      </c>
      <c r="K25">
        <v>1</v>
      </c>
      <c r="T25" t="s">
        <v>54</v>
      </c>
      <c r="U25" s="7">
        <f>AVERAGE(U4:U22)</f>
        <v>3.1605995369153268</v>
      </c>
      <c r="V25" s="7">
        <f t="shared" ref="V25:Y25" si="5">AVERAGE(V4:V22)</f>
        <v>2.7509037745879854</v>
      </c>
      <c r="W25" s="7">
        <f t="shared" si="5"/>
        <v>3.0901507848876273</v>
      </c>
      <c r="X25" s="7">
        <f t="shared" si="5"/>
        <v>3.2936749410433617</v>
      </c>
      <c r="Y25" s="7">
        <f t="shared" si="5"/>
        <v>3.0154554022975075</v>
      </c>
    </row>
    <row r="26" spans="1:25" x14ac:dyDescent="0.2">
      <c r="A26" t="s">
        <v>16</v>
      </c>
      <c r="C26">
        <v>2</v>
      </c>
      <c r="F26">
        <v>4</v>
      </c>
      <c r="H26">
        <v>4</v>
      </c>
      <c r="I26">
        <v>5</v>
      </c>
      <c r="K26">
        <v>4</v>
      </c>
      <c r="T26" t="s">
        <v>55</v>
      </c>
      <c r="U26" s="7">
        <f>AVERAGE(U39:U56)</f>
        <v>3.0305555555555554</v>
      </c>
      <c r="V26" s="7">
        <f t="shared" ref="V26:Y26" si="6">AVERAGE(V39:V56)</f>
        <v>2.6462962962962964</v>
      </c>
      <c r="W26" s="7">
        <f t="shared" si="6"/>
        <v>3.1472222222222217</v>
      </c>
      <c r="X26" s="7">
        <f t="shared" si="6"/>
        <v>3.2583333333333333</v>
      </c>
      <c r="Y26" s="7">
        <f t="shared" si="6"/>
        <v>3.3000000000000003</v>
      </c>
    </row>
    <row r="27" spans="1:25" x14ac:dyDescent="0.2">
      <c r="A27" t="s">
        <v>21</v>
      </c>
      <c r="C27">
        <v>4</v>
      </c>
      <c r="F27">
        <v>4</v>
      </c>
      <c r="H27">
        <v>4</v>
      </c>
      <c r="I27">
        <v>4</v>
      </c>
      <c r="K27">
        <v>4</v>
      </c>
    </row>
    <row r="28" spans="1:25" x14ac:dyDescent="0.2">
      <c r="A28" t="s">
        <v>14</v>
      </c>
      <c r="C28">
        <v>4</v>
      </c>
      <c r="F28">
        <v>5</v>
      </c>
      <c r="H28">
        <v>5</v>
      </c>
      <c r="I28">
        <v>5</v>
      </c>
      <c r="K28">
        <v>5</v>
      </c>
    </row>
    <row r="29" spans="1:25" x14ac:dyDescent="0.2">
      <c r="A29" t="s">
        <v>14</v>
      </c>
      <c r="C29">
        <v>2</v>
      </c>
      <c r="F29">
        <v>3</v>
      </c>
      <c r="H29">
        <v>4</v>
      </c>
      <c r="I29">
        <v>5</v>
      </c>
      <c r="K29">
        <v>3</v>
      </c>
    </row>
    <row r="30" spans="1:25" x14ac:dyDescent="0.2">
      <c r="A30" t="s">
        <v>14</v>
      </c>
      <c r="C30">
        <v>5</v>
      </c>
      <c r="F30">
        <v>5</v>
      </c>
      <c r="H30">
        <v>2</v>
      </c>
      <c r="I30">
        <v>5</v>
      </c>
      <c r="K30">
        <v>1</v>
      </c>
    </row>
    <row r="31" spans="1:25" x14ac:dyDescent="0.2">
      <c r="A31" t="s">
        <v>15</v>
      </c>
      <c r="C31">
        <v>4</v>
      </c>
      <c r="F31">
        <v>4</v>
      </c>
      <c r="H31">
        <v>3</v>
      </c>
      <c r="I31">
        <v>4</v>
      </c>
      <c r="K31">
        <v>4</v>
      </c>
    </row>
    <row r="32" spans="1:25" x14ac:dyDescent="0.2">
      <c r="A32" t="s">
        <v>20</v>
      </c>
      <c r="C32">
        <v>2</v>
      </c>
      <c r="F32">
        <v>3</v>
      </c>
      <c r="H32">
        <v>4</v>
      </c>
      <c r="I32">
        <v>3</v>
      </c>
      <c r="K32">
        <v>1</v>
      </c>
    </row>
    <row r="33" spans="1:25" x14ac:dyDescent="0.2">
      <c r="A33" t="s">
        <v>14</v>
      </c>
      <c r="C33">
        <v>5</v>
      </c>
      <c r="F33">
        <v>5</v>
      </c>
      <c r="H33">
        <v>5</v>
      </c>
      <c r="I33">
        <v>5</v>
      </c>
      <c r="K33">
        <v>5</v>
      </c>
    </row>
    <row r="34" spans="1:25" x14ac:dyDescent="0.2">
      <c r="A34" t="s">
        <v>8</v>
      </c>
      <c r="C34">
        <v>4</v>
      </c>
      <c r="F34">
        <v>3</v>
      </c>
      <c r="H34">
        <v>4</v>
      </c>
      <c r="I34">
        <v>2</v>
      </c>
      <c r="K34">
        <v>2</v>
      </c>
    </row>
    <row r="35" spans="1:25" x14ac:dyDescent="0.2">
      <c r="A35" t="s">
        <v>16</v>
      </c>
      <c r="C35">
        <v>2</v>
      </c>
      <c r="F35">
        <v>2</v>
      </c>
      <c r="H35">
        <v>3</v>
      </c>
      <c r="I35">
        <v>3</v>
      </c>
      <c r="K35">
        <v>2</v>
      </c>
    </row>
    <row r="36" spans="1:25" x14ac:dyDescent="0.2">
      <c r="A36" t="s">
        <v>22</v>
      </c>
      <c r="C36">
        <v>3</v>
      </c>
      <c r="F36">
        <v>4</v>
      </c>
      <c r="H36">
        <v>5</v>
      </c>
      <c r="I36">
        <v>5</v>
      </c>
      <c r="K36">
        <v>5</v>
      </c>
    </row>
    <row r="37" spans="1:25" x14ac:dyDescent="0.2">
      <c r="A37" t="s">
        <v>14</v>
      </c>
      <c r="C37">
        <v>5</v>
      </c>
      <c r="F37">
        <v>5</v>
      </c>
      <c r="H37">
        <v>5</v>
      </c>
      <c r="I37">
        <v>5</v>
      </c>
      <c r="K37">
        <v>5</v>
      </c>
    </row>
    <row r="38" spans="1:25" x14ac:dyDescent="0.2">
      <c r="A38" t="s">
        <v>19</v>
      </c>
      <c r="C38">
        <v>3</v>
      </c>
      <c r="F38">
        <v>3</v>
      </c>
      <c r="H38">
        <v>2</v>
      </c>
      <c r="I38">
        <v>5</v>
      </c>
      <c r="K38">
        <v>1</v>
      </c>
    </row>
    <row r="39" spans="1:25" x14ac:dyDescent="0.2">
      <c r="A39" t="s">
        <v>20</v>
      </c>
      <c r="C39">
        <v>4</v>
      </c>
      <c r="F39">
        <v>5</v>
      </c>
      <c r="H39">
        <v>4</v>
      </c>
      <c r="I39">
        <v>5</v>
      </c>
      <c r="K39">
        <v>4</v>
      </c>
      <c r="T39" t="s">
        <v>40</v>
      </c>
      <c r="U39" s="6">
        <f t="shared" ref="U39:U56" si="7">AVERAGEIFS(C:C,$A:$A,T39)</f>
        <v>4</v>
      </c>
      <c r="V39" s="6">
        <f t="shared" ref="V39:V56" si="8">AVERAGEIFS(F:F,$A:$A,$T39)</f>
        <v>4</v>
      </c>
      <c r="W39" s="6">
        <f t="shared" ref="W39:W56" si="9">AVERAGEIFS(H:H,$A:$A,$T39)</f>
        <v>5</v>
      </c>
      <c r="X39" s="6">
        <f t="shared" ref="X39:X56" si="10">AVERAGEIFS(I:I,$A:$A,$T39)</f>
        <v>5</v>
      </c>
      <c r="Y39" s="6">
        <f t="shared" ref="Y39:Y56" si="11">AVERAGEIFS(K:K,$A:$A,$T39)</f>
        <v>4</v>
      </c>
    </row>
    <row r="40" spans="1:25" x14ac:dyDescent="0.2">
      <c r="A40" t="s">
        <v>19</v>
      </c>
      <c r="C40">
        <v>5</v>
      </c>
      <c r="F40">
        <v>2</v>
      </c>
      <c r="H40">
        <v>4</v>
      </c>
      <c r="I40">
        <v>1</v>
      </c>
      <c r="K40">
        <v>4</v>
      </c>
      <c r="T40" t="s">
        <v>39</v>
      </c>
      <c r="U40" s="6">
        <f t="shared" si="7"/>
        <v>4.333333333333333</v>
      </c>
      <c r="V40" s="6">
        <f t="shared" si="8"/>
        <v>3.6666666666666665</v>
      </c>
      <c r="W40" s="6">
        <f t="shared" si="9"/>
        <v>4</v>
      </c>
      <c r="X40" s="6">
        <f t="shared" si="10"/>
        <v>3.6666666666666665</v>
      </c>
      <c r="Y40" s="6">
        <f t="shared" si="11"/>
        <v>3.3333333333333335</v>
      </c>
    </row>
    <row r="41" spans="1:25" x14ac:dyDescent="0.2">
      <c r="A41" t="s">
        <v>23</v>
      </c>
      <c r="C41">
        <v>4</v>
      </c>
      <c r="F41">
        <v>1</v>
      </c>
      <c r="H41">
        <v>2</v>
      </c>
      <c r="I41">
        <v>1</v>
      </c>
      <c r="K41">
        <v>1</v>
      </c>
      <c r="T41" t="s">
        <v>46</v>
      </c>
      <c r="U41" s="6">
        <f t="shared" si="7"/>
        <v>2</v>
      </c>
      <c r="V41" s="6">
        <f t="shared" si="8"/>
        <v>2.75</v>
      </c>
      <c r="W41" s="6">
        <f t="shared" si="9"/>
        <v>2.25</v>
      </c>
      <c r="X41" s="6">
        <f t="shared" si="10"/>
        <v>2</v>
      </c>
      <c r="Y41" s="6">
        <f t="shared" si="11"/>
        <v>2.75</v>
      </c>
    </row>
    <row r="42" spans="1:25" x14ac:dyDescent="0.2">
      <c r="A42" t="s">
        <v>24</v>
      </c>
      <c r="C42">
        <v>4</v>
      </c>
      <c r="F42">
        <v>4</v>
      </c>
      <c r="H42">
        <v>5</v>
      </c>
      <c r="I42">
        <v>5</v>
      </c>
      <c r="K42">
        <v>5</v>
      </c>
      <c r="T42" t="s">
        <v>32</v>
      </c>
      <c r="U42" s="6">
        <f t="shared" si="7"/>
        <v>3.5</v>
      </c>
      <c r="V42" s="6">
        <f t="shared" si="8"/>
        <v>2.75</v>
      </c>
      <c r="W42" s="6">
        <f t="shared" si="9"/>
        <v>3.5</v>
      </c>
      <c r="X42" s="6">
        <f t="shared" si="10"/>
        <v>3.75</v>
      </c>
      <c r="Y42" s="6">
        <f t="shared" si="11"/>
        <v>3.25</v>
      </c>
    </row>
    <row r="43" spans="1:25" x14ac:dyDescent="0.2">
      <c r="A43" t="s">
        <v>15</v>
      </c>
      <c r="C43">
        <v>3</v>
      </c>
      <c r="F43">
        <v>4</v>
      </c>
      <c r="H43">
        <v>4</v>
      </c>
      <c r="I43">
        <v>3</v>
      </c>
      <c r="K43">
        <v>4</v>
      </c>
      <c r="T43" t="s">
        <v>29</v>
      </c>
      <c r="U43" s="6">
        <f t="shared" si="7"/>
        <v>4</v>
      </c>
      <c r="V43" s="6">
        <f t="shared" si="8"/>
        <v>3</v>
      </c>
      <c r="W43" s="6">
        <f t="shared" si="9"/>
        <v>4</v>
      </c>
      <c r="X43" s="6">
        <f t="shared" si="10"/>
        <v>4</v>
      </c>
      <c r="Y43" s="6">
        <f t="shared" si="11"/>
        <v>4</v>
      </c>
    </row>
    <row r="44" spans="1:25" x14ac:dyDescent="0.2">
      <c r="A44" t="s">
        <v>19</v>
      </c>
      <c r="C44">
        <v>5</v>
      </c>
      <c r="F44">
        <v>4</v>
      </c>
      <c r="H44">
        <v>2</v>
      </c>
      <c r="I44">
        <v>5</v>
      </c>
      <c r="K44">
        <v>2</v>
      </c>
      <c r="T44" t="s">
        <v>21</v>
      </c>
      <c r="U44" s="6">
        <f t="shared" si="7"/>
        <v>4</v>
      </c>
      <c r="V44" s="6">
        <f t="shared" si="8"/>
        <v>3</v>
      </c>
      <c r="W44" s="6">
        <f t="shared" si="9"/>
        <v>4.5</v>
      </c>
      <c r="X44" s="6">
        <f t="shared" si="10"/>
        <v>4</v>
      </c>
      <c r="Y44" s="6">
        <f t="shared" si="11"/>
        <v>4</v>
      </c>
    </row>
    <row r="45" spans="1:25" x14ac:dyDescent="0.2">
      <c r="A45" t="s">
        <v>16</v>
      </c>
      <c r="C45">
        <v>1</v>
      </c>
      <c r="F45">
        <v>1</v>
      </c>
      <c r="H45">
        <v>1</v>
      </c>
      <c r="I45">
        <v>3</v>
      </c>
      <c r="K45">
        <v>1</v>
      </c>
      <c r="T45" t="s">
        <v>27</v>
      </c>
      <c r="U45" s="6">
        <f t="shared" si="7"/>
        <v>2</v>
      </c>
      <c r="V45" s="6">
        <f t="shared" si="8"/>
        <v>1.3333333333333333</v>
      </c>
      <c r="W45" s="6">
        <f t="shared" si="9"/>
        <v>3.3333333333333335</v>
      </c>
      <c r="X45" s="6">
        <f t="shared" si="10"/>
        <v>2.6666666666666665</v>
      </c>
      <c r="Y45" s="6">
        <f t="shared" si="11"/>
        <v>3.3333333333333335</v>
      </c>
    </row>
    <row r="46" spans="1:25" x14ac:dyDescent="0.2">
      <c r="A46" t="s">
        <v>25</v>
      </c>
      <c r="C46">
        <v>1</v>
      </c>
      <c r="F46">
        <v>1</v>
      </c>
      <c r="H46">
        <v>1</v>
      </c>
      <c r="I46">
        <v>1</v>
      </c>
      <c r="K46">
        <v>1</v>
      </c>
      <c r="T46" t="s">
        <v>24</v>
      </c>
      <c r="U46" s="6">
        <f t="shared" si="7"/>
        <v>4</v>
      </c>
      <c r="V46" s="6">
        <f t="shared" si="8"/>
        <v>4</v>
      </c>
      <c r="W46" s="6">
        <f t="shared" si="9"/>
        <v>5</v>
      </c>
      <c r="X46" s="6">
        <f t="shared" si="10"/>
        <v>5</v>
      </c>
      <c r="Y46" s="6">
        <f t="shared" si="11"/>
        <v>5</v>
      </c>
    </row>
    <row r="47" spans="1:25" x14ac:dyDescent="0.2">
      <c r="A47" t="s">
        <v>26</v>
      </c>
      <c r="C47">
        <v>3</v>
      </c>
      <c r="F47">
        <v>3</v>
      </c>
      <c r="H47">
        <v>1</v>
      </c>
      <c r="I47">
        <v>1</v>
      </c>
      <c r="K47">
        <v>1</v>
      </c>
      <c r="T47" t="s">
        <v>37</v>
      </c>
      <c r="U47" s="6">
        <f t="shared" si="7"/>
        <v>2</v>
      </c>
      <c r="V47" s="6">
        <f t="shared" si="8"/>
        <v>1.5</v>
      </c>
      <c r="W47" s="6">
        <f t="shared" si="9"/>
        <v>1.75</v>
      </c>
      <c r="X47" s="6">
        <f t="shared" si="10"/>
        <v>2.75</v>
      </c>
      <c r="Y47" s="6">
        <f t="shared" si="11"/>
        <v>2</v>
      </c>
    </row>
    <row r="48" spans="1:25" x14ac:dyDescent="0.2">
      <c r="A48" t="s">
        <v>26</v>
      </c>
      <c r="C48">
        <v>4</v>
      </c>
      <c r="F48">
        <v>5</v>
      </c>
      <c r="H48">
        <v>5</v>
      </c>
      <c r="I48">
        <v>5</v>
      </c>
      <c r="K48">
        <v>4</v>
      </c>
      <c r="T48" t="s">
        <v>45</v>
      </c>
      <c r="U48" s="6">
        <f t="shared" si="7"/>
        <v>2.4</v>
      </c>
      <c r="V48" s="6">
        <f t="shared" si="8"/>
        <v>2.2999999999999998</v>
      </c>
      <c r="W48" s="6">
        <f t="shared" si="9"/>
        <v>2.4</v>
      </c>
      <c r="X48" s="6">
        <f t="shared" si="10"/>
        <v>2.7</v>
      </c>
      <c r="Y48" s="6">
        <f t="shared" si="11"/>
        <v>2.5</v>
      </c>
    </row>
    <row r="49" spans="1:25" x14ac:dyDescent="0.2">
      <c r="A49" t="s">
        <v>26</v>
      </c>
      <c r="C49">
        <v>4</v>
      </c>
      <c r="F49">
        <v>1</v>
      </c>
      <c r="H49">
        <v>1</v>
      </c>
      <c r="I49">
        <v>1</v>
      </c>
      <c r="K49">
        <v>5</v>
      </c>
      <c r="T49" t="s">
        <v>23</v>
      </c>
      <c r="U49" s="6">
        <f t="shared" si="7"/>
        <v>4.25</v>
      </c>
      <c r="V49" s="6">
        <f t="shared" si="8"/>
        <v>3.5</v>
      </c>
      <c r="W49" s="6">
        <f t="shared" si="9"/>
        <v>3.75</v>
      </c>
      <c r="X49" s="6">
        <f t="shared" si="10"/>
        <v>3.5</v>
      </c>
      <c r="Y49" s="6">
        <f t="shared" si="11"/>
        <v>3.5</v>
      </c>
    </row>
    <row r="50" spans="1:25" x14ac:dyDescent="0.2">
      <c r="A50" t="s">
        <v>14</v>
      </c>
      <c r="C50">
        <v>3</v>
      </c>
      <c r="F50">
        <v>4</v>
      </c>
      <c r="H50">
        <v>1</v>
      </c>
      <c r="I50">
        <v>5</v>
      </c>
      <c r="K50">
        <v>3</v>
      </c>
      <c r="T50" t="s">
        <v>22</v>
      </c>
      <c r="U50" s="6">
        <f t="shared" si="7"/>
        <v>2.6666666666666665</v>
      </c>
      <c r="V50" s="6">
        <f t="shared" si="8"/>
        <v>3.3333333333333335</v>
      </c>
      <c r="W50" s="6">
        <f t="shared" si="9"/>
        <v>4.666666666666667</v>
      </c>
      <c r="X50" s="6">
        <f t="shared" si="10"/>
        <v>4.666666666666667</v>
      </c>
      <c r="Y50" s="6">
        <f t="shared" si="11"/>
        <v>4.333333333333333</v>
      </c>
    </row>
    <row r="51" spans="1:25" x14ac:dyDescent="0.2">
      <c r="A51" t="s">
        <v>15</v>
      </c>
      <c r="C51">
        <v>3</v>
      </c>
      <c r="F51">
        <v>5</v>
      </c>
      <c r="H51">
        <v>4</v>
      </c>
      <c r="I51">
        <v>5</v>
      </c>
      <c r="K51">
        <v>4</v>
      </c>
      <c r="T51" t="s">
        <v>48</v>
      </c>
      <c r="U51" s="6">
        <f t="shared" si="7"/>
        <v>3</v>
      </c>
      <c r="V51" s="6">
        <f t="shared" si="8"/>
        <v>3</v>
      </c>
      <c r="W51" s="6">
        <f t="shared" si="9"/>
        <v>2</v>
      </c>
      <c r="X51" s="6">
        <f t="shared" si="10"/>
        <v>4</v>
      </c>
      <c r="Y51" s="6">
        <f t="shared" si="11"/>
        <v>2</v>
      </c>
    </row>
    <row r="52" spans="1:25" x14ac:dyDescent="0.2">
      <c r="A52" t="s">
        <v>23</v>
      </c>
      <c r="C52">
        <v>5</v>
      </c>
      <c r="F52">
        <v>5</v>
      </c>
      <c r="H52">
        <v>5</v>
      </c>
      <c r="I52">
        <v>5</v>
      </c>
      <c r="K52">
        <v>5</v>
      </c>
      <c r="T52" t="s">
        <v>36</v>
      </c>
      <c r="U52" s="6">
        <f t="shared" si="7"/>
        <v>3</v>
      </c>
      <c r="V52" s="6">
        <f t="shared" si="8"/>
        <v>1</v>
      </c>
      <c r="W52" s="6">
        <f t="shared" si="9"/>
        <v>1</v>
      </c>
      <c r="X52" s="6">
        <f t="shared" si="10"/>
        <v>1</v>
      </c>
      <c r="Y52" s="6">
        <f t="shared" si="11"/>
        <v>4</v>
      </c>
    </row>
    <row r="53" spans="1:25" x14ac:dyDescent="0.2">
      <c r="A53" t="s">
        <v>16</v>
      </c>
      <c r="C53">
        <v>5</v>
      </c>
      <c r="F53">
        <v>5</v>
      </c>
      <c r="H53">
        <v>5</v>
      </c>
      <c r="I53">
        <v>5</v>
      </c>
      <c r="K53">
        <v>5</v>
      </c>
      <c r="T53" t="s">
        <v>42</v>
      </c>
      <c r="U53" s="6">
        <f t="shared" si="7"/>
        <v>3.4</v>
      </c>
      <c r="V53" s="6">
        <f t="shared" si="8"/>
        <v>3</v>
      </c>
      <c r="W53" s="6">
        <f t="shared" si="9"/>
        <v>3</v>
      </c>
      <c r="X53" s="6">
        <f t="shared" si="10"/>
        <v>3.2</v>
      </c>
      <c r="Y53" s="6">
        <f t="shared" si="11"/>
        <v>2.4</v>
      </c>
    </row>
    <row r="54" spans="1:25" x14ac:dyDescent="0.2">
      <c r="A54" t="s">
        <v>25</v>
      </c>
      <c r="C54">
        <v>2</v>
      </c>
      <c r="F54">
        <v>1</v>
      </c>
      <c r="H54">
        <v>3</v>
      </c>
      <c r="I54">
        <v>3</v>
      </c>
      <c r="K54">
        <v>3</v>
      </c>
      <c r="T54" t="s">
        <v>34</v>
      </c>
      <c r="U54" s="6">
        <f t="shared" si="7"/>
        <v>3</v>
      </c>
      <c r="V54" s="6">
        <f t="shared" si="8"/>
        <v>1</v>
      </c>
      <c r="W54" s="6">
        <f t="shared" si="9"/>
        <v>2</v>
      </c>
      <c r="X54" s="6">
        <f t="shared" si="10"/>
        <v>3</v>
      </c>
      <c r="Y54" s="6">
        <f t="shared" si="11"/>
        <v>2</v>
      </c>
    </row>
    <row r="55" spans="1:25" x14ac:dyDescent="0.2">
      <c r="A55" t="s">
        <v>25</v>
      </c>
      <c r="C55">
        <v>5</v>
      </c>
      <c r="F55">
        <v>4</v>
      </c>
      <c r="H55">
        <v>5</v>
      </c>
      <c r="I55">
        <v>5</v>
      </c>
      <c r="K55">
        <v>5</v>
      </c>
      <c r="T55" t="s">
        <v>41</v>
      </c>
      <c r="U55" s="6">
        <f t="shared" si="7"/>
        <v>1.5</v>
      </c>
      <c r="V55" s="6">
        <f t="shared" si="8"/>
        <v>2.5</v>
      </c>
      <c r="W55" s="6">
        <f t="shared" si="9"/>
        <v>2.5</v>
      </c>
      <c r="X55" s="6">
        <f t="shared" si="10"/>
        <v>2</v>
      </c>
      <c r="Y55" s="6">
        <f t="shared" si="11"/>
        <v>4</v>
      </c>
    </row>
    <row r="56" spans="1:25" x14ac:dyDescent="0.2">
      <c r="A56" t="s">
        <v>19</v>
      </c>
      <c r="C56">
        <v>5</v>
      </c>
      <c r="F56">
        <v>5</v>
      </c>
      <c r="H56">
        <v>5</v>
      </c>
      <c r="I56">
        <v>5</v>
      </c>
      <c r="K56">
        <v>5</v>
      </c>
      <c r="T56" t="s">
        <v>43</v>
      </c>
      <c r="U56" s="6">
        <f t="shared" si="7"/>
        <v>1.5</v>
      </c>
      <c r="V56" s="6">
        <f t="shared" si="8"/>
        <v>2</v>
      </c>
      <c r="W56" s="6">
        <f t="shared" si="9"/>
        <v>2</v>
      </c>
      <c r="X56" s="6">
        <f t="shared" si="10"/>
        <v>1.75</v>
      </c>
      <c r="Y56" s="6">
        <f t="shared" si="11"/>
        <v>3</v>
      </c>
    </row>
    <row r="57" spans="1:25" x14ac:dyDescent="0.2">
      <c r="A57" t="s">
        <v>21</v>
      </c>
      <c r="C57">
        <v>4</v>
      </c>
      <c r="F57">
        <v>2</v>
      </c>
      <c r="H57">
        <v>5</v>
      </c>
      <c r="I57">
        <v>4</v>
      </c>
      <c r="K57">
        <v>4</v>
      </c>
    </row>
    <row r="58" spans="1:25" x14ac:dyDescent="0.2">
      <c r="A58" t="s">
        <v>19</v>
      </c>
      <c r="C58">
        <v>4</v>
      </c>
      <c r="F58">
        <v>1</v>
      </c>
      <c r="H58">
        <v>2</v>
      </c>
      <c r="I58">
        <v>4</v>
      </c>
      <c r="K58">
        <v>1</v>
      </c>
    </row>
    <row r="59" spans="1:25" x14ac:dyDescent="0.2">
      <c r="A59" t="s">
        <v>14</v>
      </c>
      <c r="C59">
        <v>4</v>
      </c>
      <c r="F59">
        <v>4</v>
      </c>
      <c r="H59">
        <v>5</v>
      </c>
      <c r="I59">
        <v>5</v>
      </c>
      <c r="K59">
        <v>5</v>
      </c>
    </row>
    <row r="60" spans="1:25" x14ac:dyDescent="0.2">
      <c r="A60" t="s">
        <v>19</v>
      </c>
      <c r="C60">
        <v>5</v>
      </c>
      <c r="F60">
        <v>5</v>
      </c>
      <c r="H60">
        <v>5</v>
      </c>
      <c r="I60">
        <v>5</v>
      </c>
      <c r="K60">
        <v>5</v>
      </c>
    </row>
    <row r="61" spans="1:25" x14ac:dyDescent="0.2">
      <c r="A61" t="s">
        <v>23</v>
      </c>
      <c r="C61">
        <v>5</v>
      </c>
      <c r="F61">
        <v>5</v>
      </c>
      <c r="H61">
        <v>5</v>
      </c>
      <c r="I61">
        <v>5</v>
      </c>
      <c r="K61">
        <v>5</v>
      </c>
    </row>
    <row r="62" spans="1:25" x14ac:dyDescent="0.2">
      <c r="A62" t="s">
        <v>19</v>
      </c>
      <c r="C62">
        <v>3</v>
      </c>
      <c r="F62">
        <v>2</v>
      </c>
      <c r="H62">
        <v>1</v>
      </c>
      <c r="I62">
        <v>3</v>
      </c>
      <c r="K62">
        <v>1</v>
      </c>
    </row>
    <row r="63" spans="1:25" x14ac:dyDescent="0.2">
      <c r="A63" t="s">
        <v>18</v>
      </c>
      <c r="C63">
        <v>2</v>
      </c>
      <c r="F63">
        <v>3</v>
      </c>
      <c r="H63">
        <v>5</v>
      </c>
      <c r="I63">
        <v>5</v>
      </c>
      <c r="K63">
        <v>5</v>
      </c>
    </row>
    <row r="64" spans="1:25" x14ac:dyDescent="0.2">
      <c r="A64" t="s">
        <v>18</v>
      </c>
      <c r="C64">
        <v>1</v>
      </c>
      <c r="F64">
        <v>1</v>
      </c>
      <c r="H64">
        <v>1</v>
      </c>
      <c r="I64">
        <v>1</v>
      </c>
      <c r="K64">
        <v>1</v>
      </c>
    </row>
    <row r="65" spans="1:11" x14ac:dyDescent="0.2">
      <c r="A65" t="s">
        <v>16</v>
      </c>
      <c r="C65">
        <v>4</v>
      </c>
      <c r="F65">
        <v>4</v>
      </c>
      <c r="H65">
        <v>5</v>
      </c>
      <c r="I65">
        <v>5</v>
      </c>
      <c r="K65">
        <v>5</v>
      </c>
    </row>
    <row r="66" spans="1:11" x14ac:dyDescent="0.2">
      <c r="A66" t="s">
        <v>16</v>
      </c>
      <c r="C66">
        <v>5</v>
      </c>
      <c r="F66">
        <v>3</v>
      </c>
      <c r="H66">
        <v>4</v>
      </c>
      <c r="I66">
        <v>4</v>
      </c>
      <c r="K66">
        <v>4</v>
      </c>
    </row>
    <row r="67" spans="1:11" x14ac:dyDescent="0.2">
      <c r="A67" t="s">
        <v>15</v>
      </c>
      <c r="C67">
        <v>1</v>
      </c>
      <c r="F67">
        <v>3</v>
      </c>
      <c r="H67">
        <v>1</v>
      </c>
      <c r="I67">
        <v>3</v>
      </c>
      <c r="K67">
        <v>1</v>
      </c>
    </row>
    <row r="68" spans="1:11" x14ac:dyDescent="0.2">
      <c r="A68" t="s">
        <v>27</v>
      </c>
      <c r="C68">
        <v>2</v>
      </c>
      <c r="F68">
        <v>1</v>
      </c>
      <c r="H68">
        <v>5</v>
      </c>
      <c r="I68">
        <v>5</v>
      </c>
      <c r="K68">
        <v>5</v>
      </c>
    </row>
    <row r="69" spans="1:11" x14ac:dyDescent="0.2">
      <c r="A69" t="s">
        <v>15</v>
      </c>
      <c r="C69">
        <v>3</v>
      </c>
      <c r="F69">
        <v>3</v>
      </c>
      <c r="H69">
        <v>4</v>
      </c>
      <c r="I69">
        <v>5</v>
      </c>
      <c r="K69">
        <v>3</v>
      </c>
    </row>
    <row r="70" spans="1:11" x14ac:dyDescent="0.2">
      <c r="A70" t="s">
        <v>18</v>
      </c>
      <c r="C70">
        <v>5</v>
      </c>
      <c r="F70">
        <v>5</v>
      </c>
      <c r="H70">
        <v>5</v>
      </c>
      <c r="I70">
        <v>5</v>
      </c>
      <c r="K70">
        <v>5</v>
      </c>
    </row>
    <row r="71" spans="1:11" x14ac:dyDescent="0.2">
      <c r="A71" t="s">
        <v>19</v>
      </c>
      <c r="C71">
        <v>3</v>
      </c>
      <c r="F71">
        <v>3</v>
      </c>
      <c r="H71">
        <v>5</v>
      </c>
      <c r="I71">
        <v>3</v>
      </c>
      <c r="K71">
        <v>5</v>
      </c>
    </row>
    <row r="72" spans="1:11" x14ac:dyDescent="0.2">
      <c r="A72" t="s">
        <v>26</v>
      </c>
      <c r="C72">
        <v>4</v>
      </c>
      <c r="F72">
        <v>5</v>
      </c>
      <c r="H72">
        <v>3</v>
      </c>
      <c r="I72">
        <v>5</v>
      </c>
      <c r="K72">
        <v>4</v>
      </c>
    </row>
    <row r="73" spans="1:11" x14ac:dyDescent="0.2">
      <c r="A73" t="s">
        <v>26</v>
      </c>
      <c r="C73">
        <v>2</v>
      </c>
      <c r="F73">
        <v>1</v>
      </c>
      <c r="H73">
        <v>1</v>
      </c>
      <c r="I73">
        <v>5</v>
      </c>
      <c r="K73">
        <v>1</v>
      </c>
    </row>
    <row r="74" spans="1:11" x14ac:dyDescent="0.2">
      <c r="A74" t="s">
        <v>28</v>
      </c>
      <c r="C74">
        <v>4</v>
      </c>
      <c r="F74">
        <v>1</v>
      </c>
      <c r="H74">
        <v>4</v>
      </c>
      <c r="I74">
        <v>4</v>
      </c>
      <c r="K74">
        <v>3</v>
      </c>
    </row>
    <row r="75" spans="1:11" x14ac:dyDescent="0.2">
      <c r="A75" t="s">
        <v>20</v>
      </c>
      <c r="C75">
        <v>5</v>
      </c>
      <c r="F75">
        <v>2</v>
      </c>
      <c r="H75">
        <v>3</v>
      </c>
      <c r="I75">
        <v>5</v>
      </c>
      <c r="K75">
        <v>5</v>
      </c>
    </row>
    <row r="76" spans="1:11" x14ac:dyDescent="0.2">
      <c r="A76" t="s">
        <v>14</v>
      </c>
      <c r="C76">
        <v>4</v>
      </c>
      <c r="F76">
        <v>5</v>
      </c>
      <c r="H76">
        <v>5</v>
      </c>
      <c r="I76">
        <v>5</v>
      </c>
      <c r="K76">
        <v>5</v>
      </c>
    </row>
    <row r="77" spans="1:11" x14ac:dyDescent="0.2">
      <c r="A77" t="s">
        <v>19</v>
      </c>
      <c r="C77">
        <v>1</v>
      </c>
      <c r="F77">
        <v>1</v>
      </c>
      <c r="H77">
        <v>1</v>
      </c>
      <c r="I77">
        <v>1</v>
      </c>
      <c r="K77">
        <v>1</v>
      </c>
    </row>
    <row r="78" spans="1:11" x14ac:dyDescent="0.2">
      <c r="A78" t="s">
        <v>14</v>
      </c>
      <c r="C78">
        <v>5</v>
      </c>
      <c r="F78">
        <v>5</v>
      </c>
      <c r="H78">
        <v>5</v>
      </c>
      <c r="I78">
        <v>5</v>
      </c>
      <c r="K78">
        <v>5</v>
      </c>
    </row>
    <row r="79" spans="1:11" x14ac:dyDescent="0.2">
      <c r="A79" t="s">
        <v>29</v>
      </c>
      <c r="C79">
        <v>4</v>
      </c>
      <c r="F79">
        <v>3</v>
      </c>
      <c r="H79">
        <v>4</v>
      </c>
      <c r="I79">
        <v>4</v>
      </c>
      <c r="K79">
        <v>4</v>
      </c>
    </row>
    <row r="80" spans="1:11" x14ac:dyDescent="0.2">
      <c r="A80" t="s">
        <v>27</v>
      </c>
      <c r="C80">
        <v>2</v>
      </c>
      <c r="F80">
        <v>1</v>
      </c>
      <c r="H80">
        <v>2</v>
      </c>
      <c r="I80">
        <v>2</v>
      </c>
      <c r="K80">
        <v>2</v>
      </c>
    </row>
    <row r="81" spans="1:11" x14ac:dyDescent="0.2">
      <c r="A81" t="s">
        <v>26</v>
      </c>
      <c r="C81">
        <v>4</v>
      </c>
      <c r="F81">
        <v>4</v>
      </c>
      <c r="H81">
        <v>4</v>
      </c>
      <c r="I81">
        <v>4</v>
      </c>
      <c r="K81">
        <v>4</v>
      </c>
    </row>
    <row r="82" spans="1:11" x14ac:dyDescent="0.2">
      <c r="A82" t="s">
        <v>16</v>
      </c>
      <c r="C82">
        <v>3</v>
      </c>
      <c r="F82">
        <v>5</v>
      </c>
      <c r="H82">
        <v>5</v>
      </c>
      <c r="I82">
        <v>5</v>
      </c>
      <c r="K82">
        <v>5</v>
      </c>
    </row>
    <row r="83" spans="1:11" x14ac:dyDescent="0.2">
      <c r="A83" t="s">
        <v>30</v>
      </c>
      <c r="C83">
        <v>1</v>
      </c>
      <c r="F83">
        <v>1</v>
      </c>
      <c r="H83">
        <v>1</v>
      </c>
      <c r="I83">
        <v>1</v>
      </c>
      <c r="K83">
        <v>1</v>
      </c>
    </row>
    <row r="84" spans="1:11" x14ac:dyDescent="0.2">
      <c r="A84" t="s">
        <v>31</v>
      </c>
      <c r="C84">
        <v>2</v>
      </c>
      <c r="F84">
        <v>1</v>
      </c>
      <c r="H84">
        <v>2</v>
      </c>
      <c r="I84">
        <v>2</v>
      </c>
      <c r="K84">
        <v>2</v>
      </c>
    </row>
    <row r="85" spans="1:11" x14ac:dyDescent="0.2">
      <c r="A85" t="s">
        <v>32</v>
      </c>
      <c r="C85">
        <v>5</v>
      </c>
      <c r="F85">
        <v>5</v>
      </c>
      <c r="H85">
        <v>5</v>
      </c>
      <c r="I85">
        <v>5</v>
      </c>
      <c r="K85">
        <v>5</v>
      </c>
    </row>
    <row r="86" spans="1:11" x14ac:dyDescent="0.2">
      <c r="A86" t="s">
        <v>33</v>
      </c>
      <c r="C86">
        <v>2</v>
      </c>
      <c r="F86">
        <v>3</v>
      </c>
      <c r="H86">
        <v>1</v>
      </c>
      <c r="I86">
        <v>1</v>
      </c>
      <c r="K86">
        <v>1</v>
      </c>
    </row>
    <row r="87" spans="1:11" x14ac:dyDescent="0.2">
      <c r="A87" t="s">
        <v>22</v>
      </c>
      <c r="C87">
        <v>1</v>
      </c>
      <c r="F87">
        <v>2</v>
      </c>
      <c r="H87">
        <v>4</v>
      </c>
      <c r="I87">
        <v>4</v>
      </c>
      <c r="K87">
        <v>3</v>
      </c>
    </row>
    <row r="88" spans="1:11" x14ac:dyDescent="0.2">
      <c r="A88" t="s">
        <v>34</v>
      </c>
      <c r="C88">
        <v>3</v>
      </c>
      <c r="F88">
        <v>1</v>
      </c>
      <c r="H88">
        <v>2</v>
      </c>
      <c r="I88">
        <v>3</v>
      </c>
      <c r="K88">
        <v>2</v>
      </c>
    </row>
    <row r="89" spans="1:11" x14ac:dyDescent="0.2">
      <c r="A89" t="s">
        <v>35</v>
      </c>
      <c r="C89">
        <v>1</v>
      </c>
      <c r="F89">
        <v>1</v>
      </c>
      <c r="H89">
        <v>2</v>
      </c>
      <c r="I89">
        <v>3</v>
      </c>
      <c r="K89">
        <v>1</v>
      </c>
    </row>
    <row r="90" spans="1:11" x14ac:dyDescent="0.2">
      <c r="A90" t="s">
        <v>36</v>
      </c>
      <c r="C90">
        <v>3</v>
      </c>
      <c r="F90">
        <v>1</v>
      </c>
      <c r="H90">
        <v>1</v>
      </c>
      <c r="I90">
        <v>1</v>
      </c>
      <c r="K90">
        <v>4</v>
      </c>
    </row>
    <row r="91" spans="1:11" x14ac:dyDescent="0.2">
      <c r="A91" t="s">
        <v>37</v>
      </c>
      <c r="C91">
        <v>1</v>
      </c>
      <c r="F91">
        <v>1</v>
      </c>
      <c r="H91">
        <v>1</v>
      </c>
      <c r="I91">
        <v>5</v>
      </c>
      <c r="K91">
        <v>1</v>
      </c>
    </row>
    <row r="92" spans="1:11" x14ac:dyDescent="0.2">
      <c r="A92" t="s">
        <v>38</v>
      </c>
      <c r="C92">
        <v>2</v>
      </c>
      <c r="F92">
        <v>2</v>
      </c>
      <c r="H92">
        <v>2</v>
      </c>
      <c r="I92">
        <v>2</v>
      </c>
      <c r="K92">
        <v>3</v>
      </c>
    </row>
    <row r="93" spans="1:11" x14ac:dyDescent="0.2">
      <c r="A93" t="s">
        <v>39</v>
      </c>
      <c r="C93">
        <v>3</v>
      </c>
      <c r="F93">
        <v>3</v>
      </c>
      <c r="H93">
        <v>3</v>
      </c>
      <c r="I93">
        <v>2</v>
      </c>
      <c r="K93">
        <v>2</v>
      </c>
    </row>
    <row r="94" spans="1:11" x14ac:dyDescent="0.2">
      <c r="A94" t="s">
        <v>40</v>
      </c>
      <c r="C94">
        <v>3</v>
      </c>
      <c r="F94">
        <v>3</v>
      </c>
      <c r="H94">
        <v>5</v>
      </c>
      <c r="I94">
        <v>5</v>
      </c>
      <c r="K94">
        <v>3</v>
      </c>
    </row>
    <row r="95" spans="1:11" x14ac:dyDescent="0.2">
      <c r="A95" t="s">
        <v>38</v>
      </c>
      <c r="C95">
        <v>3</v>
      </c>
      <c r="F95">
        <v>2</v>
      </c>
      <c r="H95">
        <v>3</v>
      </c>
      <c r="I95">
        <v>1</v>
      </c>
      <c r="K95">
        <v>2</v>
      </c>
    </row>
    <row r="96" spans="1:11" x14ac:dyDescent="0.2">
      <c r="A96" t="s">
        <v>39</v>
      </c>
      <c r="C96">
        <v>3</v>
      </c>
      <c r="F96">
        <v>3</v>
      </c>
      <c r="H96">
        <v>3</v>
      </c>
      <c r="I96">
        <v>2</v>
      </c>
      <c r="K96">
        <v>2</v>
      </c>
    </row>
    <row r="97" spans="1:11" x14ac:dyDescent="0.2">
      <c r="A97" t="s">
        <v>41</v>
      </c>
      <c r="C97">
        <v>1</v>
      </c>
      <c r="F97">
        <v>4</v>
      </c>
      <c r="H97">
        <v>3</v>
      </c>
      <c r="I97">
        <v>1</v>
      </c>
      <c r="K97">
        <v>5</v>
      </c>
    </row>
    <row r="98" spans="1:11" x14ac:dyDescent="0.2">
      <c r="A98" t="s">
        <v>42</v>
      </c>
      <c r="C98">
        <v>3</v>
      </c>
      <c r="F98">
        <v>4</v>
      </c>
      <c r="H98">
        <v>3</v>
      </c>
      <c r="I98">
        <v>5</v>
      </c>
      <c r="K98">
        <v>3</v>
      </c>
    </row>
    <row r="99" spans="1:11" x14ac:dyDescent="0.2">
      <c r="A99" t="s">
        <v>38</v>
      </c>
      <c r="C99">
        <v>1</v>
      </c>
      <c r="F99">
        <v>1</v>
      </c>
      <c r="H99">
        <v>1</v>
      </c>
      <c r="I99">
        <v>1</v>
      </c>
      <c r="K99">
        <v>1</v>
      </c>
    </row>
    <row r="100" spans="1:11" x14ac:dyDescent="0.2">
      <c r="A100" t="s">
        <v>8</v>
      </c>
      <c r="C100">
        <v>3</v>
      </c>
      <c r="F100">
        <v>2</v>
      </c>
      <c r="H100">
        <v>4</v>
      </c>
      <c r="I100">
        <v>5</v>
      </c>
      <c r="K100">
        <v>4</v>
      </c>
    </row>
    <row r="101" spans="1:11" x14ac:dyDescent="0.2">
      <c r="A101" t="s">
        <v>33</v>
      </c>
      <c r="C101">
        <v>3</v>
      </c>
      <c r="F101">
        <v>3</v>
      </c>
      <c r="H101">
        <v>3</v>
      </c>
      <c r="I101">
        <v>3</v>
      </c>
      <c r="K101">
        <v>3</v>
      </c>
    </row>
    <row r="102" spans="1:11" x14ac:dyDescent="0.2">
      <c r="A102" t="s">
        <v>42</v>
      </c>
      <c r="C102">
        <v>3</v>
      </c>
      <c r="F102">
        <v>1</v>
      </c>
      <c r="H102">
        <v>3</v>
      </c>
      <c r="I102">
        <v>2</v>
      </c>
      <c r="K102">
        <v>1</v>
      </c>
    </row>
    <row r="103" spans="1:11" x14ac:dyDescent="0.2">
      <c r="A103" t="s">
        <v>17</v>
      </c>
      <c r="C103">
        <v>2</v>
      </c>
      <c r="F103">
        <v>2</v>
      </c>
      <c r="H103">
        <v>3</v>
      </c>
      <c r="I103">
        <v>2</v>
      </c>
      <c r="K103">
        <v>1</v>
      </c>
    </row>
    <row r="104" spans="1:11" x14ac:dyDescent="0.2">
      <c r="A104" t="s">
        <v>43</v>
      </c>
      <c r="C104">
        <v>2</v>
      </c>
      <c r="F104">
        <v>2</v>
      </c>
      <c r="H104">
        <v>1</v>
      </c>
      <c r="I104">
        <v>3</v>
      </c>
      <c r="K104">
        <v>3</v>
      </c>
    </row>
    <row r="105" spans="1:11" x14ac:dyDescent="0.2">
      <c r="A105" t="s">
        <v>43</v>
      </c>
      <c r="C105">
        <v>1</v>
      </c>
      <c r="F105">
        <v>4</v>
      </c>
      <c r="H105">
        <v>3</v>
      </c>
      <c r="I105">
        <v>1</v>
      </c>
      <c r="K105">
        <v>5</v>
      </c>
    </row>
    <row r="106" spans="1:11" x14ac:dyDescent="0.2">
      <c r="A106" t="s">
        <v>42</v>
      </c>
      <c r="C106">
        <v>4</v>
      </c>
      <c r="F106">
        <v>3</v>
      </c>
      <c r="H106">
        <v>4</v>
      </c>
      <c r="I106">
        <v>3</v>
      </c>
      <c r="K106">
        <v>4</v>
      </c>
    </row>
    <row r="107" spans="1:11" x14ac:dyDescent="0.2">
      <c r="A107" t="s">
        <v>35</v>
      </c>
      <c r="C107">
        <v>1</v>
      </c>
      <c r="F107">
        <v>1</v>
      </c>
      <c r="H107">
        <v>1</v>
      </c>
      <c r="I107">
        <v>3</v>
      </c>
      <c r="K107">
        <v>1</v>
      </c>
    </row>
    <row r="108" spans="1:11" x14ac:dyDescent="0.2">
      <c r="A108" t="s">
        <v>33</v>
      </c>
      <c r="C108">
        <v>1</v>
      </c>
      <c r="F108">
        <v>1</v>
      </c>
      <c r="H108">
        <v>1</v>
      </c>
      <c r="I108">
        <v>1</v>
      </c>
      <c r="K108">
        <v>1</v>
      </c>
    </row>
    <row r="109" spans="1:11" x14ac:dyDescent="0.2">
      <c r="A109" t="s">
        <v>38</v>
      </c>
      <c r="C109">
        <v>1</v>
      </c>
      <c r="F109">
        <v>3</v>
      </c>
      <c r="H109">
        <v>1</v>
      </c>
      <c r="I109">
        <v>2</v>
      </c>
      <c r="K109">
        <v>1</v>
      </c>
    </row>
    <row r="110" spans="1:11" x14ac:dyDescent="0.2">
      <c r="A110" t="s">
        <v>44</v>
      </c>
      <c r="C110">
        <v>1</v>
      </c>
      <c r="F110">
        <v>1</v>
      </c>
      <c r="H110">
        <v>1</v>
      </c>
      <c r="I110">
        <v>1</v>
      </c>
      <c r="K110">
        <v>1</v>
      </c>
    </row>
    <row r="111" spans="1:11" x14ac:dyDescent="0.2">
      <c r="A111" t="s">
        <v>33</v>
      </c>
      <c r="C111">
        <v>2</v>
      </c>
      <c r="F111">
        <v>1</v>
      </c>
      <c r="H111">
        <v>1</v>
      </c>
      <c r="I111">
        <v>4</v>
      </c>
      <c r="K111">
        <v>1</v>
      </c>
    </row>
    <row r="112" spans="1:11" x14ac:dyDescent="0.2">
      <c r="A112" t="s">
        <v>15</v>
      </c>
      <c r="C112">
        <v>2</v>
      </c>
      <c r="F112">
        <v>3</v>
      </c>
      <c r="H112">
        <v>2</v>
      </c>
      <c r="I112">
        <v>3</v>
      </c>
      <c r="K112">
        <v>4</v>
      </c>
    </row>
    <row r="113" spans="1:11" x14ac:dyDescent="0.2">
      <c r="A113" t="s">
        <v>39</v>
      </c>
      <c r="C113">
        <v>5</v>
      </c>
      <c r="F113">
        <v>1</v>
      </c>
      <c r="H113">
        <v>3</v>
      </c>
      <c r="I113">
        <v>3</v>
      </c>
      <c r="K113">
        <v>3</v>
      </c>
    </row>
    <row r="114" spans="1:11" x14ac:dyDescent="0.2">
      <c r="A114" t="s">
        <v>18</v>
      </c>
      <c r="C114">
        <v>3</v>
      </c>
      <c r="F114">
        <v>1</v>
      </c>
      <c r="H114">
        <v>1</v>
      </c>
      <c r="I114">
        <v>2</v>
      </c>
      <c r="K114">
        <v>3</v>
      </c>
    </row>
    <row r="115" spans="1:11" x14ac:dyDescent="0.2">
      <c r="A115" t="s">
        <v>14</v>
      </c>
      <c r="C115">
        <v>4</v>
      </c>
      <c r="F115">
        <v>3</v>
      </c>
      <c r="H115">
        <v>4</v>
      </c>
      <c r="I115">
        <v>5</v>
      </c>
      <c r="K115">
        <v>4</v>
      </c>
    </row>
    <row r="116" spans="1:11" x14ac:dyDescent="0.2">
      <c r="A116" t="s">
        <v>45</v>
      </c>
      <c r="C116">
        <v>1</v>
      </c>
      <c r="F116">
        <v>1</v>
      </c>
      <c r="H116">
        <v>1</v>
      </c>
      <c r="I116">
        <v>1</v>
      </c>
      <c r="K116">
        <v>1</v>
      </c>
    </row>
    <row r="117" spans="1:11" x14ac:dyDescent="0.2">
      <c r="A117" t="s">
        <v>17</v>
      </c>
      <c r="C117">
        <v>3</v>
      </c>
      <c r="F117">
        <v>1</v>
      </c>
      <c r="H117">
        <v>2</v>
      </c>
      <c r="I117">
        <v>1</v>
      </c>
      <c r="K117">
        <v>2</v>
      </c>
    </row>
    <row r="118" spans="1:11" x14ac:dyDescent="0.2">
      <c r="A118" t="s">
        <v>14</v>
      </c>
      <c r="C118">
        <v>2</v>
      </c>
      <c r="F118">
        <v>1</v>
      </c>
      <c r="H118">
        <v>5</v>
      </c>
      <c r="I118">
        <v>4</v>
      </c>
      <c r="K118">
        <v>2</v>
      </c>
    </row>
    <row r="119" spans="1:11" x14ac:dyDescent="0.2">
      <c r="A119" t="s">
        <v>20</v>
      </c>
      <c r="C119">
        <v>1</v>
      </c>
      <c r="F119">
        <v>1</v>
      </c>
      <c r="H119">
        <v>1</v>
      </c>
      <c r="I119">
        <v>2</v>
      </c>
      <c r="K119">
        <v>2</v>
      </c>
    </row>
    <row r="120" spans="1:11" x14ac:dyDescent="0.2">
      <c r="A120" t="s">
        <v>16</v>
      </c>
      <c r="C120">
        <v>2</v>
      </c>
      <c r="F120">
        <v>1</v>
      </c>
      <c r="H120">
        <v>1</v>
      </c>
      <c r="I120">
        <v>2</v>
      </c>
      <c r="K120">
        <v>2</v>
      </c>
    </row>
    <row r="121" spans="1:11" x14ac:dyDescent="0.2">
      <c r="A121" t="s">
        <v>14</v>
      </c>
      <c r="C121">
        <v>3</v>
      </c>
      <c r="F121">
        <v>4</v>
      </c>
      <c r="H121">
        <v>4</v>
      </c>
      <c r="I121">
        <v>5</v>
      </c>
      <c r="K121">
        <v>2</v>
      </c>
    </row>
    <row r="122" spans="1:11" x14ac:dyDescent="0.2">
      <c r="A122" t="s">
        <v>38</v>
      </c>
      <c r="C122">
        <v>2</v>
      </c>
      <c r="F122">
        <v>2</v>
      </c>
      <c r="H122">
        <v>2</v>
      </c>
      <c r="I122">
        <v>3</v>
      </c>
      <c r="K122">
        <v>2</v>
      </c>
    </row>
    <row r="123" spans="1:11" x14ac:dyDescent="0.2">
      <c r="A123" t="s">
        <v>45</v>
      </c>
      <c r="C123">
        <v>1</v>
      </c>
      <c r="F123">
        <v>1</v>
      </c>
      <c r="H123">
        <v>2</v>
      </c>
      <c r="I123">
        <v>2</v>
      </c>
      <c r="K123">
        <v>3</v>
      </c>
    </row>
    <row r="124" spans="1:11" x14ac:dyDescent="0.2">
      <c r="A124" t="s">
        <v>19</v>
      </c>
      <c r="C124">
        <v>3</v>
      </c>
      <c r="F124">
        <v>3</v>
      </c>
      <c r="H124">
        <v>5</v>
      </c>
      <c r="I124">
        <v>3</v>
      </c>
      <c r="K124">
        <v>5</v>
      </c>
    </row>
    <row r="125" spans="1:11" x14ac:dyDescent="0.2">
      <c r="A125" t="s">
        <v>41</v>
      </c>
      <c r="C125">
        <v>2</v>
      </c>
      <c r="F125">
        <v>1</v>
      </c>
      <c r="H125">
        <v>2</v>
      </c>
      <c r="I125">
        <v>3</v>
      </c>
      <c r="K125">
        <v>3</v>
      </c>
    </row>
    <row r="126" spans="1:11" x14ac:dyDescent="0.2">
      <c r="A126" t="s">
        <v>45</v>
      </c>
      <c r="C126">
        <v>2</v>
      </c>
      <c r="F126">
        <v>4</v>
      </c>
      <c r="H126">
        <v>4</v>
      </c>
      <c r="I126">
        <v>5</v>
      </c>
      <c r="K126">
        <v>4</v>
      </c>
    </row>
    <row r="127" spans="1:11" x14ac:dyDescent="0.2">
      <c r="A127" t="s">
        <v>38</v>
      </c>
      <c r="C127">
        <v>4</v>
      </c>
      <c r="F127">
        <v>4</v>
      </c>
      <c r="H127">
        <v>4</v>
      </c>
      <c r="I127">
        <v>4</v>
      </c>
      <c r="K127">
        <v>4</v>
      </c>
    </row>
    <row r="128" spans="1:11" x14ac:dyDescent="0.2">
      <c r="A128" t="s">
        <v>18</v>
      </c>
      <c r="C128">
        <v>4</v>
      </c>
      <c r="F128">
        <v>3</v>
      </c>
      <c r="H128">
        <v>4</v>
      </c>
      <c r="I128">
        <v>3</v>
      </c>
      <c r="K128">
        <v>3</v>
      </c>
    </row>
    <row r="129" spans="1:11" x14ac:dyDescent="0.2">
      <c r="A129" t="s">
        <v>35</v>
      </c>
      <c r="C129">
        <v>1</v>
      </c>
      <c r="F129">
        <v>1</v>
      </c>
      <c r="H129">
        <v>1</v>
      </c>
      <c r="I129">
        <v>1</v>
      </c>
      <c r="K129">
        <v>1</v>
      </c>
    </row>
    <row r="130" spans="1:11" x14ac:dyDescent="0.2">
      <c r="A130" t="s">
        <v>30</v>
      </c>
      <c r="C130">
        <v>4</v>
      </c>
      <c r="F130">
        <v>3</v>
      </c>
      <c r="H130">
        <v>3</v>
      </c>
      <c r="I130">
        <v>5</v>
      </c>
      <c r="K130">
        <v>3</v>
      </c>
    </row>
    <row r="131" spans="1:11" x14ac:dyDescent="0.2">
      <c r="A131" t="s">
        <v>26</v>
      </c>
      <c r="C131">
        <v>4</v>
      </c>
      <c r="F131">
        <v>5</v>
      </c>
      <c r="H131">
        <v>5</v>
      </c>
      <c r="I131">
        <v>5</v>
      </c>
      <c r="K131">
        <v>5</v>
      </c>
    </row>
    <row r="132" spans="1:11" x14ac:dyDescent="0.2">
      <c r="A132" t="s">
        <v>35</v>
      </c>
      <c r="C132">
        <v>2</v>
      </c>
      <c r="F132">
        <v>5</v>
      </c>
      <c r="H132">
        <v>5</v>
      </c>
      <c r="I132">
        <v>1</v>
      </c>
      <c r="K132">
        <v>5</v>
      </c>
    </row>
    <row r="133" spans="1:11" x14ac:dyDescent="0.2">
      <c r="A133" t="s">
        <v>39</v>
      </c>
      <c r="C133">
        <v>5</v>
      </c>
      <c r="F133">
        <v>5</v>
      </c>
      <c r="H133">
        <v>5</v>
      </c>
      <c r="I133">
        <v>5</v>
      </c>
      <c r="K133">
        <v>3</v>
      </c>
    </row>
    <row r="134" spans="1:11" x14ac:dyDescent="0.2">
      <c r="A134" t="s">
        <v>42</v>
      </c>
      <c r="C134">
        <v>4</v>
      </c>
      <c r="F134">
        <v>4</v>
      </c>
      <c r="H134">
        <v>4</v>
      </c>
      <c r="I134">
        <v>4</v>
      </c>
      <c r="K134">
        <v>3</v>
      </c>
    </row>
    <row r="135" spans="1:11" x14ac:dyDescent="0.2">
      <c r="A135" t="s">
        <v>37</v>
      </c>
      <c r="C135">
        <v>1</v>
      </c>
      <c r="F135">
        <v>1</v>
      </c>
      <c r="H135">
        <v>1</v>
      </c>
      <c r="I135">
        <v>1</v>
      </c>
      <c r="K135">
        <v>1</v>
      </c>
    </row>
    <row r="136" spans="1:11" x14ac:dyDescent="0.2">
      <c r="A136" t="s">
        <v>46</v>
      </c>
      <c r="C136">
        <v>2</v>
      </c>
      <c r="F136">
        <v>3</v>
      </c>
      <c r="H136">
        <v>3</v>
      </c>
      <c r="I136">
        <v>2</v>
      </c>
      <c r="K136">
        <v>3</v>
      </c>
    </row>
    <row r="137" spans="1:11" x14ac:dyDescent="0.2">
      <c r="A137" t="s">
        <v>37</v>
      </c>
      <c r="C137">
        <v>3</v>
      </c>
      <c r="F137">
        <v>1</v>
      </c>
      <c r="H137">
        <v>1</v>
      </c>
      <c r="I137">
        <v>1</v>
      </c>
      <c r="K137">
        <v>2</v>
      </c>
    </row>
    <row r="138" spans="1:11" x14ac:dyDescent="0.2">
      <c r="A138" t="s">
        <v>19</v>
      </c>
      <c r="C138">
        <v>3</v>
      </c>
      <c r="F138">
        <v>3</v>
      </c>
      <c r="H138">
        <v>3</v>
      </c>
      <c r="I138">
        <v>4</v>
      </c>
      <c r="K138">
        <v>4</v>
      </c>
    </row>
    <row r="139" spans="1:11" x14ac:dyDescent="0.2">
      <c r="A139" t="s">
        <v>38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</row>
    <row r="140" spans="1:11" x14ac:dyDescent="0.2">
      <c r="A140" t="s">
        <v>19</v>
      </c>
      <c r="C140">
        <v>3</v>
      </c>
      <c r="F140">
        <v>3</v>
      </c>
      <c r="H140">
        <v>4</v>
      </c>
      <c r="I140">
        <v>5</v>
      </c>
      <c r="K140">
        <v>4</v>
      </c>
    </row>
    <row r="141" spans="1:11" x14ac:dyDescent="0.2">
      <c r="A141" t="s">
        <v>19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</row>
    <row r="142" spans="1:11" x14ac:dyDescent="0.2">
      <c r="A142" t="s">
        <v>19</v>
      </c>
      <c r="C142">
        <v>5</v>
      </c>
      <c r="D142">
        <v>5</v>
      </c>
      <c r="E142">
        <v>5</v>
      </c>
      <c r="F142">
        <v>5</v>
      </c>
      <c r="G142">
        <v>5</v>
      </c>
      <c r="H142">
        <v>5</v>
      </c>
      <c r="I142">
        <v>5</v>
      </c>
      <c r="J142">
        <v>5</v>
      </c>
      <c r="K142">
        <v>5</v>
      </c>
    </row>
    <row r="143" spans="1:11" x14ac:dyDescent="0.2">
      <c r="A143" t="s">
        <v>45</v>
      </c>
      <c r="C143">
        <v>2</v>
      </c>
      <c r="F143">
        <v>3</v>
      </c>
      <c r="H143">
        <v>1</v>
      </c>
      <c r="I143">
        <v>1</v>
      </c>
      <c r="K143">
        <v>1</v>
      </c>
    </row>
    <row r="144" spans="1:11" x14ac:dyDescent="0.2">
      <c r="A144" t="s">
        <v>8</v>
      </c>
      <c r="C144">
        <v>5</v>
      </c>
      <c r="F144">
        <v>3</v>
      </c>
      <c r="H144">
        <v>4</v>
      </c>
      <c r="I144">
        <v>5</v>
      </c>
      <c r="K144">
        <v>4</v>
      </c>
    </row>
    <row r="145" spans="1:11" x14ac:dyDescent="0.2">
      <c r="A145" t="s">
        <v>47</v>
      </c>
      <c r="C145">
        <v>4</v>
      </c>
      <c r="F145">
        <v>4</v>
      </c>
      <c r="H145">
        <v>3</v>
      </c>
      <c r="I145">
        <v>4</v>
      </c>
      <c r="K145">
        <v>3</v>
      </c>
    </row>
    <row r="146" spans="1:11" x14ac:dyDescent="0.2">
      <c r="A146" t="s">
        <v>26</v>
      </c>
      <c r="C146">
        <v>5</v>
      </c>
      <c r="F146">
        <v>4</v>
      </c>
      <c r="G146">
        <v>4</v>
      </c>
      <c r="H146">
        <v>4</v>
      </c>
      <c r="I146">
        <v>4</v>
      </c>
      <c r="J146">
        <v>4</v>
      </c>
      <c r="K146">
        <v>4</v>
      </c>
    </row>
    <row r="147" spans="1:11" x14ac:dyDescent="0.2">
      <c r="A147" t="s">
        <v>45</v>
      </c>
      <c r="C147">
        <v>3</v>
      </c>
      <c r="F147">
        <v>1</v>
      </c>
      <c r="H147">
        <v>1</v>
      </c>
      <c r="I147">
        <v>1</v>
      </c>
      <c r="K147">
        <v>1</v>
      </c>
    </row>
    <row r="148" spans="1:11" x14ac:dyDescent="0.2">
      <c r="A148" t="s">
        <v>38</v>
      </c>
      <c r="C148">
        <v>1</v>
      </c>
      <c r="F148">
        <v>3</v>
      </c>
      <c r="H148">
        <v>2</v>
      </c>
      <c r="I148">
        <v>3</v>
      </c>
      <c r="K148">
        <v>3</v>
      </c>
    </row>
    <row r="149" spans="1:11" x14ac:dyDescent="0.2">
      <c r="A149" t="s">
        <v>20</v>
      </c>
      <c r="C149">
        <v>4</v>
      </c>
      <c r="F149">
        <v>5</v>
      </c>
      <c r="H149">
        <v>5</v>
      </c>
      <c r="I149">
        <v>5</v>
      </c>
      <c r="K149">
        <v>5</v>
      </c>
    </row>
    <row r="150" spans="1:11" x14ac:dyDescent="0.2">
      <c r="A150" t="s">
        <v>26</v>
      </c>
      <c r="C150">
        <v>4</v>
      </c>
      <c r="F150">
        <v>3</v>
      </c>
      <c r="H150">
        <v>3</v>
      </c>
      <c r="I150">
        <v>3</v>
      </c>
      <c r="K150">
        <v>3</v>
      </c>
    </row>
    <row r="151" spans="1:11" x14ac:dyDescent="0.2">
      <c r="A151" t="s">
        <v>47</v>
      </c>
      <c r="C151">
        <v>5</v>
      </c>
      <c r="F151">
        <v>5</v>
      </c>
      <c r="H151">
        <v>4</v>
      </c>
      <c r="I151">
        <v>5</v>
      </c>
      <c r="K151">
        <v>4</v>
      </c>
    </row>
    <row r="152" spans="1:11" x14ac:dyDescent="0.2">
      <c r="A152" t="s">
        <v>25</v>
      </c>
      <c r="C152">
        <v>5</v>
      </c>
      <c r="F152">
        <v>5</v>
      </c>
      <c r="H152">
        <v>5</v>
      </c>
      <c r="I152">
        <v>5</v>
      </c>
      <c r="K152">
        <v>5</v>
      </c>
    </row>
    <row r="153" spans="1:11" x14ac:dyDescent="0.2">
      <c r="A153" t="s">
        <v>16</v>
      </c>
      <c r="C153">
        <v>3</v>
      </c>
      <c r="F153">
        <v>3</v>
      </c>
      <c r="H153">
        <v>5</v>
      </c>
      <c r="I153">
        <v>5</v>
      </c>
      <c r="K153">
        <v>4</v>
      </c>
    </row>
    <row r="154" spans="1:11" x14ac:dyDescent="0.2">
      <c r="A154" t="s">
        <v>20</v>
      </c>
      <c r="C154">
        <v>3</v>
      </c>
      <c r="F154">
        <v>1</v>
      </c>
      <c r="H154">
        <v>4</v>
      </c>
      <c r="I154">
        <v>4</v>
      </c>
      <c r="K154">
        <v>4</v>
      </c>
    </row>
    <row r="155" spans="1:11" x14ac:dyDescent="0.2">
      <c r="A155" t="s">
        <v>19</v>
      </c>
      <c r="C155">
        <v>3</v>
      </c>
      <c r="F155">
        <v>1</v>
      </c>
      <c r="H155">
        <v>2</v>
      </c>
      <c r="I155">
        <v>2</v>
      </c>
      <c r="K155">
        <v>2</v>
      </c>
    </row>
    <row r="156" spans="1:11" x14ac:dyDescent="0.2">
      <c r="A156" t="s">
        <v>8</v>
      </c>
      <c r="C156">
        <v>3</v>
      </c>
      <c r="F156">
        <v>3</v>
      </c>
      <c r="H156">
        <v>1</v>
      </c>
      <c r="I156">
        <v>1</v>
      </c>
      <c r="K156">
        <v>1</v>
      </c>
    </row>
    <row r="157" spans="1:11" x14ac:dyDescent="0.2">
      <c r="A157" t="s">
        <v>46</v>
      </c>
      <c r="C157">
        <v>3</v>
      </c>
      <c r="F157">
        <v>3</v>
      </c>
      <c r="H157">
        <v>1</v>
      </c>
      <c r="I157">
        <v>3</v>
      </c>
      <c r="K157">
        <v>3</v>
      </c>
    </row>
    <row r="158" spans="1:11" x14ac:dyDescent="0.2">
      <c r="A158" t="s">
        <v>38</v>
      </c>
      <c r="C158">
        <v>1</v>
      </c>
      <c r="F158">
        <v>5</v>
      </c>
      <c r="H158">
        <v>5</v>
      </c>
      <c r="I158">
        <v>5</v>
      </c>
      <c r="J158">
        <v>5</v>
      </c>
      <c r="K158">
        <v>5</v>
      </c>
    </row>
    <row r="159" spans="1:11" x14ac:dyDescent="0.2">
      <c r="A159" t="s">
        <v>33</v>
      </c>
      <c r="C159">
        <v>5</v>
      </c>
      <c r="F159">
        <v>4</v>
      </c>
      <c r="H159">
        <v>3</v>
      </c>
      <c r="I159">
        <v>3</v>
      </c>
      <c r="K159">
        <v>5</v>
      </c>
    </row>
    <row r="160" spans="1:11" x14ac:dyDescent="0.2">
      <c r="A160" t="s">
        <v>47</v>
      </c>
      <c r="C160">
        <v>5</v>
      </c>
      <c r="F160">
        <v>5</v>
      </c>
      <c r="H160">
        <v>5</v>
      </c>
      <c r="I160">
        <v>4</v>
      </c>
      <c r="K160">
        <v>5</v>
      </c>
    </row>
    <row r="161" spans="1:11" x14ac:dyDescent="0.2">
      <c r="A161" t="s">
        <v>47</v>
      </c>
      <c r="C161">
        <v>4</v>
      </c>
      <c r="F161">
        <v>3</v>
      </c>
      <c r="H161">
        <v>4</v>
      </c>
      <c r="I161">
        <v>4</v>
      </c>
      <c r="K161">
        <v>4</v>
      </c>
    </row>
    <row r="162" spans="1:11" x14ac:dyDescent="0.2">
      <c r="A162" t="s">
        <v>33</v>
      </c>
      <c r="C162">
        <v>4</v>
      </c>
      <c r="F162">
        <v>3</v>
      </c>
      <c r="H162">
        <v>4</v>
      </c>
      <c r="I162">
        <v>4</v>
      </c>
      <c r="K162">
        <v>3</v>
      </c>
    </row>
    <row r="163" spans="1:11" x14ac:dyDescent="0.2">
      <c r="A163" t="s">
        <v>33</v>
      </c>
      <c r="C163">
        <v>4</v>
      </c>
      <c r="F163">
        <v>2</v>
      </c>
      <c r="H163">
        <v>4</v>
      </c>
      <c r="I163">
        <v>4</v>
      </c>
      <c r="K163">
        <v>4</v>
      </c>
    </row>
    <row r="164" spans="1:11" x14ac:dyDescent="0.2">
      <c r="A164" t="s">
        <v>47</v>
      </c>
      <c r="C164">
        <v>3</v>
      </c>
      <c r="F164">
        <v>4</v>
      </c>
      <c r="H164">
        <v>2</v>
      </c>
      <c r="I164">
        <v>4</v>
      </c>
      <c r="K164">
        <v>3</v>
      </c>
    </row>
    <row r="165" spans="1:11" x14ac:dyDescent="0.2">
      <c r="A165" t="s">
        <v>47</v>
      </c>
      <c r="C165">
        <v>5</v>
      </c>
      <c r="F165">
        <v>5</v>
      </c>
      <c r="H165">
        <v>5</v>
      </c>
      <c r="I165">
        <v>5</v>
      </c>
      <c r="K165">
        <v>5</v>
      </c>
    </row>
    <row r="166" spans="1:11" x14ac:dyDescent="0.2">
      <c r="A166" t="s">
        <v>43</v>
      </c>
      <c r="C166">
        <v>2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</row>
    <row r="167" spans="1:11" x14ac:dyDescent="0.2">
      <c r="A167" t="s">
        <v>25</v>
      </c>
      <c r="C167">
        <v>2</v>
      </c>
      <c r="F167">
        <v>2</v>
      </c>
      <c r="H167">
        <v>4</v>
      </c>
      <c r="I167">
        <v>4</v>
      </c>
      <c r="K167">
        <v>3</v>
      </c>
    </row>
    <row r="168" spans="1:11" x14ac:dyDescent="0.2">
      <c r="A168" t="s">
        <v>47</v>
      </c>
      <c r="C168">
        <v>5</v>
      </c>
      <c r="F168">
        <v>5</v>
      </c>
      <c r="H168">
        <v>4</v>
      </c>
      <c r="I168">
        <v>4</v>
      </c>
      <c r="K168">
        <v>4</v>
      </c>
    </row>
    <row r="169" spans="1:11" x14ac:dyDescent="0.2">
      <c r="A169" t="s">
        <v>47</v>
      </c>
      <c r="C169">
        <v>5</v>
      </c>
      <c r="F169">
        <v>5</v>
      </c>
      <c r="H169">
        <v>4</v>
      </c>
      <c r="I169">
        <v>4</v>
      </c>
      <c r="K169">
        <v>4</v>
      </c>
    </row>
    <row r="170" spans="1:11" x14ac:dyDescent="0.2">
      <c r="A170" t="s">
        <v>48</v>
      </c>
      <c r="C170">
        <v>3</v>
      </c>
      <c r="F170">
        <v>3</v>
      </c>
      <c r="H170">
        <v>2</v>
      </c>
      <c r="I170">
        <v>4</v>
      </c>
      <c r="K170">
        <v>2</v>
      </c>
    </row>
    <row r="171" spans="1:11" x14ac:dyDescent="0.2">
      <c r="A171" t="s">
        <v>35</v>
      </c>
      <c r="C171">
        <v>3</v>
      </c>
      <c r="F171">
        <v>3</v>
      </c>
      <c r="H171">
        <v>3</v>
      </c>
      <c r="I171">
        <v>4</v>
      </c>
      <c r="K171">
        <v>2</v>
      </c>
    </row>
    <row r="172" spans="1:11" x14ac:dyDescent="0.2">
      <c r="A172" t="s">
        <v>47</v>
      </c>
      <c r="C172">
        <v>4</v>
      </c>
      <c r="F172">
        <v>4</v>
      </c>
      <c r="H172">
        <v>4</v>
      </c>
      <c r="I172">
        <v>4</v>
      </c>
      <c r="K172">
        <v>3</v>
      </c>
    </row>
    <row r="173" spans="1:11" x14ac:dyDescent="0.2">
      <c r="A173" t="s">
        <v>19</v>
      </c>
      <c r="C173">
        <v>2</v>
      </c>
      <c r="F173">
        <v>1</v>
      </c>
      <c r="H173">
        <v>1</v>
      </c>
      <c r="I173">
        <v>1</v>
      </c>
      <c r="K173">
        <v>1</v>
      </c>
    </row>
    <row r="174" spans="1:11" x14ac:dyDescent="0.2">
      <c r="A174" t="s">
        <v>45</v>
      </c>
      <c r="C174">
        <v>3</v>
      </c>
      <c r="F174">
        <v>2</v>
      </c>
      <c r="H174">
        <v>2</v>
      </c>
      <c r="I174">
        <v>2</v>
      </c>
      <c r="K174">
        <v>2</v>
      </c>
    </row>
    <row r="175" spans="1:11" x14ac:dyDescent="0.2">
      <c r="A175" t="s">
        <v>8</v>
      </c>
      <c r="C175">
        <v>1</v>
      </c>
      <c r="F175">
        <v>2</v>
      </c>
      <c r="H175">
        <v>1</v>
      </c>
      <c r="I175">
        <v>1</v>
      </c>
      <c r="K175">
        <v>1</v>
      </c>
    </row>
    <row r="176" spans="1:11" x14ac:dyDescent="0.2">
      <c r="A176" t="s">
        <v>47</v>
      </c>
      <c r="C176">
        <v>5</v>
      </c>
      <c r="F176">
        <v>5</v>
      </c>
      <c r="H176">
        <v>5</v>
      </c>
      <c r="I176">
        <v>5</v>
      </c>
      <c r="K176">
        <v>5</v>
      </c>
    </row>
    <row r="177" spans="1:11" x14ac:dyDescent="0.2">
      <c r="A177" t="s">
        <v>46</v>
      </c>
      <c r="C177">
        <v>1</v>
      </c>
      <c r="F177">
        <v>1</v>
      </c>
      <c r="H177">
        <v>1</v>
      </c>
      <c r="I177">
        <v>1</v>
      </c>
      <c r="K177">
        <v>1</v>
      </c>
    </row>
    <row r="178" spans="1:11" x14ac:dyDescent="0.2">
      <c r="A178" t="s">
        <v>47</v>
      </c>
      <c r="C178">
        <v>5</v>
      </c>
      <c r="F178">
        <v>5</v>
      </c>
      <c r="H178">
        <v>5</v>
      </c>
      <c r="I178">
        <v>5</v>
      </c>
      <c r="K178">
        <v>5</v>
      </c>
    </row>
    <row r="179" spans="1:11" x14ac:dyDescent="0.2">
      <c r="A179" t="s">
        <v>19</v>
      </c>
      <c r="C179">
        <v>2</v>
      </c>
      <c r="F179">
        <v>2</v>
      </c>
      <c r="H179">
        <v>1</v>
      </c>
      <c r="I179">
        <v>1</v>
      </c>
      <c r="K179">
        <v>1</v>
      </c>
    </row>
    <row r="180" spans="1:11" x14ac:dyDescent="0.2">
      <c r="A180" t="s">
        <v>20</v>
      </c>
      <c r="C180">
        <v>3</v>
      </c>
      <c r="F180">
        <v>4</v>
      </c>
      <c r="H180">
        <v>4</v>
      </c>
      <c r="I180">
        <v>4</v>
      </c>
      <c r="K180">
        <v>4</v>
      </c>
    </row>
    <row r="181" spans="1:11" x14ac:dyDescent="0.2">
      <c r="A181" t="s">
        <v>47</v>
      </c>
      <c r="C181">
        <v>5</v>
      </c>
      <c r="D181">
        <v>5</v>
      </c>
      <c r="E181">
        <v>5</v>
      </c>
      <c r="F181">
        <v>5</v>
      </c>
      <c r="G181">
        <v>5</v>
      </c>
      <c r="H181">
        <v>5</v>
      </c>
      <c r="I181">
        <v>5</v>
      </c>
      <c r="J181">
        <v>5</v>
      </c>
      <c r="K181">
        <v>5</v>
      </c>
    </row>
    <row r="182" spans="1:11" x14ac:dyDescent="0.2">
      <c r="A182" t="s">
        <v>19</v>
      </c>
      <c r="C182">
        <v>4</v>
      </c>
      <c r="F182">
        <v>3</v>
      </c>
      <c r="H182">
        <v>3</v>
      </c>
      <c r="I182">
        <v>4</v>
      </c>
      <c r="K182">
        <v>4</v>
      </c>
    </row>
    <row r="183" spans="1:11" x14ac:dyDescent="0.2">
      <c r="A183" t="s">
        <v>33</v>
      </c>
      <c r="C183">
        <v>5</v>
      </c>
      <c r="F183">
        <v>5</v>
      </c>
      <c r="H183">
        <v>5</v>
      </c>
      <c r="I183">
        <v>5</v>
      </c>
      <c r="K183">
        <v>5</v>
      </c>
    </row>
    <row r="184" spans="1:11" x14ac:dyDescent="0.2">
      <c r="A184" t="s">
        <v>23</v>
      </c>
      <c r="C184">
        <v>3</v>
      </c>
      <c r="F184">
        <v>3</v>
      </c>
      <c r="H184">
        <v>3</v>
      </c>
      <c r="I184">
        <v>3</v>
      </c>
      <c r="K184">
        <v>3</v>
      </c>
    </row>
    <row r="185" spans="1:11" x14ac:dyDescent="0.2">
      <c r="A185" t="s">
        <v>14</v>
      </c>
      <c r="C185">
        <v>4</v>
      </c>
      <c r="D185">
        <v>4</v>
      </c>
      <c r="E185">
        <v>4</v>
      </c>
      <c r="F185">
        <v>4</v>
      </c>
      <c r="G185">
        <v>4</v>
      </c>
      <c r="H185">
        <v>4</v>
      </c>
      <c r="I185">
        <v>5</v>
      </c>
      <c r="J185">
        <v>5</v>
      </c>
      <c r="K185">
        <v>5</v>
      </c>
    </row>
    <row r="186" spans="1:11" x14ac:dyDescent="0.2">
      <c r="A186" t="s">
        <v>27</v>
      </c>
      <c r="C186">
        <v>2</v>
      </c>
      <c r="F186">
        <v>2</v>
      </c>
      <c r="H186">
        <v>3</v>
      </c>
      <c r="I186">
        <v>1</v>
      </c>
      <c r="K186">
        <v>3</v>
      </c>
    </row>
    <row r="187" spans="1:11" x14ac:dyDescent="0.2">
      <c r="A187" t="s">
        <v>20</v>
      </c>
      <c r="C187">
        <v>3</v>
      </c>
      <c r="F187">
        <v>5</v>
      </c>
      <c r="H187">
        <v>5</v>
      </c>
      <c r="I187">
        <v>5</v>
      </c>
      <c r="K187">
        <v>5</v>
      </c>
    </row>
    <row r="188" spans="1:11" x14ac:dyDescent="0.2">
      <c r="A188" t="s">
        <v>42</v>
      </c>
      <c r="C188">
        <v>3</v>
      </c>
      <c r="F188">
        <v>3</v>
      </c>
      <c r="H188">
        <v>1</v>
      </c>
      <c r="I188">
        <v>2</v>
      </c>
      <c r="K188">
        <v>1</v>
      </c>
    </row>
    <row r="189" spans="1:11" x14ac:dyDescent="0.2">
      <c r="A189" t="s">
        <v>32</v>
      </c>
      <c r="C189">
        <v>2</v>
      </c>
      <c r="F189">
        <v>2</v>
      </c>
      <c r="H189">
        <v>1</v>
      </c>
      <c r="I189">
        <v>2</v>
      </c>
      <c r="K189">
        <v>1</v>
      </c>
    </row>
    <row r="190" spans="1:11" x14ac:dyDescent="0.2">
      <c r="A190" t="s">
        <v>46</v>
      </c>
      <c r="C190">
        <v>2</v>
      </c>
      <c r="F190">
        <v>4</v>
      </c>
      <c r="H190">
        <v>4</v>
      </c>
      <c r="I190">
        <v>2</v>
      </c>
      <c r="K190">
        <v>4</v>
      </c>
    </row>
    <row r="191" spans="1:11" x14ac:dyDescent="0.2">
      <c r="A191" t="s">
        <v>8</v>
      </c>
      <c r="C191">
        <v>3</v>
      </c>
      <c r="F191">
        <v>4</v>
      </c>
      <c r="H191">
        <v>4</v>
      </c>
      <c r="I191">
        <v>4</v>
      </c>
      <c r="K191">
        <v>3</v>
      </c>
    </row>
    <row r="192" spans="1:11" x14ac:dyDescent="0.2">
      <c r="A192" t="s">
        <v>43</v>
      </c>
      <c r="C192">
        <v>1</v>
      </c>
      <c r="F192">
        <v>1</v>
      </c>
      <c r="H192">
        <v>3</v>
      </c>
      <c r="I192">
        <v>2</v>
      </c>
      <c r="K192">
        <v>3</v>
      </c>
    </row>
    <row r="193" spans="1:11" x14ac:dyDescent="0.2">
      <c r="A193" t="s">
        <v>20</v>
      </c>
      <c r="C193">
        <v>3</v>
      </c>
      <c r="F193">
        <v>5</v>
      </c>
      <c r="H193">
        <v>4</v>
      </c>
      <c r="I193">
        <v>5</v>
      </c>
      <c r="K193">
        <v>4</v>
      </c>
    </row>
    <row r="194" spans="1:11" x14ac:dyDescent="0.2">
      <c r="A194" t="s">
        <v>14</v>
      </c>
      <c r="C194">
        <v>5</v>
      </c>
      <c r="F194">
        <v>5</v>
      </c>
      <c r="H194">
        <v>5</v>
      </c>
      <c r="I194">
        <v>5</v>
      </c>
      <c r="K194">
        <v>5</v>
      </c>
    </row>
    <row r="195" spans="1:11" x14ac:dyDescent="0.2">
      <c r="A195" t="s">
        <v>19</v>
      </c>
      <c r="C195">
        <v>4</v>
      </c>
      <c r="F195">
        <v>5</v>
      </c>
      <c r="H195">
        <v>5</v>
      </c>
      <c r="I195">
        <v>5</v>
      </c>
      <c r="K195">
        <v>5</v>
      </c>
    </row>
    <row r="196" spans="1:11" x14ac:dyDescent="0.2">
      <c r="A196" t="s">
        <v>15</v>
      </c>
      <c r="C196">
        <v>3</v>
      </c>
      <c r="F196">
        <v>4</v>
      </c>
      <c r="H196">
        <v>5</v>
      </c>
      <c r="I196">
        <v>4</v>
      </c>
      <c r="K196">
        <v>5</v>
      </c>
    </row>
    <row r="197" spans="1:11" x14ac:dyDescent="0.2">
      <c r="A197" t="s">
        <v>47</v>
      </c>
      <c r="C197">
        <v>4</v>
      </c>
      <c r="F197">
        <v>1</v>
      </c>
      <c r="H197">
        <v>4</v>
      </c>
      <c r="I197">
        <v>1</v>
      </c>
      <c r="K197">
        <v>4</v>
      </c>
    </row>
    <row r="198" spans="1:11" x14ac:dyDescent="0.2">
      <c r="A198" t="s">
        <v>15</v>
      </c>
      <c r="C198">
        <v>3</v>
      </c>
      <c r="F198">
        <v>1</v>
      </c>
      <c r="H198">
        <v>4</v>
      </c>
      <c r="I198">
        <v>3</v>
      </c>
      <c r="K198">
        <v>3</v>
      </c>
    </row>
    <row r="199" spans="1:11" x14ac:dyDescent="0.2">
      <c r="A199" t="s">
        <v>45</v>
      </c>
      <c r="C199">
        <v>3</v>
      </c>
      <c r="F199">
        <v>3</v>
      </c>
      <c r="H199">
        <v>3</v>
      </c>
      <c r="I199">
        <v>3</v>
      </c>
      <c r="K199">
        <v>3</v>
      </c>
    </row>
    <row r="200" spans="1:11" x14ac:dyDescent="0.2">
      <c r="A200" t="s">
        <v>26</v>
      </c>
      <c r="C200">
        <v>3</v>
      </c>
      <c r="F200">
        <v>3</v>
      </c>
      <c r="H200">
        <v>3</v>
      </c>
      <c r="I200">
        <v>3</v>
      </c>
      <c r="K200">
        <v>3</v>
      </c>
    </row>
    <row r="201" spans="1:11" x14ac:dyDescent="0.2">
      <c r="A201" t="s">
        <v>15</v>
      </c>
      <c r="C201">
        <v>4</v>
      </c>
      <c r="F201">
        <v>5</v>
      </c>
      <c r="H201">
        <v>2</v>
      </c>
      <c r="I201">
        <v>3</v>
      </c>
      <c r="K201">
        <v>3</v>
      </c>
    </row>
    <row r="202" spans="1:11" x14ac:dyDescent="0.2">
      <c r="A202" t="s">
        <v>47</v>
      </c>
      <c r="C202">
        <v>5</v>
      </c>
      <c r="F202">
        <v>5</v>
      </c>
      <c r="H202">
        <v>5</v>
      </c>
      <c r="I202">
        <v>5</v>
      </c>
      <c r="K202">
        <v>5</v>
      </c>
    </row>
    <row r="203" spans="1:11" x14ac:dyDescent="0.2">
      <c r="A203" t="s">
        <v>14</v>
      </c>
      <c r="C203">
        <v>5</v>
      </c>
      <c r="F203">
        <v>5</v>
      </c>
      <c r="H203">
        <v>5</v>
      </c>
      <c r="I203">
        <v>5</v>
      </c>
      <c r="K203">
        <v>5</v>
      </c>
    </row>
    <row r="204" spans="1:11" x14ac:dyDescent="0.2">
      <c r="A204" t="s">
        <v>20</v>
      </c>
      <c r="C204">
        <v>3</v>
      </c>
      <c r="F204">
        <v>1</v>
      </c>
      <c r="H204">
        <v>2</v>
      </c>
      <c r="I204">
        <v>4</v>
      </c>
      <c r="K204">
        <v>3</v>
      </c>
    </row>
    <row r="205" spans="1:11" x14ac:dyDescent="0.2">
      <c r="A205" t="s">
        <v>19</v>
      </c>
      <c r="C205">
        <v>3</v>
      </c>
      <c r="F205">
        <v>3</v>
      </c>
      <c r="H205">
        <v>3</v>
      </c>
      <c r="I205">
        <v>3</v>
      </c>
      <c r="K205">
        <v>3</v>
      </c>
    </row>
    <row r="206" spans="1:11" x14ac:dyDescent="0.2">
      <c r="A206" t="s">
        <v>20</v>
      </c>
      <c r="C206">
        <v>3</v>
      </c>
      <c r="F206">
        <v>3</v>
      </c>
      <c r="H206">
        <v>4</v>
      </c>
      <c r="I206">
        <v>4</v>
      </c>
      <c r="K206">
        <v>1</v>
      </c>
    </row>
    <row r="207" spans="1:11" x14ac:dyDescent="0.2">
      <c r="A207" t="s">
        <v>19</v>
      </c>
      <c r="C207">
        <v>5</v>
      </c>
      <c r="D207">
        <v>5</v>
      </c>
      <c r="E207">
        <v>5</v>
      </c>
      <c r="F207">
        <v>5</v>
      </c>
      <c r="G207">
        <v>5</v>
      </c>
      <c r="H207">
        <v>5</v>
      </c>
      <c r="I207">
        <v>5</v>
      </c>
      <c r="J207">
        <v>5</v>
      </c>
      <c r="K207">
        <v>5</v>
      </c>
    </row>
    <row r="208" spans="1:11" x14ac:dyDescent="0.2">
      <c r="A208" t="s">
        <v>47</v>
      </c>
      <c r="C208">
        <v>4</v>
      </c>
      <c r="D208">
        <v>5</v>
      </c>
      <c r="E208">
        <v>5</v>
      </c>
      <c r="F208">
        <v>5</v>
      </c>
      <c r="G208">
        <v>5</v>
      </c>
      <c r="H208">
        <v>5</v>
      </c>
      <c r="I208">
        <v>5</v>
      </c>
      <c r="J208">
        <v>5</v>
      </c>
      <c r="K208">
        <v>5</v>
      </c>
    </row>
    <row r="209" spans="1:11" x14ac:dyDescent="0.2">
      <c r="A209" t="s">
        <v>19</v>
      </c>
      <c r="C209">
        <v>5</v>
      </c>
      <c r="D209">
        <v>5</v>
      </c>
      <c r="E209">
        <v>5</v>
      </c>
      <c r="F209">
        <v>5</v>
      </c>
      <c r="G209">
        <v>5</v>
      </c>
      <c r="H209">
        <v>5</v>
      </c>
      <c r="I209">
        <v>5</v>
      </c>
      <c r="J209">
        <v>5</v>
      </c>
      <c r="K209">
        <v>5</v>
      </c>
    </row>
    <row r="210" spans="1:11" x14ac:dyDescent="0.2">
      <c r="A210" t="s">
        <v>35</v>
      </c>
      <c r="C210">
        <v>3</v>
      </c>
      <c r="F210">
        <v>2</v>
      </c>
      <c r="H210">
        <v>4</v>
      </c>
      <c r="I210">
        <v>3</v>
      </c>
      <c r="K210">
        <v>3</v>
      </c>
    </row>
    <row r="211" spans="1:11" x14ac:dyDescent="0.2">
      <c r="A211" t="s">
        <v>32</v>
      </c>
      <c r="C211">
        <v>4</v>
      </c>
      <c r="F211">
        <v>1</v>
      </c>
      <c r="H211">
        <v>4</v>
      </c>
      <c r="I211">
        <v>4</v>
      </c>
      <c r="K211">
        <v>4</v>
      </c>
    </row>
    <row r="212" spans="1:11" x14ac:dyDescent="0.2">
      <c r="A212" t="s">
        <v>39</v>
      </c>
      <c r="C212">
        <v>5</v>
      </c>
      <c r="F212">
        <v>5</v>
      </c>
      <c r="H212">
        <v>5</v>
      </c>
      <c r="I212">
        <v>5</v>
      </c>
      <c r="K212">
        <v>5</v>
      </c>
    </row>
    <row r="213" spans="1:11" x14ac:dyDescent="0.2">
      <c r="A213" t="s">
        <v>15</v>
      </c>
      <c r="C213">
        <v>3</v>
      </c>
      <c r="F213">
        <v>2</v>
      </c>
      <c r="H213">
        <v>3</v>
      </c>
      <c r="I213">
        <v>4</v>
      </c>
      <c r="K213">
        <v>3</v>
      </c>
    </row>
    <row r="214" spans="1:11" x14ac:dyDescent="0.2">
      <c r="A214" t="s">
        <v>33</v>
      </c>
      <c r="C214">
        <v>4</v>
      </c>
      <c r="F214">
        <v>1</v>
      </c>
      <c r="H214">
        <v>4</v>
      </c>
      <c r="I214">
        <v>4</v>
      </c>
      <c r="K214">
        <v>2</v>
      </c>
    </row>
    <row r="215" spans="1:11" x14ac:dyDescent="0.2">
      <c r="A215" t="s">
        <v>47</v>
      </c>
      <c r="C215">
        <v>1</v>
      </c>
      <c r="F215">
        <v>2</v>
      </c>
      <c r="H215">
        <v>2</v>
      </c>
      <c r="I215">
        <v>2</v>
      </c>
      <c r="K215">
        <v>4</v>
      </c>
    </row>
    <row r="216" spans="1:11" x14ac:dyDescent="0.2">
      <c r="A216" t="s">
        <v>26</v>
      </c>
      <c r="C216">
        <v>4</v>
      </c>
      <c r="F216">
        <v>4</v>
      </c>
      <c r="H216">
        <v>2</v>
      </c>
      <c r="I216">
        <v>2</v>
      </c>
      <c r="K216">
        <v>2</v>
      </c>
    </row>
    <row r="217" spans="1:11" x14ac:dyDescent="0.2">
      <c r="A217" t="s">
        <v>39</v>
      </c>
      <c r="C217">
        <v>5</v>
      </c>
      <c r="F217">
        <v>5</v>
      </c>
      <c r="H217">
        <v>5</v>
      </c>
      <c r="I217">
        <v>5</v>
      </c>
      <c r="K217">
        <v>5</v>
      </c>
    </row>
    <row r="218" spans="1:11" x14ac:dyDescent="0.2">
      <c r="A218" t="s">
        <v>14</v>
      </c>
      <c r="C218">
        <v>3</v>
      </c>
      <c r="F218">
        <v>4</v>
      </c>
      <c r="H218">
        <v>4</v>
      </c>
      <c r="I218">
        <v>5</v>
      </c>
      <c r="K218">
        <v>4</v>
      </c>
    </row>
    <row r="219" spans="1:11" x14ac:dyDescent="0.2">
      <c r="A219" t="s">
        <v>33</v>
      </c>
      <c r="C219">
        <v>3</v>
      </c>
      <c r="F219">
        <v>3</v>
      </c>
      <c r="H219">
        <v>3</v>
      </c>
      <c r="I219">
        <v>5</v>
      </c>
      <c r="K219">
        <v>3</v>
      </c>
    </row>
    <row r="220" spans="1:11" x14ac:dyDescent="0.2">
      <c r="A220" t="s">
        <v>18</v>
      </c>
      <c r="C220">
        <v>3</v>
      </c>
      <c r="F220">
        <v>4</v>
      </c>
      <c r="H220">
        <v>3</v>
      </c>
      <c r="I220">
        <v>3</v>
      </c>
      <c r="K220">
        <v>3</v>
      </c>
    </row>
    <row r="221" spans="1:11" x14ac:dyDescent="0.2">
      <c r="A221" t="s">
        <v>22</v>
      </c>
      <c r="C221">
        <v>4</v>
      </c>
      <c r="F221">
        <v>4</v>
      </c>
      <c r="H221">
        <v>5</v>
      </c>
      <c r="I221">
        <v>5</v>
      </c>
      <c r="K221">
        <v>5</v>
      </c>
    </row>
    <row r="222" spans="1:11" x14ac:dyDescent="0.2">
      <c r="A222" t="s">
        <v>44</v>
      </c>
      <c r="C222">
        <v>4</v>
      </c>
      <c r="F222">
        <v>4</v>
      </c>
      <c r="H222">
        <v>3</v>
      </c>
      <c r="I222">
        <v>2</v>
      </c>
      <c r="K222">
        <v>2</v>
      </c>
    </row>
    <row r="223" spans="1:11" x14ac:dyDescent="0.2">
      <c r="A223" t="s">
        <v>47</v>
      </c>
      <c r="C223">
        <v>5</v>
      </c>
      <c r="F223">
        <v>5</v>
      </c>
      <c r="H223">
        <v>5</v>
      </c>
      <c r="I223">
        <v>5</v>
      </c>
      <c r="K223">
        <v>5</v>
      </c>
    </row>
    <row r="224" spans="1:11" x14ac:dyDescent="0.2">
      <c r="A224" t="s">
        <v>32</v>
      </c>
      <c r="C224">
        <v>3</v>
      </c>
      <c r="F224">
        <v>3</v>
      </c>
      <c r="H224">
        <v>4</v>
      </c>
      <c r="I224">
        <v>4</v>
      </c>
      <c r="K224">
        <v>3</v>
      </c>
    </row>
    <row r="225" spans="1:11" x14ac:dyDescent="0.2">
      <c r="A225" t="s">
        <v>37</v>
      </c>
      <c r="C225">
        <v>3</v>
      </c>
      <c r="F225">
        <v>3</v>
      </c>
      <c r="H225">
        <v>4</v>
      </c>
      <c r="I225">
        <v>4</v>
      </c>
      <c r="K225">
        <v>4</v>
      </c>
    </row>
    <row r="226" spans="1:11" x14ac:dyDescent="0.2">
      <c r="A226" t="s">
        <v>38</v>
      </c>
      <c r="C226">
        <v>3</v>
      </c>
      <c r="F226">
        <v>3</v>
      </c>
      <c r="H226">
        <v>4</v>
      </c>
      <c r="I226">
        <v>4</v>
      </c>
      <c r="K226">
        <v>4</v>
      </c>
    </row>
    <row r="227" spans="1:11" x14ac:dyDescent="0.2">
      <c r="A227" t="s">
        <v>19</v>
      </c>
      <c r="C227">
        <v>4</v>
      </c>
      <c r="F227">
        <v>5</v>
      </c>
      <c r="H227">
        <v>3</v>
      </c>
      <c r="I227">
        <v>5</v>
      </c>
      <c r="K227">
        <v>3</v>
      </c>
    </row>
    <row r="228" spans="1:11" x14ac:dyDescent="0.2">
      <c r="A228" t="s">
        <v>33</v>
      </c>
      <c r="C228">
        <v>5</v>
      </c>
      <c r="F228">
        <v>5</v>
      </c>
      <c r="H228">
        <v>5</v>
      </c>
      <c r="I228">
        <v>5</v>
      </c>
      <c r="K228">
        <v>5</v>
      </c>
    </row>
    <row r="229" spans="1:11" x14ac:dyDescent="0.2">
      <c r="A229" t="s">
        <v>47</v>
      </c>
      <c r="C229">
        <v>4</v>
      </c>
      <c r="F229">
        <v>4</v>
      </c>
      <c r="H229">
        <v>3</v>
      </c>
      <c r="I229">
        <v>4</v>
      </c>
      <c r="K229">
        <v>3</v>
      </c>
    </row>
    <row r="230" spans="1:11" x14ac:dyDescent="0.2">
      <c r="A230" t="s">
        <v>38</v>
      </c>
      <c r="C230">
        <v>3</v>
      </c>
      <c r="F230">
        <v>2</v>
      </c>
      <c r="H230">
        <v>3</v>
      </c>
      <c r="I230">
        <v>2</v>
      </c>
      <c r="K230">
        <v>3</v>
      </c>
    </row>
    <row r="231" spans="1:11" x14ac:dyDescent="0.2">
      <c r="A231" t="s">
        <v>45</v>
      </c>
      <c r="C231">
        <v>3</v>
      </c>
      <c r="F231">
        <v>3</v>
      </c>
      <c r="H231">
        <v>4</v>
      </c>
      <c r="I231">
        <v>5</v>
      </c>
      <c r="K231">
        <v>4</v>
      </c>
    </row>
    <row r="232" spans="1:11" x14ac:dyDescent="0.2">
      <c r="A232" t="s">
        <v>45</v>
      </c>
      <c r="C232">
        <v>3</v>
      </c>
      <c r="F232">
        <v>3</v>
      </c>
      <c r="H232">
        <v>4</v>
      </c>
      <c r="I232">
        <v>5</v>
      </c>
      <c r="K232">
        <v>4</v>
      </c>
    </row>
    <row r="233" spans="1:11" x14ac:dyDescent="0.2">
      <c r="A233" t="s">
        <v>47</v>
      </c>
      <c r="C233">
        <v>5</v>
      </c>
      <c r="F233">
        <v>5</v>
      </c>
      <c r="H233">
        <v>5</v>
      </c>
      <c r="I233">
        <v>5</v>
      </c>
      <c r="K233">
        <v>5</v>
      </c>
    </row>
    <row r="234" spans="1:11" x14ac:dyDescent="0.2">
      <c r="A234" t="s">
        <v>47</v>
      </c>
      <c r="C234">
        <v>5</v>
      </c>
      <c r="F234">
        <v>5</v>
      </c>
      <c r="H234">
        <v>1</v>
      </c>
      <c r="I234">
        <v>4</v>
      </c>
      <c r="K234">
        <v>1</v>
      </c>
    </row>
    <row r="235" spans="1:11" x14ac:dyDescent="0.2">
      <c r="A235" t="s">
        <v>47</v>
      </c>
      <c r="C235">
        <v>2</v>
      </c>
      <c r="F235">
        <v>5</v>
      </c>
      <c r="H235">
        <v>3</v>
      </c>
      <c r="I235">
        <v>5</v>
      </c>
      <c r="K235">
        <v>5</v>
      </c>
    </row>
    <row r="236" spans="1:11" x14ac:dyDescent="0.2">
      <c r="A236" t="s">
        <v>8</v>
      </c>
      <c r="C236">
        <v>1</v>
      </c>
      <c r="F236">
        <v>1</v>
      </c>
      <c r="H236">
        <v>3</v>
      </c>
      <c r="I236">
        <v>3</v>
      </c>
      <c r="K236">
        <v>4</v>
      </c>
    </row>
    <row r="237" spans="1:11" x14ac:dyDescent="0.2">
      <c r="A237" t="s">
        <v>38</v>
      </c>
      <c r="C237">
        <v>3</v>
      </c>
      <c r="F237">
        <v>3</v>
      </c>
      <c r="H237">
        <v>2</v>
      </c>
      <c r="I237">
        <v>4</v>
      </c>
      <c r="K237">
        <v>2</v>
      </c>
    </row>
    <row r="238" spans="1:11" x14ac:dyDescent="0.2">
      <c r="A238" t="s">
        <v>19</v>
      </c>
      <c r="C238">
        <v>4</v>
      </c>
      <c r="F238">
        <v>4</v>
      </c>
      <c r="H238">
        <v>4</v>
      </c>
      <c r="I238">
        <v>4</v>
      </c>
      <c r="K238">
        <v>2</v>
      </c>
    </row>
    <row r="239" spans="1:11" x14ac:dyDescent="0.2">
      <c r="A239" t="s">
        <v>40</v>
      </c>
      <c r="C239">
        <v>5</v>
      </c>
      <c r="F239">
        <v>5</v>
      </c>
      <c r="H239">
        <v>5</v>
      </c>
      <c r="I239">
        <v>5</v>
      </c>
      <c r="K239">
        <v>5</v>
      </c>
    </row>
    <row r="240" spans="1:11" x14ac:dyDescent="0.2">
      <c r="A240" t="s">
        <v>16</v>
      </c>
      <c r="C240">
        <v>4</v>
      </c>
      <c r="F240">
        <v>1</v>
      </c>
      <c r="H240">
        <v>3</v>
      </c>
      <c r="I240">
        <v>3</v>
      </c>
      <c r="K240">
        <v>3</v>
      </c>
    </row>
    <row r="241" spans="1:11" x14ac:dyDescent="0.2">
      <c r="A241" t="s">
        <v>47</v>
      </c>
      <c r="C241">
        <v>4</v>
      </c>
      <c r="F241">
        <v>5</v>
      </c>
      <c r="H241">
        <v>5</v>
      </c>
      <c r="I241">
        <v>5</v>
      </c>
      <c r="K241">
        <v>5</v>
      </c>
    </row>
    <row r="242" spans="1:11" x14ac:dyDescent="0.2">
      <c r="A242" t="s">
        <v>15</v>
      </c>
      <c r="C242">
        <v>3</v>
      </c>
      <c r="F242">
        <v>5</v>
      </c>
      <c r="H242">
        <v>5</v>
      </c>
      <c r="I242">
        <v>4</v>
      </c>
      <c r="K242">
        <v>4</v>
      </c>
    </row>
    <row r="243" spans="1:11" x14ac:dyDescent="0.2">
      <c r="A243" t="s">
        <v>45</v>
      </c>
      <c r="C243">
        <v>3</v>
      </c>
      <c r="F243">
        <v>2</v>
      </c>
      <c r="H243">
        <v>2</v>
      </c>
      <c r="I243">
        <v>2</v>
      </c>
      <c r="K243">
        <v>2</v>
      </c>
    </row>
    <row r="244" spans="1:11" x14ac:dyDescent="0.2">
      <c r="A244" t="s">
        <v>8</v>
      </c>
      <c r="C244">
        <v>4</v>
      </c>
      <c r="F244">
        <v>3</v>
      </c>
      <c r="H244">
        <v>4</v>
      </c>
      <c r="I244">
        <v>4</v>
      </c>
      <c r="K244">
        <v>4</v>
      </c>
    </row>
  </sheetData>
  <sortState xmlns:xlrd2="http://schemas.microsoft.com/office/spreadsheetml/2017/richdata2" ref="T4:Y39">
    <sortCondition ref="T3:T3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10026F9AEED442AB141D5C00EF2F7C" ma:contentTypeVersion="22" ma:contentTypeDescription="Create a new document." ma:contentTypeScope="" ma:versionID="bbf6cedda85f957ac2a043dee6cd74dc">
  <xsd:schema xmlns:xsd="http://www.w3.org/2001/XMLSchema" xmlns:xs="http://www.w3.org/2001/XMLSchema" xmlns:p="http://schemas.microsoft.com/office/2006/metadata/properties" xmlns:ns1="http://schemas.microsoft.com/sharepoint/v3" xmlns:ns2="451aad5b-167b-4d6c-939c-63203bdf6bab" xmlns:ns3="c503ef68-8e6b-4103-88cd-6d3eed0e207f" targetNamespace="http://schemas.microsoft.com/office/2006/metadata/properties" ma:root="true" ma:fieldsID="a64bd8f018ff6ba91350b8371d2a451a" ns1:_="" ns2:_="" ns3:_="">
    <xsd:import namespace="http://schemas.microsoft.com/sharepoint/v3"/>
    <xsd:import namespace="451aad5b-167b-4d6c-939c-63203bdf6bab"/>
    <xsd:import namespace="c503ef68-8e6b-4103-88cd-6d3eed0e20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1aad5b-167b-4d6c-939c-63203bdf6b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03ef68-8e6b-4103-88cd-6d3eed0e207f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1413bcfb-e5f3-4cb8-aeca-3ab024fd0deb}" ma:internalName="TaxCatchAll" ma:showField="CatchAllData" ma:web="c503ef68-8e6b-4103-88cd-6d3eed0e20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51aad5b-167b-4d6c-939c-63203bdf6bab">
      <Terms xmlns="http://schemas.microsoft.com/office/infopath/2007/PartnerControls"/>
    </lcf76f155ced4ddcb4097134ff3c332f>
    <TaxCatchAll xmlns="c503ef68-8e6b-4103-88cd-6d3eed0e207f" xsi:nil="true"/>
  </documentManagement>
</p:properties>
</file>

<file path=customXml/itemProps1.xml><?xml version="1.0" encoding="utf-8"?>
<ds:datastoreItem xmlns:ds="http://schemas.openxmlformats.org/officeDocument/2006/customXml" ds:itemID="{2A990CD4-6583-494D-B541-CBC9880E764A}"/>
</file>

<file path=customXml/itemProps2.xml><?xml version="1.0" encoding="utf-8"?>
<ds:datastoreItem xmlns:ds="http://schemas.openxmlformats.org/officeDocument/2006/customXml" ds:itemID="{4D12F225-A637-4040-AB8C-24D90BC1D9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8F38DF-A553-4AF8-A27F-736BC295582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51aad5b-167b-4d6c-939c-63203bdf6bab"/>
    <ds:schemaRef ds:uri="c503ef68-8e6b-4103-88cd-6d3eed0e207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Berk</dc:creator>
  <cp:lastModifiedBy>Austin Berk</cp:lastModifiedBy>
  <dcterms:created xsi:type="dcterms:W3CDTF">2025-02-20T16:26:43Z</dcterms:created>
  <dcterms:modified xsi:type="dcterms:W3CDTF">2025-10-23T17:38:14Z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0x0101004810026F9AEED442AB141D5C00EF2F7C</vt:lpwstr>
  </property>
  <property fmtid="{D5CDD505-2E9C-101B-9397-08002B2CF9AE}" pid="3" name="MediaServiceImageTags">
    <vt:lpwstr/>
  </property>
</Properties>
</file>