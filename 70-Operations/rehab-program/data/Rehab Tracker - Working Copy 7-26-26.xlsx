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ustinBerk\Documents\My Brain\05-Inbox\"/>
    </mc:Choice>
  </mc:AlternateContent>
  <xr:revisionPtr revIDLastSave="0" documentId="8_{8490991C-9E4F-45E8-ADDB-C4631331F12C}" xr6:coauthVersionLast="47" xr6:coauthVersionMax="47" xr10:uidLastSave="{00000000-0000-0000-0000-000000000000}"/>
  <bookViews>
    <workbookView xWindow="-120" yWindow="-120" windowWidth="29040" windowHeight="17520" tabRatio="500" firstSheet="1" activeTab="1" xr2:uid="{00000000-000D-0000-FFFF-FFFF00000000}"/>
  </bookViews>
  <sheets>
    <sheet name="Read Me" sheetId="1" r:id="rId1"/>
    <sheet name="Mark" sheetId="2" r:id="rId2"/>
    <sheet name="Alt Vendor" sheetId="3" r:id="rId3"/>
    <sheet name="Pre-fill Log" sheetId="4" r:id="rId4"/>
  </sheets>
  <definedNames>
    <definedName name="_xlnm._FilterDatabase" localSheetId="2" hidden="1">'Alt Vendor'!$A$2:$X$25</definedName>
    <definedName name="_xlnm._FilterDatabase" localSheetId="1" hidden="1">Mark!$A$1:$AC$188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88" i="2" l="1"/>
  <c r="X178" i="2"/>
  <c r="X179" i="2"/>
  <c r="X180" i="2"/>
  <c r="X181" i="2"/>
  <c r="X182" i="2"/>
  <c r="X183" i="2"/>
  <c r="X184" i="2"/>
  <c r="X185" i="2"/>
  <c r="X152" i="2"/>
  <c r="X153" i="2"/>
  <c r="X154" i="2"/>
  <c r="X155" i="2"/>
  <c r="X156" i="2"/>
  <c r="X157" i="2"/>
  <c r="X158" i="2"/>
  <c r="X159" i="2"/>
  <c r="X160" i="2"/>
  <c r="X161" i="2"/>
  <c r="X162" i="2"/>
  <c r="X163" i="2"/>
  <c r="X164" i="2"/>
  <c r="X165" i="2"/>
  <c r="X166" i="2"/>
  <c r="X167" i="2"/>
  <c r="X168" i="2"/>
  <c r="X169" i="2"/>
  <c r="X170" i="2"/>
  <c r="X171" i="2"/>
  <c r="X172" i="2"/>
  <c r="X173" i="2"/>
  <c r="X174" i="2"/>
  <c r="X176" i="2"/>
  <c r="X177" i="2"/>
  <c r="X151" i="2"/>
  <c r="X81" i="2"/>
  <c r="X82" i="2"/>
  <c r="X83" i="2"/>
  <c r="X84" i="2"/>
  <c r="X85" i="2"/>
  <c r="X86" i="2"/>
  <c r="X87" i="2"/>
  <c r="X88" i="2"/>
  <c r="X89" i="2"/>
  <c r="X90" i="2"/>
  <c r="X92" i="2"/>
  <c r="X93" i="2"/>
  <c r="X94" i="2"/>
  <c r="X95" i="2"/>
  <c r="X96" i="2"/>
  <c r="X97" i="2"/>
  <c r="X98" i="2"/>
  <c r="X99" i="2"/>
  <c r="X100" i="2"/>
  <c r="X101" i="2"/>
  <c r="X102" i="2"/>
  <c r="X103" i="2"/>
  <c r="X104" i="2"/>
  <c r="X105" i="2"/>
  <c r="X106" i="2"/>
  <c r="X107" i="2"/>
  <c r="X108" i="2"/>
  <c r="X109" i="2"/>
  <c r="X110"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3" i="2"/>
  <c r="X144" i="2"/>
  <c r="X145" i="2"/>
  <c r="X146" i="2"/>
  <c r="X147" i="2"/>
  <c r="X148" i="2"/>
  <c r="X149" i="2"/>
  <c r="X150" i="2"/>
  <c r="X80" i="2"/>
  <c r="X79" i="2"/>
  <c r="X78" i="2"/>
  <c r="X76" i="2"/>
  <c r="X77" i="2"/>
  <c r="X75" i="2"/>
  <c r="X74" i="2"/>
  <c r="X73" i="2"/>
  <c r="X70" i="2"/>
  <c r="X71" i="2"/>
  <c r="X72" i="2"/>
  <c r="X69" i="2"/>
  <c r="X68" i="2"/>
  <c r="X66" i="2"/>
  <c r="X67" i="2"/>
  <c r="X65" i="2"/>
  <c r="X64" i="2"/>
  <c r="X63" i="2"/>
  <c r="X62" i="2"/>
  <c r="X61" i="2"/>
  <c r="X59" i="2"/>
  <c r="X60" i="2"/>
  <c r="X51" i="2"/>
  <c r="X52" i="2"/>
  <c r="X53" i="2"/>
  <c r="X54" i="2"/>
  <c r="X55" i="2"/>
  <c r="X56" i="2"/>
  <c r="X57" i="2"/>
  <c r="X58" i="2"/>
  <c r="X50" i="2"/>
  <c r="X43" i="2"/>
  <c r="X44" i="2"/>
  <c r="X45" i="2"/>
  <c r="X46" i="2"/>
  <c r="X47" i="2"/>
  <c r="X48" i="2"/>
  <c r="X49" i="2"/>
  <c r="X38" i="2"/>
  <c r="X39" i="2"/>
  <c r="X40" i="2"/>
  <c r="X41" i="2"/>
  <c r="X36" i="2"/>
  <c r="X37" i="2"/>
  <c r="X35" i="2"/>
  <c r="X31" i="2"/>
  <c r="X32" i="2"/>
  <c r="X33" i="2"/>
  <c r="X34" i="2"/>
  <c r="X30" i="2"/>
  <c r="X28" i="2"/>
  <c r="X29" i="2"/>
  <c r="X27" i="2"/>
  <c r="Y27" i="2"/>
  <c r="X6" i="2"/>
  <c r="X7" i="2"/>
  <c r="X8" i="2"/>
  <c r="X9" i="2"/>
  <c r="X10" i="2"/>
  <c r="X11" i="2"/>
  <c r="X12" i="2"/>
  <c r="X13" i="2"/>
  <c r="X14" i="2"/>
  <c r="X15" i="2"/>
  <c r="X16" i="2"/>
  <c r="X17" i="2"/>
  <c r="X18" i="2"/>
  <c r="X19" i="2"/>
  <c r="X21" i="2"/>
  <c r="X22" i="2"/>
  <c r="X23" i="2"/>
  <c r="X24" i="2"/>
  <c r="X25" i="2"/>
  <c r="X26" i="2"/>
  <c r="X3" i="2"/>
  <c r="X4" i="2"/>
  <c r="X2" i="2"/>
  <c r="X5" i="2"/>
</calcChain>
</file>

<file path=xl/sharedStrings.xml><?xml version="1.0" encoding="utf-8"?>
<sst xmlns="http://schemas.openxmlformats.org/spreadsheetml/2006/main" count="3990" uniqueCount="900">
  <si>
    <t>Parakeet Rehab Tracker — Data Request</t>
  </si>
  <si>
    <t>Two tabs: “Mark” and “Alt Vendor.” Work your own tab; the other is visible for insight. 182 active assets · prepared 6/13/26.</t>
  </si>
  <si>
    <t>YOUR TAB</t>
  </si>
  <si>
    <t>Mark</t>
  </si>
  <si>
    <t>Your 159 in-house homes. Fill the AMBER cells (tier, actual start/end, final cost, HVAC/water heater/roof/siding, deposit, dates). John fills the magenta ISSUE # cells.</t>
  </si>
  <si>
    <t>Alt Vendor (John)</t>
  </si>
  <si>
    <t>The 23 Alternate-Vendor homes — all John’s. Fill every MAGENTA cell (ISSUE #, Rehab Tier, Alt Vendor name, dates, final cost, scope Y/N, deposit).</t>
  </si>
  <si>
    <t>COLOR KEY (same on both tabs)</t>
  </si>
  <si>
    <t>Amber</t>
  </si>
  <si>
    <t>Mark fills</t>
  </si>
  <si>
    <t>Magenta</t>
  </si>
  <si>
    <t>John fills (every blank ISSUE # on both tabs; all rehab info on Alt Vendor homes)</t>
  </si>
  <si>
    <t>Lavender</t>
  </si>
  <si>
    <t>Melanie — start missing-title process</t>
  </si>
  <si>
    <t>Light green</t>
  </si>
  <si>
    <t>Auto-assumed completion = start + 45 days (overwrite if known)</t>
  </si>
  <si>
    <t>Teal</t>
  </si>
  <si>
    <t>Pre-filled by Claude from signed CAPEX/REHAB documents &amp; invoices — verify.</t>
  </si>
  <si>
    <t>GL # &amp; ISSUE #</t>
  </si>
  <si>
    <t>GL # = Rent Manager/accounting code for cost. ISSUE # = construction job/ClickUp number. Costs are actual (from invoices) where available, else estimate. Siding Deposit Y/N is for Mark to track; the old Deposit column is now Rehab Deposit Y/N.</t>
  </si>
  <si>
    <t>TITLE WORKFLOW (new)</t>
  </si>
  <si>
    <t>Title Status (col U) is pulled from Rent Manager; col V flags the action. 52 homes show “START missing-title (Melanie)”. Goal: when a rehab STARTS, Melanie begins missing-title work in parallel so title is IN HAND at completion and the home can be sold.</t>
  </si>
  <si>
    <t>ROADMAP / FUTURE</t>
  </si>
  <si>
    <t>•</t>
  </si>
  <si>
    <t>Before &amp; after photo links per home (planned).</t>
  </si>
  <si>
    <t>Title status integration → ties rehab completion to a sellable, titled asset.</t>
  </si>
  <si>
    <t>Cost tracking → pull final cost per home via the ISSUE # once all are filled.</t>
  </si>
  <si>
    <t>Handoff Date — track how fast rehabs are assigned/turned (deferred).</t>
  </si>
  <si>
    <t>Estimated budget vs final cost, permit/demo flags — tell us if you want them tracked.</t>
  </si>
  <si>
    <t>#</t>
  </si>
  <si>
    <t>Community</t>
  </si>
  <si>
    <t>Lot</t>
  </si>
  <si>
    <t>RM Asset</t>
  </si>
  <si>
    <t>Track</t>
  </si>
  <si>
    <t>Vendor</t>
  </si>
  <si>
    <t>Rehab Status</t>
  </si>
  <si>
    <t>GL #</t>
  </si>
  <si>
    <t>Rehab Tier</t>
  </si>
  <si>
    <t>Alt Vendor Name</t>
  </si>
  <si>
    <t>Target Start</t>
  </si>
  <si>
    <t>Target End</t>
  </si>
  <si>
    <t>Actual Start</t>
  </si>
  <si>
    <t>Actual End</t>
  </si>
  <si>
    <t>Base Cost w/ Deposit</t>
  </si>
  <si>
    <t>HVAC Y/N</t>
  </si>
  <si>
    <t>HVAC Cost</t>
  </si>
  <si>
    <t>Water Heater Y/N</t>
  </si>
  <si>
    <t>Water Heater Cost</t>
  </si>
  <si>
    <t>Roof Y/N</t>
  </si>
  <si>
    <t>Roof Cost</t>
  </si>
  <si>
    <t>Siding Y/N</t>
  </si>
  <si>
    <t>Siding Cost</t>
  </si>
  <si>
    <t>Final Cost ($)</t>
  </si>
  <si>
    <t>Siding Deposit Y/N</t>
  </si>
  <si>
    <t>Rehab Deposit Y/N</t>
  </si>
  <si>
    <t>Title Status (RM)</t>
  </si>
  <si>
    <t>Title Action (Melanie)</t>
  </si>
  <si>
    <t>Scope / Notes</t>
  </si>
  <si>
    <t>Needs From</t>
  </si>
  <si>
    <t>ISSUE #</t>
  </si>
  <si>
    <t>Applegate 399 Circle Dr Deland Fl 32724</t>
  </si>
  <si>
    <t>208</t>
  </si>
  <si>
    <t>APPLE-208 Circle</t>
  </si>
  <si>
    <t>Complete</t>
  </si>
  <si>
    <t>16630</t>
  </si>
  <si>
    <t>L2+</t>
  </si>
  <si>
    <t>Y</t>
  </si>
  <si>
    <t>N</t>
  </si>
  <si>
    <t>No Title</t>
  </si>
  <si>
    <t>START missing-title (Melanie)</t>
  </si>
  <si>
    <t>Bedroom ceiling, bath and drywall, bathroom needs full plumbing, Sub floor</t>
  </si>
  <si>
    <t>Mark; Melanie</t>
  </si>
  <si>
    <t>240</t>
  </si>
  <si>
    <t>APPLE-240 Circle</t>
  </si>
  <si>
    <t>In Progress</t>
  </si>
  <si>
    <t>16793</t>
  </si>
  <si>
    <t>Clear Title</t>
  </si>
  <si>
    <t>Clear — in hand</t>
  </si>
  <si>
    <t>279</t>
  </si>
  <si>
    <t>APPLE-279 Circle</t>
  </si>
  <si>
    <t>16795</t>
  </si>
  <si>
    <t>L3</t>
  </si>
  <si>
    <t>335</t>
  </si>
  <si>
    <t>APPLE-335 Circle</t>
  </si>
  <si>
    <t>16629</t>
  </si>
  <si>
    <t>L1+</t>
  </si>
  <si>
    <t>2026-06-15</t>
  </si>
  <si>
    <t>2026-07-03</t>
  </si>
  <si>
    <t>Cabinets replace / Repair</t>
  </si>
  <si>
    <t>396</t>
  </si>
  <si>
    <t>APPLE-396 Circle</t>
  </si>
  <si>
    <t>16794</t>
  </si>
  <si>
    <t>Auburn Ridge 275 Carter Rd Auburn Ga 30011</t>
  </si>
  <si>
    <t>101</t>
  </si>
  <si>
    <t>ARD-101</t>
  </si>
  <si>
    <t>16801</t>
  </si>
  <si>
    <t>Pending Transfer (MHTR)</t>
  </si>
  <si>
    <t>In process — track</t>
  </si>
  <si>
    <t>101 = Level 2+ - Typical with some subfloor repair, cabinets can be repaired, some drywall. Needs siding and stairs. </t>
  </si>
  <si>
    <t>106</t>
  </si>
  <si>
    <t>ARD-106</t>
  </si>
  <si>
    <t>Unmarked</t>
  </si>
  <si>
    <t>NA</t>
  </si>
  <si>
    <t>16639</t>
  </si>
  <si>
    <t>To Be Assessed</t>
  </si>
  <si>
    <t>108</t>
  </si>
  <si>
    <t>ARD-108</t>
  </si>
  <si>
    <t>16802</t>
  </si>
  <si>
    <t>108 = Level 3 - Major sub floor and drywall repair. Plumbing issues in bathrooms and kitchen and cabinets. Needs siding. </t>
  </si>
  <si>
    <t>27</t>
  </si>
  <si>
    <t>ARD-27</t>
  </si>
  <si>
    <t>16798</t>
  </si>
  <si>
    <t>L1</t>
  </si>
  <si>
    <t>Level 1 - Typical and needs siding. </t>
  </si>
  <si>
    <t>46</t>
  </si>
  <si>
    <t>ARD-46</t>
  </si>
  <si>
    <t>16796</t>
  </si>
  <si>
    <t>L2</t>
  </si>
  <si>
    <t>Level 2 - Drywall replacement, subfloors are decent, cabinet repair. Needs siding. </t>
  </si>
  <si>
    <t>46A</t>
  </si>
  <si>
    <t>ARD-46A</t>
  </si>
  <si>
    <t>16797</t>
  </si>
  <si>
    <t>46A = Level 3 - Typical as well as cabinet replacement, subfloor replacement and some drywall repair and replacement. Also needs siding and stairs. </t>
  </si>
  <si>
    <t>8</t>
  </si>
  <si>
    <t>ARD-8</t>
  </si>
  <si>
    <t>16800</t>
  </si>
  <si>
    <t>8 = Level 2 - Typical with subfloor repair, drywall and cabinet repair. Needs siding. </t>
  </si>
  <si>
    <t>87</t>
  </si>
  <si>
    <t>ARD-87</t>
  </si>
  <si>
    <t>16803</t>
  </si>
  <si>
    <t>87 = Level 1+ - Typical with minor sub floor repair. Needs siding. </t>
  </si>
  <si>
    <t>ARD-26</t>
  </si>
  <si>
    <t>122-A</t>
  </si>
  <si>
    <t>ARD 122A</t>
  </si>
  <si>
    <t>122A Dplx = Level 2 - Typical interior but level 2 because it’s a duplex with some more space to it. There are some sub flooring repairs to be made, and some bathroom fixture replacement. No Siding</t>
  </si>
  <si>
    <t>Bay Oaks I 409 School Ave Panama City Fl 32401</t>
  </si>
  <si>
    <t>H4</t>
  </si>
  <si>
    <t>BOVIPO-H-4</t>
  </si>
  <si>
    <t>Not Started</t>
  </si>
  <si>
    <t>16592</t>
  </si>
  <si>
    <t>Bay Oaks II 420 N Kimbrel Ave Panama City Fl 32404</t>
  </si>
  <si>
    <t>91</t>
  </si>
  <si>
    <t>BOVIIPO-91</t>
  </si>
  <si>
    <t>16591</t>
  </si>
  <si>
    <t>C2</t>
  </si>
  <si>
    <t>Belle Haven 27554 US Hwy 19 N Clearwater Fl 33761</t>
  </si>
  <si>
    <t>16</t>
  </si>
  <si>
    <t>BELL-16</t>
  </si>
  <si>
    <t>16628</t>
  </si>
  <si>
    <t>2026-06-26</t>
  </si>
  <si>
    <t>2026-04-02</t>
  </si>
  <si>
    <t>Repair Cabinets | [CAPEX docs] High Pace Construction rehab under All-Florida program (GL# 16628), invoice 50125 $8,106.60. Base scope: cleanout, power wash exterior siding/skirting/stairs, broom-clean; level-based remodel of floors, walls, cabinets, kitchen/bath fixtures, ceilings, windows, electrical. Itemized detail image-only. Lot 16 also included in the Belle Haven siding bundle (Invoice 50118-2, GL 16628).</t>
  </si>
  <si>
    <t>18</t>
  </si>
  <si>
    <t>BELL-18</t>
  </si>
  <si>
    <t>16617</t>
  </si>
  <si>
    <t>All New Sub Flooring, Cabinets S&amp;P | [CAPEX docs] High Pace Construction rehab under All-Florida program (GL# 16617), invoice 50126 $13,824.97. Base scope: cleanout, power wash exterior, broom-clean; level-based interior remodel (floors, walls, cabinets, fixtures, ceilings, windows, electrical, subfloor/drywall). Itemized detail image-only.</t>
  </si>
  <si>
    <t>BELL-27</t>
  </si>
  <si>
    <t>16619</t>
  </si>
  <si>
    <t>2026-05-30</t>
  </si>
  <si>
    <t>Pending Transfer (Vector)</t>
  </si>
  <si>
    <t>Drywall, Cabinets S&amp;P</t>
  </si>
  <si>
    <t>BELL-30A</t>
  </si>
  <si>
    <t>16626</t>
  </si>
  <si>
    <t>[CAPEX docs] High Pace Construction rehab under All-Florida program (GL# 16626), invoice 50127 $6,855.00. Folder marked REFURB-COMPLETE. Base scope: cleanout, power wash exterior, broom-clean; level-based interior remodel. Itemized detail image-only.</t>
  </si>
  <si>
    <t>31</t>
  </si>
  <si>
    <t>BELL-31</t>
  </si>
  <si>
    <t>16734</t>
  </si>
  <si>
    <t>33</t>
  </si>
  <si>
    <t>BELL-33</t>
  </si>
  <si>
    <t>16618</t>
  </si>
  <si>
    <t>2026-05-17</t>
  </si>
  <si>
    <t>Ceiling Demo , Cabinets S&amp;P&amp;R | [CAPEX docs] High Pace Construction rehab under All-Florida program (GL# 16618), final invoice $12,862.00 (two identical copies of the final invoice on file). Base scope: cleanout, power wash exterior siding/skirting/stairs, broom-clean; level-based interior remodel. Lot 33 ALSO had a separate TPO roof-over installation kickoff (issue 13728) to establish a waterproof monolithic seal, and is part of the Belle Haven siding bundle (Invoice 50118-2).</t>
  </si>
  <si>
    <t>13728 (roof-over)</t>
  </si>
  <si>
    <t>36</t>
  </si>
  <si>
    <t>BELL-36</t>
  </si>
  <si>
    <t>On Hold</t>
  </si>
  <si>
    <t>16804</t>
  </si>
  <si>
    <t>Full Gut Remodel</t>
  </si>
  <si>
    <t>JC was testing to permit these are full gut remodels</t>
  </si>
  <si>
    <t>41</t>
  </si>
  <si>
    <t>BELL-41</t>
  </si>
  <si>
    <t>16625</t>
  </si>
  <si>
    <t>Cabinet S&amp;P, Drywall</t>
  </si>
  <si>
    <t>44</t>
  </si>
  <si>
    <t>BELL-44</t>
  </si>
  <si>
    <t>16624</t>
  </si>
  <si>
    <t>Paint Cabinets, Vanity, 2 Sub Floor</t>
  </si>
  <si>
    <t>44A</t>
  </si>
  <si>
    <t>BELL-44A</t>
  </si>
  <si>
    <t>5</t>
  </si>
  <si>
    <t>BELL-5</t>
  </si>
  <si>
    <t>16616</t>
  </si>
  <si>
    <t>[CAPEX docs] High Pace Construction rehab under the All-Florida 59-home program (GL# 16616). Final invoice $13,334.00. Base program scope: trash/debris cleanout, power wash exterior siding/skirting/stairs, broom-clean and wipe all surfaces/cabinets/fixtures/appliances; home then assessed and remodeled to one of three levels covering floors, walls, cabinets, kitchen/bath fixtures, ceilings, windows, electrical outlets/fixtures and subfloor/drywall structural repair as needed. Itemized line detail image-only.</t>
  </si>
  <si>
    <t>54</t>
  </si>
  <si>
    <t>BELL-54</t>
  </si>
  <si>
    <t>16623</t>
  </si>
  <si>
    <t>L3+</t>
  </si>
  <si>
    <t>Full Gut Rehab</t>
  </si>
  <si>
    <t>57</t>
  </si>
  <si>
    <t>BELL-57</t>
  </si>
  <si>
    <t>16622</t>
  </si>
  <si>
    <t>Vanity Replace | [CAPEX docs] High Pace Construction rehab under All-Florida program (GL# 16622), final invoice $7,198.00. Base scope: cleanout, power wash exterior, broom-clean; level-based interior remodel. Part of Belle Haven siding bundle (Invoice 50118-2). Itemized detail image-only.</t>
  </si>
  <si>
    <t>64</t>
  </si>
  <si>
    <t>BELL-64</t>
  </si>
  <si>
    <t>16615</t>
  </si>
  <si>
    <t>7</t>
  </si>
  <si>
    <t>BELL-7</t>
  </si>
  <si>
    <t>16627</t>
  </si>
  <si>
    <t>Replacing Upper Cabinets &amp; Ceiling. ADD ROOF</t>
  </si>
  <si>
    <t>72</t>
  </si>
  <si>
    <t>BELL-72</t>
  </si>
  <si>
    <t>16621</t>
  </si>
  <si>
    <t>Sub Flooring</t>
  </si>
  <si>
    <t>73</t>
  </si>
  <si>
    <t>BELL-73</t>
  </si>
  <si>
    <t>16735</t>
  </si>
  <si>
    <t>Sub Flooring Roof Repair</t>
  </si>
  <si>
    <t>74</t>
  </si>
  <si>
    <t>BELL-74</t>
  </si>
  <si>
    <t>16736</t>
  </si>
  <si>
    <t xml:space="preserve">New Drywall needed throughout </t>
  </si>
  <si>
    <t>78</t>
  </si>
  <si>
    <t>BELL-78</t>
  </si>
  <si>
    <t>[CAPEX docs] High Pace Construction rehab under All-Florida program (GL# 16620), invoice 50122 $5,988.50. Folder marked REFURB-COMPLETE. Base scope: cleanout, power wash exterior, broom-clean; level-based interior remodel. Itemized detail image-only.</t>
  </si>
  <si>
    <t>ISSUE #; Mark</t>
  </si>
  <si>
    <t>86</t>
  </si>
  <si>
    <t>BELL-86</t>
  </si>
  <si>
    <t>FULL DEMO</t>
  </si>
  <si>
    <t>N/A</t>
  </si>
  <si>
    <t>Full Demo</t>
  </si>
  <si>
    <t>BELL-87</t>
  </si>
  <si>
    <t>16620</t>
  </si>
  <si>
    <t>Brunswick 221 Robarts Rd Brunswick Ga 31520</t>
  </si>
  <si>
    <t>12</t>
  </si>
  <si>
    <t>BRUN-12</t>
  </si>
  <si>
    <t>16806</t>
  </si>
  <si>
    <t>20</t>
  </si>
  <si>
    <t>BRUN-20</t>
  </si>
  <si>
    <t>16807</t>
  </si>
  <si>
    <t>23</t>
  </si>
  <si>
    <t>BRUN-23 Rachel</t>
  </si>
  <si>
    <t>16809</t>
  </si>
  <si>
    <t>28</t>
  </si>
  <si>
    <t>BRUN-28</t>
  </si>
  <si>
    <t>16808</t>
  </si>
  <si>
    <t>42</t>
  </si>
  <si>
    <t>BRUN-42</t>
  </si>
  <si>
    <t>701</t>
  </si>
  <si>
    <t>BRUN-701</t>
  </si>
  <si>
    <t>16805</t>
  </si>
  <si>
    <t>BRUN-38</t>
  </si>
  <si>
    <t>Central 810 Peachtree St Cocoa Fl 32922</t>
  </si>
  <si>
    <t>C015</t>
  </si>
  <si>
    <t>CENT-C15</t>
  </si>
  <si>
    <t>16612</t>
  </si>
  <si>
    <t>2026-06-01</t>
  </si>
  <si>
    <t>2026-06-09</t>
  </si>
  <si>
    <t>Wall and Ceiling repair, Slider repair | [CAPEX docs] High Pace Construction rehab under All-Florida program, invoice 50146 $8,873.60. Base scope: cleanout, power wash exterior siding/skirting/stairs, broom-clean; level-based interior remodel (floors, walls, cabinets, fixtures, ceilings, windows, electrical). Itemized detail image-only.</t>
  </si>
  <si>
    <t>Crystal Acres 2850 N Crede Ave Crystal River Fl 34428</t>
  </si>
  <si>
    <t>1</t>
  </si>
  <si>
    <t>CA-1</t>
  </si>
  <si>
    <t>Cleaned</t>
  </si>
  <si>
    <t>16812</t>
  </si>
  <si>
    <t>25</t>
  </si>
  <si>
    <t>CA-25</t>
  </si>
  <si>
    <t>16814</t>
  </si>
  <si>
    <t>34</t>
  </si>
  <si>
    <t>CA-34</t>
  </si>
  <si>
    <t>16813</t>
  </si>
  <si>
    <t>Copy of Title (Our Name)</t>
  </si>
  <si>
    <t>35</t>
  </si>
  <si>
    <t>CA-35</t>
  </si>
  <si>
    <t>16573</t>
  </si>
  <si>
    <t>37</t>
  </si>
  <si>
    <t>CA-37</t>
  </si>
  <si>
    <t>16810</t>
  </si>
  <si>
    <t>Copy of Title (Sellers Name)</t>
  </si>
  <si>
    <t>49</t>
  </si>
  <si>
    <t>CA-49</t>
  </si>
  <si>
    <t>16811</t>
  </si>
  <si>
    <t>Druid Oaks 4240 Hwy 17 Brunswick Ga 31525</t>
  </si>
  <si>
    <t>DO-57</t>
  </si>
  <si>
    <t>16815</t>
  </si>
  <si>
    <t>FFT Sent to DMV</t>
  </si>
  <si>
    <t>Fox Creek 491 Chapman Rd Foundain Inn SC 29644</t>
  </si>
  <si>
    <t>103</t>
  </si>
  <si>
    <t>FOX-103</t>
  </si>
  <si>
    <t>Siding</t>
  </si>
  <si>
    <t>Alt</t>
  </si>
  <si>
    <t>16517</t>
  </si>
  <si>
    <t xml:space="preserve"> </t>
  </si>
  <si>
    <t>Sent to FTT</t>
  </si>
  <si>
    <t>[CAPEX docs] Vendor: Jams + Stark LLC. Fox Creek refurb to rent-ready by Jams + Stark (base $9,000). Standard scope: pressure wash, skirting/window repair, carpet demo, paint, door/ceiling/wall repairs, cabinet/sink clean, new lights and smoke detectors, LVT throughout, professional clean. Folder marked COMPLETED.</t>
  </si>
  <si>
    <t>121</t>
  </si>
  <si>
    <t>FOX-121</t>
  </si>
  <si>
    <t>16525</t>
  </si>
  <si>
    <t>132</t>
  </si>
  <si>
    <t>FOX-132</t>
  </si>
  <si>
    <t>16821</t>
  </si>
  <si>
    <t>L2 = Typical, some drywall and ceiling repair needed. Minor cabinet fixes. Unit Needs siding and stairs. </t>
  </si>
  <si>
    <t>FOX-27</t>
  </si>
  <si>
    <t>16521</t>
  </si>
  <si>
    <t>[CAPEX docs] Vendor: Jams + Stark LLC. Refurb to rent-ready by Jams + Stark; base $9,000 + change order $4,700 = $13,700 total (per closeout). Base scope: pressure wash home and decks, repair/reform skirting and holes, repair side windows; interior carpet demo, prep/paint paneling/walls/trim, repair bedroom doors/holes/knobs, repair and paint ceiling holes, clean/repair bathroom sink, repair/replace countertop ends, clean cabinets; new light fixtures/bulbs and smoke detectors; LVT throughout; professional clean. Change Order #1: extensive demo (full home of furniture + shed + 3 extra dumpsters), 275 sq ft flooring/structural repair in guest &amp; master bedrooms, repair holes behind wall coverings, bathroom wall + plumbing repairs, door replacement, general plumbing/leak repairs, new tub faucet and waterlines.</t>
  </si>
  <si>
    <t>32</t>
  </si>
  <si>
    <t>FOX-32</t>
  </si>
  <si>
    <t>16522</t>
  </si>
  <si>
    <t>[CAPEX docs] Vendor: Jams + Stark LLC. Standard Fox Creek refurb to rent-ready by Jams + Stark (base $9,000). Scope per template: pressure wash home/decks, repair skirting and side windows, carpet demo, prep/paint paneling/walls/trim, repair doors/holes/knobs, repair/paint ceiling holes, clean/repair bathroom sink and countertop ends, clean cabinets, new light fixtures/bulbs and smoke detectors, matching LVT throughout, professional clean. Folder marked COMPLETED.</t>
  </si>
  <si>
    <t>FOX-35</t>
  </si>
  <si>
    <t>16549</t>
  </si>
  <si>
    <t>[CAPEX docs] Vendor: Jams + Stark LLC. Fox Creek refurb to rent-ready by Jams + Stark (base $9,000); kickoff notes exterior emphasis. Standard scope: pressure wash, skirting/window repair, carpet demo, paint, door/ceiling/wall repairs, cabinet/sink clean, new lights and smoke detectors, LVT throughout, professional clean. Folder marked COMPLETED.</t>
  </si>
  <si>
    <t>38</t>
  </si>
  <si>
    <t>FOX-38</t>
  </si>
  <si>
    <t>16818</t>
  </si>
  <si>
    <t>39</t>
  </si>
  <si>
    <t>FOX-39</t>
  </si>
  <si>
    <t>16544</t>
  </si>
  <si>
    <t>[CAPEX docs] Vendor: Jams + Stark LLC. Fox Creek refurb to rent-ready by Jams + Stark (base $9,000); kickoff cites exterior repair needs. Standard scope: pressure wash, skirting/window repair, carpet demo, paint, door/ceiling/wall repairs, cabinet/sink clean, new lights and smoke detectors, LVT throughout, professional clean. Folder marked COMPLETED.</t>
  </si>
  <si>
    <t>4</t>
  </si>
  <si>
    <t>FOX-4</t>
  </si>
  <si>
    <t>16816</t>
  </si>
  <si>
    <t>FOX-42</t>
  </si>
  <si>
    <t>16523</t>
  </si>
  <si>
    <t>45</t>
  </si>
  <si>
    <t>FOX-45</t>
  </si>
  <si>
    <t>16633</t>
  </si>
  <si>
    <t>[CAPEX docs] Vendor: Jams + Stark LLC. Comprehensive interior/exterior refurb to rent-ready by Jams + Stark (billed $9,000, invoice 1229, WIP 16633). Exterior: pressure wash home and decks, repair skirting (bend back, patch holes), repair side windows. Interior: demo/remove carpet, prep and paint paneling/interior walls/trim, repair bedroom doors/holes/knobs, repair and paint ceiling holes, clean/repair bathroom sink, repair/replace countertop ends, clean cabinets. Electrical/safety: new light fixtures and bulbs, new smoke detectors. Finishes: matching LVT flooring throughout. Professional rent-ready cleaning. Roofing repairs not in estimate; no major plumbing/HVAC.</t>
  </si>
  <si>
    <t>50</t>
  </si>
  <si>
    <t>FOX-50</t>
  </si>
  <si>
    <t>16823</t>
  </si>
  <si>
    <t>SOLD</t>
  </si>
  <si>
    <t>FOX-57</t>
  </si>
  <si>
    <t>16825</t>
  </si>
  <si>
    <t>L2 = Typical. Drywall and Ceiling need attention. Stairs also. Unit needs siding. </t>
  </si>
  <si>
    <t>6</t>
  </si>
  <si>
    <t>FOX-6</t>
  </si>
  <si>
    <t>16519</t>
  </si>
  <si>
    <t>60</t>
  </si>
  <si>
    <t>FOX-60</t>
  </si>
  <si>
    <t>16545</t>
  </si>
  <si>
    <t>[CAPEX docs] Vendor: Jams + Stark LLC. Fox Creek rehab (Jams + Stark, base $9,000 per program). No standalone kickoff or invoice located in this pass; carried from prior tracker. Scope presumed standard Fox Creek refurb template (pressure wash, skirting/window repair, demo, paint, LVT, lighting, smoke detectors).</t>
  </si>
  <si>
    <t>FOX-64</t>
  </si>
  <si>
    <t>16819</t>
  </si>
  <si>
    <t>drainage issue  under the home Typical. Needs more extensive cabinet and drywall repair, wet sub floor replacement. Unit needs siding</t>
  </si>
  <si>
    <t>FOX-74</t>
  </si>
  <si>
    <t>16524</t>
  </si>
  <si>
    <t>[CAPEX docs] Vendor: Jams + Stark LLC. Fox Creek refurb to rent-ready by Jams + Stark (base $9,000). Standard scope: pressure wash, skirting/window repair, carpet demo, paint paneling/walls/trim, door/ceiling/wall repairs, cabinet/sink clean, new lights and smoke detectors, LVT throughout, professional clean. Folder marked COMPLETED.</t>
  </si>
  <si>
    <t>82</t>
  </si>
  <si>
    <t>FOX-82</t>
  </si>
  <si>
    <t>16817</t>
  </si>
  <si>
    <t>82 - L2 = Typical and needs drywall and ceiling and cabinet repair. Unit needs siding</t>
  </si>
  <si>
    <t>83</t>
  </si>
  <si>
    <t>FOX-83</t>
  </si>
  <si>
    <t>16824</t>
  </si>
  <si>
    <t xml:space="preserve"> L2+ = Typical, and needs sub floor and drywall ceiling work. Unit needs siding. </t>
  </si>
  <si>
    <t>88</t>
  </si>
  <si>
    <t>FOX-88</t>
  </si>
  <si>
    <t>16550</t>
  </si>
  <si>
    <t>[CAPEX docs] Vendor: Jams + Stark LLC. Fox Creek refurb to rent-ready by Jams + Stark (billed $9,000, invoice 1223-2). Standard scope: pressure wash home/decks, repair skirting and side windows, carpet demo, prep/paint paneling/walls/trim, repair doors/holes/knobs, repair/paint ceiling holes, clean/repair bathroom sink and countertop ends, clean cabinets, new light fixtures/bulbs and smoke detectors, matching LVT throughout, professional clean.</t>
  </si>
  <si>
    <t>9</t>
  </si>
  <si>
    <t>FOX-9</t>
  </si>
  <si>
    <t>16520</t>
  </si>
  <si>
    <t>90</t>
  </si>
  <si>
    <t>FOX-90</t>
  </si>
  <si>
    <t>[CAPEX docs] Vendor: Jams + Stark LLC. Fox Creek rehab (Jams + Stark, base $9,000 per program). No standalone kickoff/invoice located this pass; carried from prior tracker. Scope presumed standard Fox Creek refurb template.</t>
  </si>
  <si>
    <t>94</t>
  </si>
  <si>
    <t>FOX-94</t>
  </si>
  <si>
    <t>16820</t>
  </si>
  <si>
    <t>98</t>
  </si>
  <si>
    <t>FOX-98</t>
  </si>
  <si>
    <t>16822</t>
  </si>
  <si>
    <t>L3 = Extensive interior demo and replacement in bathrooms and kitchen. Subfloor and drywall replacement. Not a full gut but close. Needs siding. </t>
  </si>
  <si>
    <t>FOX-77</t>
  </si>
  <si>
    <t>FOX-58</t>
  </si>
  <si>
    <t>FOX-37</t>
  </si>
  <si>
    <t>Great Oak 4440 Yowell Rd Kissimmee Fl 34746</t>
  </si>
  <si>
    <t>AA</t>
  </si>
  <si>
    <t>GO-AA</t>
  </si>
  <si>
    <t>16826</t>
  </si>
  <si>
    <t>Gulf Breeze 7530 Maryland Ave Hudson Fl 34667</t>
  </si>
  <si>
    <t>GULFPO-12</t>
  </si>
  <si>
    <t>16827</t>
  </si>
  <si>
    <t>GULFPO-20</t>
  </si>
  <si>
    <t>16589</t>
  </si>
  <si>
    <t>MVD-LCKY 35</t>
  </si>
  <si>
    <t>21</t>
  </si>
  <si>
    <t>GULFPO-21</t>
  </si>
  <si>
    <t>16590</t>
  </si>
  <si>
    <t>MVD SSH 284</t>
  </si>
  <si>
    <t>GULFPO-28</t>
  </si>
  <si>
    <t>ISSUE #; Mark; Melanie</t>
  </si>
  <si>
    <t>Harbour 821 Peachtree St Cocoa Fl 32922</t>
  </si>
  <si>
    <t>B13</t>
  </si>
  <si>
    <t>HARB-B-13</t>
  </si>
  <si>
    <t>16828</t>
  </si>
  <si>
    <t>Hunter Springs 316 NE 2nd St Crystal River Fl 34429</t>
  </si>
  <si>
    <t>13</t>
  </si>
  <si>
    <t>HSMHC-13</t>
  </si>
  <si>
    <t>14</t>
  </si>
  <si>
    <t>HSMHC-14</t>
  </si>
  <si>
    <t>16577</t>
  </si>
  <si>
    <t>2026-09-15</t>
  </si>
  <si>
    <t>HSMHC-18</t>
  </si>
  <si>
    <t>19</t>
  </si>
  <si>
    <t>HSMHC-19</t>
  </si>
  <si>
    <t>16580</t>
  </si>
  <si>
    <t>HSMHC-20</t>
  </si>
  <si>
    <t>16576</t>
  </si>
  <si>
    <t>HSMHC-8</t>
  </si>
  <si>
    <t>16579</t>
  </si>
  <si>
    <t>HSMHC-9</t>
  </si>
  <si>
    <t>16581</t>
  </si>
  <si>
    <t>Lake Wales 705 N Scenic Hwy Lake Wales Fl 33853</t>
  </si>
  <si>
    <t>15</t>
  </si>
  <si>
    <t>LWPO-15</t>
  </si>
  <si>
    <t>LWPO-16</t>
  </si>
  <si>
    <t>LWPO-19</t>
  </si>
  <si>
    <t>16588</t>
  </si>
  <si>
    <t>29</t>
  </si>
  <si>
    <t>LWPO-29</t>
  </si>
  <si>
    <t xml:space="preserve">L1 </t>
  </si>
  <si>
    <t>30</t>
  </si>
  <si>
    <t>LWPO-30</t>
  </si>
  <si>
    <t>LWPO-32</t>
  </si>
  <si>
    <t>40</t>
  </si>
  <si>
    <t>LWPO-40</t>
  </si>
  <si>
    <t>55</t>
  </si>
  <si>
    <t>LWPO-55</t>
  </si>
  <si>
    <t>LWPO-60</t>
  </si>
  <si>
    <t>Lucky Clover 635 E Eau Gallie Blvd Melbourne Fl 32937</t>
  </si>
  <si>
    <t>2</t>
  </si>
  <si>
    <t>LUCK-2</t>
  </si>
  <si>
    <t>16610</t>
  </si>
  <si>
    <t>2026-07-21</t>
  </si>
  <si>
    <t>2026-08-03</t>
  </si>
  <si>
    <t>Full Get Remodel or Demo</t>
  </si>
  <si>
    <t>LUCK-35</t>
  </si>
  <si>
    <t>16829</t>
  </si>
  <si>
    <t>Northgate 3304 3rd Ave Mims</t>
  </si>
  <si>
    <t>3304 3rd Ave</t>
  </si>
  <si>
    <t>Ocean Air 1311 Turnbull St New Smyrna Beach Fl 32168</t>
  </si>
  <si>
    <t>OCEAN-13</t>
  </si>
  <si>
    <t>71</t>
  </si>
  <si>
    <t>OCEANPO-71</t>
  </si>
  <si>
    <t>16831</t>
  </si>
  <si>
    <t>84</t>
  </si>
  <si>
    <t>OCEANPO-84</t>
  </si>
  <si>
    <t>16830</t>
  </si>
  <si>
    <t>Ocean - 95</t>
  </si>
  <si>
    <t>Palm Haven Estates 250 Nelle Ave Panama City Fl 32404</t>
  </si>
  <si>
    <t>PPH-30</t>
  </si>
  <si>
    <t>PPH-4</t>
  </si>
  <si>
    <t>16850</t>
  </si>
  <si>
    <t>PPH-7</t>
  </si>
  <si>
    <t>16851</t>
  </si>
  <si>
    <t xml:space="preserve">DEMO  </t>
  </si>
  <si>
    <t>K</t>
  </si>
  <si>
    <t>PPH-K</t>
  </si>
  <si>
    <t>16608</t>
  </si>
  <si>
    <t>Title Research</t>
  </si>
  <si>
    <t>Palm Springs Estates 40110 US 19 N Tarpon Springs Fl 34689</t>
  </si>
  <si>
    <t>PSEPO-2</t>
  </si>
  <si>
    <t>16833</t>
  </si>
  <si>
    <t>2026-07-22</t>
  </si>
  <si>
    <t>2026-09-05</t>
  </si>
  <si>
    <t>24</t>
  </si>
  <si>
    <t>PSEPO-24</t>
  </si>
  <si>
    <t>16832</t>
  </si>
  <si>
    <t>PSEPO-7</t>
  </si>
  <si>
    <t>Parkwood 3118 Dudley Rd West Columbia SC 29170</t>
  </si>
  <si>
    <t>10</t>
  </si>
  <si>
    <t>PARK-10</t>
  </si>
  <si>
    <t>16837</t>
  </si>
  <si>
    <t>2026-08-27</t>
  </si>
  <si>
    <t>L2 = Typical plus some sub floor and wall repair / drywall replacement. Needs siding. </t>
  </si>
  <si>
    <t>PARK-14</t>
  </si>
  <si>
    <t>16844</t>
  </si>
  <si>
    <t>L1+ = Typical, but some floor demo from old work and sub repair. Needs new stairs and deck, needs siding. </t>
  </si>
  <si>
    <t>PARK-39</t>
  </si>
  <si>
    <t>16840</t>
  </si>
  <si>
    <t>L2 = Typical, needs some interior wall repair and floor repair structurally. Cabinets good, needs siding and stairs. </t>
  </si>
  <si>
    <t>PARK-42</t>
  </si>
  <si>
    <t>16845</t>
  </si>
  <si>
    <t>PLZ ADVISE</t>
  </si>
  <si>
    <t>Looks like someone has been in here to work, however it is incomplete. Ceiling not painted, cabinets and flooring are not new or cleaned, paint is splattered on floor. Please advise what you want me doing here. If rehab this is a Level 1</t>
  </si>
  <si>
    <t>PARK-49</t>
  </si>
  <si>
    <t>16839</t>
  </si>
  <si>
    <t>L1+ = Typical but needs new stairs and decks, some more extensive cabinet repair. Needs siding. </t>
  </si>
  <si>
    <t>51</t>
  </si>
  <si>
    <t>PARK-51</t>
  </si>
  <si>
    <t>16842</t>
  </si>
  <si>
    <t>L1 = Typical, but needs some stair work. Needs siding. </t>
  </si>
  <si>
    <t>PARK-60</t>
  </si>
  <si>
    <t>16841</t>
  </si>
  <si>
    <t xml:space="preserve"> Please advise same as lot 42. Would be level 1</t>
  </si>
  <si>
    <t>PARK-7</t>
  </si>
  <si>
    <t>16835</t>
  </si>
  <si>
    <t>L2 = Typical, some drywall replacement and some subfloor replacement. Unit needs siding. </t>
  </si>
  <si>
    <t>PARK-71</t>
  </si>
  <si>
    <t>16834</t>
  </si>
  <si>
    <t>L1 = Typical and does not need siding</t>
  </si>
  <si>
    <t>75</t>
  </si>
  <si>
    <t>PARK-75</t>
  </si>
  <si>
    <t>16846</t>
  </si>
  <si>
    <t>- L2 = Typical but needs extensive cabinet repair. Does not need siding</t>
  </si>
  <si>
    <t>81</t>
  </si>
  <si>
    <t>PARK-81</t>
  </si>
  <si>
    <t>16847</t>
  </si>
  <si>
    <t>L2 = Typical but needs wall and cabinet repair, some sub floor. Unit needs siding</t>
  </si>
  <si>
    <t>PARK-82</t>
  </si>
  <si>
    <t>16836</t>
  </si>
  <si>
    <t>PARK-88</t>
  </si>
  <si>
    <t>16843</t>
  </si>
  <si>
    <t>L2+ = Typical but needs subfloor replacement, drywall replacement, cabinet repair. Unit needs siding</t>
  </si>
  <si>
    <t>89</t>
  </si>
  <si>
    <t>PARK-89</t>
  </si>
  <si>
    <t>16838</t>
  </si>
  <si>
    <t>L1+ - Typical with some sub floor replacement needed. Does not need siding. </t>
  </si>
  <si>
    <t>PARK-44</t>
  </si>
  <si>
    <t>Riverwalk 8518 Gibsonton Dr Gibsonton Fl 33534</t>
  </si>
  <si>
    <t>163</t>
  </si>
  <si>
    <t>RW-163</t>
  </si>
  <si>
    <t>2026-07-17</t>
  </si>
  <si>
    <t>2026-08-31</t>
  </si>
  <si>
    <t>63</t>
  </si>
  <si>
    <t>RW-63</t>
  </si>
  <si>
    <t>16853</t>
  </si>
  <si>
    <t>Royal Oaks 8125 US 1 Hwy Vero Beach Fl 32970</t>
  </si>
  <si>
    <t>22</t>
  </si>
  <si>
    <t>ROYAL-22</t>
  </si>
  <si>
    <t>16574</t>
  </si>
  <si>
    <t>2026-07-06</t>
  </si>
  <si>
    <t>2026-08-20</t>
  </si>
  <si>
    <t>MVD - SU16</t>
  </si>
  <si>
    <t>ROYAL-14</t>
  </si>
  <si>
    <t>Sea Shells 51 Hitching Post Rd Cape Canaveral Fl 32724</t>
  </si>
  <si>
    <t>284</t>
  </si>
  <si>
    <t>SS-284-v1</t>
  </si>
  <si>
    <t>16858</t>
  </si>
  <si>
    <t>Shady Acres 54 Holtz Rd Brunswick Ga 31523</t>
  </si>
  <si>
    <t>180</t>
  </si>
  <si>
    <t>SA-180</t>
  </si>
  <si>
    <t>16856</t>
  </si>
  <si>
    <t>214</t>
  </si>
  <si>
    <t>SA-214</t>
  </si>
  <si>
    <t>16854</t>
  </si>
  <si>
    <t>SA-35</t>
  </si>
  <si>
    <t>16855</t>
  </si>
  <si>
    <t>Silver Breeze 925 Cheney Hwy Titusville Fl 32780</t>
  </si>
  <si>
    <t>SILVER-10</t>
  </si>
  <si>
    <t>16759</t>
  </si>
  <si>
    <t>2026-05-11</t>
  </si>
  <si>
    <t>SILVER-20</t>
  </si>
  <si>
    <t>Completed</t>
  </si>
  <si>
    <t>16761</t>
  </si>
  <si>
    <t>Add skirting for $1,500.00 included in total</t>
  </si>
  <si>
    <t>SILVER-21</t>
  </si>
  <si>
    <t>16762</t>
  </si>
  <si>
    <t>SILVER-23</t>
  </si>
  <si>
    <t>16772</t>
  </si>
  <si>
    <t>SILVER-30</t>
  </si>
  <si>
    <t>16756</t>
  </si>
  <si>
    <t>SILVER-31</t>
  </si>
  <si>
    <t>16757</t>
  </si>
  <si>
    <t>SILVER-35</t>
  </si>
  <si>
    <t>16755</t>
  </si>
  <si>
    <t>SILVER-37</t>
  </si>
  <si>
    <t>16752</t>
  </si>
  <si>
    <t>SILVER-38</t>
  </si>
  <si>
    <t>16750</t>
  </si>
  <si>
    <t>SILVER-42</t>
  </si>
  <si>
    <t>16753</t>
  </si>
  <si>
    <t>SILVER-5</t>
  </si>
  <si>
    <t>16758</t>
  </si>
  <si>
    <t>SILVER-8</t>
  </si>
  <si>
    <t>16754</t>
  </si>
  <si>
    <t>y</t>
  </si>
  <si>
    <t>Silver Hill 3615 Percival Rd Columbia Sc 29223</t>
  </si>
  <si>
    <t>110</t>
  </si>
  <si>
    <t>SH-110</t>
  </si>
  <si>
    <t>16857</t>
  </si>
  <si>
    <t>SH-73</t>
  </si>
  <si>
    <t>Southgate 8817 N Atlantic Ave Cape Canaveral Fl 32920</t>
  </si>
  <si>
    <t>SOUTH-86</t>
  </si>
  <si>
    <t>16607</t>
  </si>
  <si>
    <t>L2-3</t>
  </si>
  <si>
    <t>Countertops, Sub Floor, Walls</t>
  </si>
  <si>
    <t>Su-Rene 810 8th St Vero Beach Fl 32962</t>
  </si>
  <si>
    <t>SUR-16</t>
  </si>
  <si>
    <t>16859</t>
  </si>
  <si>
    <t>2026-07-20</t>
  </si>
  <si>
    <t>2026-09-03</t>
  </si>
  <si>
    <t>43</t>
  </si>
  <si>
    <t>SUR-43</t>
  </si>
  <si>
    <t>16596</t>
  </si>
  <si>
    <t>SUR-79</t>
  </si>
  <si>
    <t>SUR-71</t>
  </si>
  <si>
    <t>Terrace Crossing 9901 E Fowler Ave Thonotosassa Fl 33592</t>
  </si>
  <si>
    <t>E9</t>
  </si>
  <si>
    <t>Roof repair, ceiling repair, sub floor repair</t>
  </si>
  <si>
    <t>A11</t>
  </si>
  <si>
    <t>TC-A-11</t>
  </si>
  <si>
    <t>16595</t>
  </si>
  <si>
    <t>MVD-TRW APT1</t>
  </si>
  <si>
    <t>B4</t>
  </si>
  <si>
    <t>TC-B-4</t>
  </si>
  <si>
    <t>16860</t>
  </si>
  <si>
    <t>The Oaks 10321 Main St Thonotosassa Fl 33592</t>
  </si>
  <si>
    <t>123</t>
  </si>
  <si>
    <t>TO-123</t>
  </si>
  <si>
    <t>16594</t>
  </si>
  <si>
    <t>MVD - OA 95</t>
  </si>
  <si>
    <t xml:space="preserve">B1 </t>
  </si>
  <si>
    <t>TO-B1</t>
  </si>
  <si>
    <t>TO-22</t>
  </si>
  <si>
    <t>Minor Sub Floor</t>
  </si>
  <si>
    <t>Large House, sub floor , new stairs, bathroom vanities</t>
  </si>
  <si>
    <t>Tradewinds 4100 N Cocoa Blvd Cocoa Fl 32927</t>
  </si>
  <si>
    <t>30 Olsen</t>
  </si>
  <si>
    <t>TRADE-30Olsen</t>
  </si>
  <si>
    <t>16606</t>
  </si>
  <si>
    <t>Apt 1</t>
  </si>
  <si>
    <t>TRADE-APT 1</t>
  </si>
  <si>
    <t>16861</t>
  </si>
  <si>
    <t>Whispering Pines 359 Cheney Hwy Titusville Fl 32780</t>
  </si>
  <si>
    <t>353 Daisy</t>
  </si>
  <si>
    <t>WPMH-353 Daisy</t>
  </si>
  <si>
    <t>16722</t>
  </si>
  <si>
    <t>2026-05-29</t>
  </si>
  <si>
    <t>[CAPEX docs] High Pace Construction rehab under All-Florida program (GL# 16722), final invoice $14,042.00. Base scope: cleanout, power wash exterior, broom-clean; level-based interior remodel. Itemized detail image-only.</t>
  </si>
  <si>
    <t>354 Daisy</t>
  </si>
  <si>
    <t>WPMH-354 Daisy</t>
  </si>
  <si>
    <t>16600</t>
  </si>
  <si>
    <t>358 Lily</t>
  </si>
  <si>
    <t>WPMH-358 Lily</t>
  </si>
  <si>
    <t>16603</t>
  </si>
  <si>
    <t>Some Sub Floor</t>
  </si>
  <si>
    <t>359 Daisy</t>
  </si>
  <si>
    <t>WPMH-359 Daisy</t>
  </si>
  <si>
    <t>16602</t>
  </si>
  <si>
    <t>Ceiling, Sub Floor, Replace counter &amp; Cab rep | [CAPEX docs] High Pace Construction rehab under All-Florida program, invoice 50219 $15,023.18 (GL# 16600, 16601, 16602, 16603). Base scope: cleanout, power wash exterior, broom-clean; level-based interior remodel. Itemized detail image-only.</t>
  </si>
  <si>
    <t>4700 Periwinkle</t>
  </si>
  <si>
    <t>WPMH-4700 Periwinkle</t>
  </si>
  <si>
    <t>16601</t>
  </si>
  <si>
    <t>Sub Floor Replace, Closet Doors</t>
  </si>
  <si>
    <t>4885 Clover</t>
  </si>
  <si>
    <t>WPMH-4885 Clover</t>
  </si>
  <si>
    <t>16604</t>
  </si>
  <si>
    <t>Demo non permit structure and Gut , full sub floors | [CAPEX docs] High Pace Construction rehab under All-Florida program. Two invoices total $28,999.00: final rehab $21,919.00 (GL# 16604) + additional invoice 50144 $7,080.00 (GL# 16605). Base scope: cleanout, power wash exterior siding/skirting/stairs, broom-clean; level-based interior remodel (floors, walls, cabinets, kitchen/bath fixtures, ceilings, windows, electrical). Also part of the Whispering Pines exterior siding bundle. Itemized detail image-only.</t>
  </si>
  <si>
    <t>4925 Clover</t>
  </si>
  <si>
    <t>WPMH-4925Clover</t>
  </si>
  <si>
    <t>16605</t>
  </si>
  <si>
    <t>Full Gut Remodel | [CAPEX docs] High Pace Construction rehab under All-Florida program (GL# 16605), final invoice $13,239.60. Base scope: cleanout, power wash exterior, broom-clean; level-based interior remodel. Also part of Whispering Pines siding bundle. Itemized detail image-only.</t>
  </si>
  <si>
    <t>5085 Clover</t>
  </si>
  <si>
    <t>WPMH-5085 Clover</t>
  </si>
  <si>
    <t>16723</t>
  </si>
  <si>
    <t>[CAPEX docs] High Pace Construction rehab under All-Florida program, final invoice $20,144.40. Filed against multiple GLs (16604, 16605, 16616, 16618, 16622, 16625, 16722, 16723) — this document also appears to recap the broader final-invoice bundle. Base scope: cleanout, power wash exterior, broom-clean; level-based interior remodel. Itemized detail image-only.</t>
  </si>
  <si>
    <t>4770 Periwinkle</t>
  </si>
  <si>
    <t>366 Lily</t>
  </si>
  <si>
    <t>Windward Knoll 12415 Thonotosassa Rd Thonotosassa Fl 33592</t>
  </si>
  <si>
    <t>102</t>
  </si>
  <si>
    <t>WIND-102</t>
  </si>
  <si>
    <t>16593</t>
  </si>
  <si>
    <t>Full Remodel</t>
  </si>
  <si>
    <t>Full House Remodel</t>
  </si>
  <si>
    <t>Alt Vendor (John) — every magenta cell is yours. Teal cells were pre-filled from CAPEX/REHAB docs &amp; invoices — verify. Lavender = Melanie titles.</t>
  </si>
  <si>
    <t>Auburn Ridge</t>
  </si>
  <si>
    <t>132A</t>
  </si>
  <si>
    <t>ARD-132A</t>
  </si>
  <si>
    <t>Alt Vendor</t>
  </si>
  <si>
    <t>16497</t>
  </si>
  <si>
    <t>A New Day Construction</t>
  </si>
  <si>
    <t>2026-06-29</t>
  </si>
  <si>
    <t>2025-11-21</t>
  </si>
  <si>
    <t>2026-03-12</t>
  </si>
  <si>
    <t>[CAPEX docs] Full unit rehab by A New Day Construction (multiple draws: deposit + $10,000 draw + $4,274.25 final). Filed under WIP# 16497. Detailed line items image-only; consistent with A New Day rehab scope (demolition, plywood/sheetrock repair, paint, LVP flooring, door/window trim, electrical fixtures, plumbing trim).</t>
  </si>
  <si>
    <t>John Clark; Mark; Melanie</t>
  </si>
  <si>
    <t>136B</t>
  </si>
  <si>
    <t>ARD-136B</t>
  </si>
  <si>
    <t>16495</t>
  </si>
  <si>
    <t>2025-12-15</t>
  </si>
  <si>
    <t>2026-04-08</t>
  </si>
  <si>
    <t>[CAPEX docs] Full unit rehab by A New Day Construction with 7 draws/invoices summing to $44,306.66 (folder named '136B - Rehab - COMPLETE $44306.66'). Includes change-order work ($5,150 CO's) plus a metal railing invoice ($650). Detailed line items image-only; consistent with A New Day scope: demolition, structural/plywood and sheetrock repair, paint, LVP flooring, door/window/trim replacement, electrical fixtures, plumbing trim, and exterior stairs/railing.</t>
  </si>
  <si>
    <t>151A</t>
  </si>
  <si>
    <t>ARD-151A</t>
  </si>
  <si>
    <t>16466</t>
  </si>
  <si>
    <t>2025-09-29</t>
  </si>
  <si>
    <t>2025-11-19</t>
  </si>
  <si>
    <t>[CAPEX docs] Comprehensive gut remodel by A New Day Construction (est. $41,460; CO #1 +$3,800.40 for rot around window; final billed $47,009.48). Scope: systematic demolition of damaged plywood wall panels, interior/exterior doors, window sills, flooring, vanities and full rear exterior staircase/landing. Plumbing rough-in/trim for two new furniture-style vanities with chrome fixtures, reset existing toilet on new wax ring, reseal upstairs shower. Electrical: replace ceiling fans, flush-mount fixtures, upstairs bath exhaust fan/light combo, install five new flush-mount ceiling lights incl. stairwell. Replace ~6-7 sheets of sanded plywood, repair water-damaged walls, remediate upstairs bedroom roof leak. Replace all window casing/sills, baseboards, shoe molding, 3 exterior + 5 interior six-panel doors. Paint all interior walls/doors/trim (Agreeable Gray), paint lower kitchen cabinets white. LVP throughout upstairs/downstairs (allowance $3.25/SF, excludes staircase). Build new 5x5 back staircase/landing with PT lumber. Ceilings, appliance install, permits excluded.</t>
  </si>
  <si>
    <t>John Clark; Mark</t>
  </si>
  <si>
    <t>Brunswick</t>
  </si>
  <si>
    <t>155</t>
  </si>
  <si>
    <t>BRUN-155</t>
  </si>
  <si>
    <t>16461</t>
  </si>
  <si>
    <t>Primary Home Repair And Maintenance</t>
  </si>
  <si>
    <t>2025-09-30</t>
  </si>
  <si>
    <t>2026-04-06</t>
  </si>
  <si>
    <t>[CAPEX docs] Window repair / primary remodel work covered jointly with 21 Gressel on a single $4,800 Primary Home Repair bid (job line reads '21 Gressel, 155 Robarts'). Bundled bid; per-home split not itemized.</t>
  </si>
  <si>
    <t>203</t>
  </si>
  <si>
    <t>BRUN-203</t>
  </si>
  <si>
    <t>16465</t>
  </si>
  <si>
    <t>BRUN-21</t>
  </si>
  <si>
    <t>16462</t>
  </si>
  <si>
    <t>Primary Home Repair &amp; Maintenance</t>
  </si>
  <si>
    <t>2026-01-14</t>
  </si>
  <si>
    <t>[CAPEX docs] Rehab/remodel of 21 Gressel (primary unit) by Primary Home Repair. Final invoice line items: 3 exterior flush-mount lights, living room fan, exterior/interior wiring reconfiguration (more damage found), 2 interior flush-mount lights, 5 exterior door lock replacements, plumbing ($2,800), back door railing, kitchen floor transition. A separate $4,800 window-repair bid (covering 21 Gressel + 155 Robarts) was issued as a change order.</t>
  </si>
  <si>
    <t>BRUN-37</t>
  </si>
  <si>
    <t>16541</t>
  </si>
  <si>
    <t>Jams + Stark LLC</t>
  </si>
  <si>
    <t>2025-12-23</t>
  </si>
  <si>
    <t>66</t>
  </si>
  <si>
    <t>BRUN-66</t>
  </si>
  <si>
    <t>16666</t>
  </si>
  <si>
    <t>2026-03-23</t>
  </si>
  <si>
    <t>BRUN-8</t>
  </si>
  <si>
    <t>16642</t>
  </si>
  <si>
    <t>2026-02-17</t>
  </si>
  <si>
    <t>Druid Oaks</t>
  </si>
  <si>
    <t>DO-155</t>
  </si>
  <si>
    <t>16543</t>
  </si>
  <si>
    <t>2025-12-30</t>
  </si>
  <si>
    <t>2026-05-21</t>
  </si>
  <si>
    <t>[CAPEX docs] Comprehensive rehab to rent-ready by Jams + Stark (est. $14,400; billed $15,500 via invoice 1232). Exterior: replace both steps, replace entire skirting, siding repairs and trim, install exterior lights. Interior: full demolition incl. old flooring, paint walls/trim with patching, clean cabinets, repair ceilings/drywall/wall surfaces, repair rotten main flooring areas. Install new LVT throughout ($4,000 of budget). Replace front door + jamb (with paint) and multiple broken windows. Four new smoke detectors + new lights/bulbs. Final cleaning. No major HVAC/plumbing/electrical beyond lighting; appliances not specified.</t>
  </si>
  <si>
    <t>DO-22</t>
  </si>
  <si>
    <t>16641</t>
  </si>
  <si>
    <t>2026-06-06</t>
  </si>
  <si>
    <t>[CAPEX docs] Remodel of 14.5ft x 57ft home. Exterior: pressure wash, repair siding and skirting, replace front and back steps. Interior: full cleanout, interior painting, sheetrock touch-ups. Flooring: install 900 sq ft new LVP (materials client-provided). Excludes hidden electrical/plumbing/water damage.</t>
  </si>
  <si>
    <t>DO-41</t>
  </si>
  <si>
    <t>16640</t>
  </si>
  <si>
    <t>[CAPEX docs] Small-scope rehab of 14.5ft x 57ft home (est. $1,150). Limited punch-list level work; detailed line items image-only.</t>
  </si>
  <si>
    <t>Parkwood</t>
  </si>
  <si>
    <t>PARK-12</t>
  </si>
  <si>
    <t>16478</t>
  </si>
  <si>
    <t>2026-07-13</t>
  </si>
  <si>
    <t>PARK-16</t>
  </si>
  <si>
    <t>2026-02-11</t>
  </si>
  <si>
    <t>2026-03-10</t>
  </si>
  <si>
    <t>[CAPEX docs] Rehab by Jams + Stark (kickoff/closeout est. $8,900; billed $9,000 invoice 1226, Net 30). Closeout signed; deliverables complete (kickoff Feb 11, implementation Feb 23). Standard Jams + Stark refurb scope: exterior pressure wash and skirting/window repair, interior demo, paint, flooring (LVT/LVP), light fixtures and smoke detectors, cabinet/sink cleaning, professional rent-ready clean.</t>
  </si>
  <si>
    <t>ISSUE #; John Clark; Mark</t>
  </si>
  <si>
    <t>PARK-41</t>
  </si>
  <si>
    <t>16479</t>
  </si>
  <si>
    <t>PARK-45</t>
  </si>
  <si>
    <t>16480</t>
  </si>
  <si>
    <t>PARK-54</t>
  </si>
  <si>
    <t>16481</t>
  </si>
  <si>
    <t>PARK-63</t>
  </si>
  <si>
    <t>16482</t>
  </si>
  <si>
    <t>Shady Acres</t>
  </si>
  <si>
    <t>SA-101</t>
  </si>
  <si>
    <t>16547</t>
  </si>
  <si>
    <t>104</t>
  </si>
  <si>
    <t>SA-104</t>
  </si>
  <si>
    <t>16546</t>
  </si>
  <si>
    <t>167</t>
  </si>
  <si>
    <t>SA-167</t>
  </si>
  <si>
    <t>16649</t>
  </si>
  <si>
    <t>2026-02-18</t>
  </si>
  <si>
    <t>246</t>
  </si>
  <si>
    <t>SA-246</t>
  </si>
  <si>
    <t>ISSUE #; John Clark; Mark; Melanie</t>
  </si>
  <si>
    <t>Silver Hill</t>
  </si>
  <si>
    <t>SH-103</t>
  </si>
  <si>
    <t>Jams + Stark LLC (wade)</t>
  </si>
  <si>
    <t>2025-11-11</t>
  </si>
  <si>
    <t>2025-11-18</t>
  </si>
  <si>
    <t>[CAPEX docs] Rehab by Jams + Stark (Wade), final invoice 1207 billed $11,714.00. Folder marked complete (archived). Detailed line items image-only; consistent with Jams + Stark refurb scope (exterior pressure wash/skirting, interior demo, paint, flooring, lighting, smoke detectors, professional clean).</t>
  </si>
  <si>
    <t>Pre-fill Log v8 — auto-extracted from signed CAPEX/REHAB docs + invoices (verify)</t>
  </si>
  <si>
    <t>Estimate → Actual variances (from invoices):</t>
  </si>
  <si>
    <t>Auburn Ridge 132a</t>
  </si>
  <si>
    <t>est 38549.25</t>
  </si>
  <si>
    <t>actual 4274.25</t>
  </si>
  <si>
    <t>Auburn Ridge 136b</t>
  </si>
  <si>
    <t>est 43792.21</t>
  </si>
  <si>
    <t>actual 44306.66</t>
  </si>
  <si>
    <t>Auburn Ridge 151a</t>
  </si>
  <si>
    <t>est 41460.0</t>
  </si>
  <si>
    <t>actual 47009.48</t>
  </si>
  <si>
    <t>Druid Oaks 155</t>
  </si>
  <si>
    <t>est 14400.0</t>
  </si>
  <si>
    <t>actual 15500</t>
  </si>
  <si>
    <t>Fox Creek 27</t>
  </si>
  <si>
    <t>est 9000.0</t>
  </si>
  <si>
    <t>actual 13700</t>
  </si>
  <si>
    <t>Brunswick 21 Gressel</t>
  </si>
  <si>
    <t>est 4800</t>
  </si>
  <si>
    <t>actual 4285</t>
  </si>
  <si>
    <t>Conflicts (tracker had a different value; not overwritten):</t>
  </si>
  <si>
    <t>Brunswick 37</t>
  </si>
  <si>
    <t>Brunswick 66</t>
  </si>
  <si>
    <t>Brunswick 8</t>
  </si>
  <si>
    <t>Druid Oaks 22</t>
  </si>
  <si>
    <t>Druid Oaks 41</t>
  </si>
  <si>
    <t>Shady Acres 101</t>
  </si>
  <si>
    <t>Shady Acres 104</t>
  </si>
  <si>
    <t>Shady Acres 167</t>
  </si>
  <si>
    <t>Final Cost</t>
  </si>
  <si>
    <t>40300.0</t>
  </si>
  <si>
    <t>4285</t>
  </si>
  <si>
    <t>Brunswick 155 Robarts</t>
  </si>
  <si>
    <t>Belle Haven 16</t>
  </si>
  <si>
    <t>8106</t>
  </si>
  <si>
    <t>8106.6</t>
  </si>
  <si>
    <t>Belle Haven 78</t>
  </si>
  <si>
    <t>Whispering Pines 4885 Clover Lane</t>
  </si>
  <si>
    <t>2026-06-05</t>
  </si>
  <si>
    <t>21919</t>
  </si>
  <si>
    <t>28999</t>
  </si>
  <si>
    <t>Whispering Pines 4925 Clover Lane</t>
  </si>
  <si>
    <t>Whispering Pines 5085 Clover Lane</t>
  </si>
  <si>
    <t>20744.4</t>
  </si>
  <si>
    <t>20144.4</t>
  </si>
  <si>
    <t>Whispering Pines 353 Daisy Lane</t>
  </si>
  <si>
    <t>Whispering Pines 359 Daisy Lane</t>
  </si>
  <si>
    <t>Central C15</t>
  </si>
  <si>
    <t>Not matched / bundles (manual):</t>
  </si>
  <si>
    <t>American 22</t>
  </si>
  <si>
    <t>Brunswick 153 Robarts (sfh)</t>
  </si>
  <si>
    <t>Belle Haven Siding Bundle (lots Inc. 16, 25, 26, 27, 28, 33, 57)</t>
  </si>
  <si>
    <t>Whispering Pines Fl Lots 354d / 358l / 359l / 4700p (bundle)</t>
  </si>
  <si>
    <t>Whispering Pines Fl Siding Bundle (4885/4925/5085 Clover, 353/359 Daisy, Etc.)</t>
  </si>
  <si>
    <t>Silver Breeze Siding Package (community-wide)</t>
  </si>
  <si>
    <t>High Pace (program-level) All Florida Rehab (59 Homes) — Initial Allotment</t>
  </si>
  <si>
    <t>Cells pre-filled: 265</t>
  </si>
  <si>
    <t>12921</t>
  </si>
  <si>
    <t>4274.25</t>
  </si>
  <si>
    <t>Scope/Notes</t>
  </si>
  <si>
    <t>(detail added)</t>
  </si>
  <si>
    <t>11552</t>
  </si>
  <si>
    <t>44306.66</t>
  </si>
  <si>
    <t>9220</t>
  </si>
  <si>
    <t>47009.48</t>
  </si>
  <si>
    <t>Brunswick 155</t>
  </si>
  <si>
    <t>11611</t>
  </si>
  <si>
    <t>96400.0</t>
  </si>
  <si>
    <t>Brunswick 21</t>
  </si>
  <si>
    <t>9159</t>
  </si>
  <si>
    <t>11592</t>
  </si>
  <si>
    <t>10600.0</t>
  </si>
  <si>
    <t>14749</t>
  </si>
  <si>
    <t>1950.0</t>
  </si>
  <si>
    <t>12984</t>
  </si>
  <si>
    <t>11685.0</t>
  </si>
  <si>
    <t>11626</t>
  </si>
  <si>
    <t>15500</t>
  </si>
  <si>
    <t>13872</t>
  </si>
  <si>
    <t>6375.0</t>
  </si>
  <si>
    <t>13874</t>
  </si>
  <si>
    <t>1150.0</t>
  </si>
  <si>
    <t>Fox Creek 103</t>
  </si>
  <si>
    <t>13072</t>
  </si>
  <si>
    <t>2025-12-08</t>
  </si>
  <si>
    <t>2025-12-22</t>
  </si>
  <si>
    <t>9000.0</t>
  </si>
  <si>
    <t>Fox Creek 121</t>
  </si>
  <si>
    <t>13263</t>
  </si>
  <si>
    <t>2025-12-10</t>
  </si>
  <si>
    <t>2026-01-30</t>
  </si>
  <si>
    <t>13269</t>
  </si>
  <si>
    <t>13700</t>
  </si>
  <si>
    <t>Fox Creek 32</t>
  </si>
  <si>
    <t>13257</t>
  </si>
  <si>
    <t>2026-01-21</t>
  </si>
  <si>
    <t>Fox Creek 35</t>
  </si>
  <si>
    <t>13271</t>
  </si>
  <si>
    <t>2026-04-22</t>
  </si>
  <si>
    <t>Fox Creek 39</t>
  </si>
  <si>
    <t>13273</t>
  </si>
  <si>
    <t>2026-02-03</t>
  </si>
  <si>
    <t>Fox Creek 45</t>
  </si>
  <si>
    <t>13261</t>
  </si>
  <si>
    <t>2026-03-17</t>
  </si>
  <si>
    <t>9000</t>
  </si>
  <si>
    <t>Fox Creek 60</t>
  </si>
  <si>
    <t>13275</t>
  </si>
  <si>
    <t>2026-02-25</t>
  </si>
  <si>
    <t>Fox Creek 74</t>
  </si>
  <si>
    <t>13277</t>
  </si>
  <si>
    <t>Fox Creek 88</t>
  </si>
  <si>
    <t>13471</t>
  </si>
  <si>
    <t>2026-01-12</t>
  </si>
  <si>
    <t>Fox Creek 90</t>
  </si>
  <si>
    <t>16527</t>
  </si>
  <si>
    <t>11634</t>
  </si>
  <si>
    <t>2025-12-11</t>
  </si>
  <si>
    <t>Parkwood 16</t>
  </si>
  <si>
    <t>16635</t>
  </si>
  <si>
    <t>13459</t>
  </si>
  <si>
    <t>11754</t>
  </si>
  <si>
    <t>11400.0</t>
  </si>
  <si>
    <t>11758</t>
  </si>
  <si>
    <t>13597</t>
  </si>
  <si>
    <t>1600.0</t>
  </si>
  <si>
    <t>Silver Hill 103</t>
  </si>
  <si>
    <t>16493</t>
  </si>
  <si>
    <t>11337</t>
  </si>
  <si>
    <t>11714</t>
  </si>
  <si>
    <t>Belle Haven 5</t>
  </si>
  <si>
    <t>Belle Haven 18</t>
  </si>
  <si>
    <t>Belle Haven 30a</t>
  </si>
  <si>
    <t>Belle Haven 33</t>
  </si>
  <si>
    <t>Belle Haven 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</si>
</sst>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yy"/>
    <numFmt numFmtId="165" formatCode="\$#,##0"/>
    <numFmt numFmtId="166" formatCode="yyyy\-mm\-dd;@"/>
    <numFmt numFmtId="167" formatCode="&quot;$&quot;#,##0.00"/>
  </numFmts>
  <fonts count="25" x14ac:knownFonts="1">
    <font>
      <sz val="11"/>
      <color theme="1"/>
      <name val="Calibri"/>
      <family val="2"/>
      <charset val="1"/>
    </font>
    <font>
      <b/>
      <sz val="16"/>
      <color rgb="FF1F3644"/>
      <name val="Arial"/>
      <family val="2"/>
    </font>
    <font>
      <i/>
      <sz val="10"/>
      <color rgb="FF666666"/>
      <name val="Arial"/>
      <family val="2"/>
    </font>
    <font>
      <b/>
      <sz val="12"/>
      <color rgb="FF1F3644"/>
      <name val="Arial"/>
      <family val="2"/>
    </font>
    <font>
      <b/>
      <sz val="10"/>
      <name val="Arial"/>
      <family val="2"/>
    </font>
    <font>
      <sz val="10"/>
      <name val="Arial"/>
      <family val="2"/>
    </font>
    <font>
      <b/>
      <sz val="11"/>
      <color rgb="FF1B5E86"/>
      <name val="Arial"/>
      <family val="2"/>
    </font>
    <font>
      <sz val="10"/>
      <color rgb="FF1B5E86"/>
      <name val="Arial"/>
      <family val="2"/>
    </font>
    <font>
      <b/>
      <sz val="11"/>
      <color rgb="FF5B3A86"/>
      <name val="Arial"/>
      <family val="2"/>
    </font>
    <font>
      <sz val="10"/>
      <color rgb="FF4A2E70"/>
      <name val="Arial"/>
      <family val="2"/>
    </font>
    <font>
      <b/>
      <sz val="11"/>
      <color rgb="FF1F3644"/>
      <name val="Arial"/>
      <family val="2"/>
    </font>
    <font>
      <i/>
      <sz val="10"/>
      <name val="Arial"/>
      <family val="2"/>
    </font>
    <font>
      <b/>
      <sz val="10"/>
      <color rgb="FF1F3644"/>
      <name val="Arial"/>
      <family val="2"/>
    </font>
    <font>
      <b/>
      <sz val="9.5"/>
      <color rgb="FFFFFFFF"/>
      <name val="Arial"/>
      <family val="2"/>
    </font>
    <font>
      <sz val="9.5"/>
      <name val="Arial"/>
      <family val="2"/>
    </font>
    <font>
      <sz val="8.5"/>
      <color rgb="FF555555"/>
      <name val="Arial"/>
      <family val="2"/>
    </font>
    <font>
      <b/>
      <sz val="11"/>
      <name val="Calibri"/>
      <family val="2"/>
    </font>
    <font>
      <b/>
      <sz val="13"/>
      <color rgb="FF1F3864"/>
      <name val="Calibri"/>
      <family val="2"/>
    </font>
    <font>
      <b/>
      <sz val="11"/>
      <color rgb="FFB00000"/>
      <name val="Calibri"/>
      <family val="2"/>
    </font>
    <font>
      <sz val="8"/>
      <name val="Calibri"/>
      <family val="2"/>
      <charset val="1"/>
    </font>
    <font>
      <sz val="16"/>
      <color rgb="FF000000"/>
      <name val="Arial"/>
      <family val="2"/>
    </font>
    <font>
      <sz val="16"/>
      <color theme="0"/>
      <name val="Arial"/>
      <family val="2"/>
    </font>
    <font>
      <sz val="16"/>
      <color rgb="FF000000"/>
      <name val="Calibri"/>
      <family val="2"/>
      <charset val="1"/>
    </font>
    <font>
      <sz val="16"/>
      <color rgb="FF000000"/>
      <name val="Arial"/>
      <family val="2"/>
    </font>
    <font>
      <b/>
      <sz val="16"/>
      <color rgb="FF00B050"/>
      <name val="Arial"/>
      <family val="2"/>
    </font>
  </fonts>
  <fills count="35">
    <fill>
      <patternFill patternType="none"/>
    </fill>
    <fill>
      <patternFill patternType="gray125"/>
    </fill>
    <fill>
      <patternFill patternType="solid">
        <fgColor rgb="FFFFE9A8"/>
        <bgColor rgb="FFFFF3D0"/>
      </patternFill>
    </fill>
    <fill>
      <patternFill patternType="solid">
        <fgColor rgb="FFF3D9F0"/>
        <bgColor rgb="FFE3D7F0"/>
      </patternFill>
    </fill>
    <fill>
      <patternFill patternType="solid">
        <fgColor rgb="FFE3D7F0"/>
        <bgColor rgb="FFF3D9F0"/>
      </patternFill>
    </fill>
    <fill>
      <patternFill patternType="solid">
        <fgColor rgb="FFD7F0DF"/>
        <bgColor rgb="FFD6E8F5"/>
      </patternFill>
    </fill>
    <fill>
      <patternFill patternType="solid">
        <fgColor rgb="FFD6E8F5"/>
        <bgColor rgb="FFD7F0DF"/>
      </patternFill>
    </fill>
    <fill>
      <patternFill patternType="solid">
        <fgColor rgb="FFEAF2F8"/>
        <bgColor rgb="FFF3F1EA"/>
      </patternFill>
    </fill>
    <fill>
      <patternFill patternType="solid">
        <fgColor rgb="FFF0EAF7"/>
        <bgColor rgb="FFEAF2F8"/>
      </patternFill>
    </fill>
    <fill>
      <patternFill patternType="solid">
        <fgColor rgb="FF1F3864"/>
        <bgColor rgb="FF1F3644"/>
      </patternFill>
    </fill>
    <fill>
      <patternFill patternType="solid">
        <fgColor rgb="FFF3F1EA"/>
        <bgColor rgb="FFEAF2F8"/>
      </patternFill>
    </fill>
    <fill>
      <patternFill patternType="solid">
        <fgColor rgb="FFF3D9F0"/>
        <bgColor rgb="FFF3D9F0"/>
      </patternFill>
    </fill>
    <fill>
      <patternFill patternType="solid">
        <fgColor rgb="FFFFE9A8"/>
        <bgColor rgb="FFFFE9A8"/>
      </patternFill>
    </fill>
    <fill>
      <patternFill patternType="solid">
        <fgColor rgb="FFB8E2D8"/>
        <bgColor rgb="FFB8E2D8"/>
      </patternFill>
    </fill>
    <fill>
      <patternFill patternType="solid">
        <fgColor rgb="FFF6C7C7"/>
      </patternFill>
    </fill>
    <fill>
      <patternFill patternType="solid">
        <fgColor rgb="FFFFC000"/>
        <bgColor rgb="FFEAF2F8"/>
      </patternFill>
    </fill>
    <fill>
      <patternFill patternType="solid">
        <fgColor rgb="FF00B0F0"/>
        <bgColor rgb="FFEAF2F8"/>
      </patternFill>
    </fill>
    <fill>
      <patternFill patternType="solid">
        <fgColor rgb="FF92D050"/>
        <bgColor indexed="64"/>
      </patternFill>
    </fill>
    <fill>
      <patternFill patternType="solid">
        <fgColor rgb="FF00B0F0"/>
        <bgColor indexed="64"/>
      </patternFill>
    </fill>
    <fill>
      <patternFill patternType="solid">
        <fgColor rgb="FFFF0000"/>
        <bgColor rgb="FFEAF2F8"/>
      </patternFill>
    </fill>
    <fill>
      <patternFill patternType="solid">
        <fgColor theme="2"/>
        <bgColor rgb="FFEAF2F8"/>
      </patternFill>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rgb="FFFF0000"/>
        <bgColor rgb="FFFFF3D0"/>
      </patternFill>
    </fill>
    <fill>
      <patternFill patternType="solid">
        <fgColor rgb="FFFF0000"/>
        <bgColor rgb="FFD6E8F5"/>
      </patternFill>
    </fill>
    <fill>
      <patternFill patternType="solid">
        <fgColor theme="0"/>
        <bgColor rgb="FFF3D9F0"/>
      </patternFill>
    </fill>
    <fill>
      <patternFill patternType="solid">
        <fgColor theme="0"/>
        <bgColor rgb="FFB8E2D8"/>
      </patternFill>
    </fill>
    <fill>
      <patternFill patternType="solid">
        <fgColor rgb="FFFF0000"/>
        <bgColor rgb="FFFFE9A8"/>
      </patternFill>
    </fill>
    <fill>
      <patternFill patternType="solid">
        <fgColor rgb="FFFF0000"/>
        <bgColor rgb="FFF3D9F0"/>
      </patternFill>
    </fill>
    <fill>
      <patternFill patternType="solid">
        <fgColor rgb="FF92D050"/>
        <bgColor rgb="FFEAF2F8"/>
      </patternFill>
    </fill>
    <fill>
      <patternFill patternType="solid">
        <fgColor rgb="FF92D050"/>
        <bgColor rgb="FFFFF3D0"/>
      </patternFill>
    </fill>
    <fill>
      <patternFill patternType="solid">
        <fgColor rgb="FF92D050"/>
        <bgColor rgb="FFFFE9A8"/>
      </patternFill>
    </fill>
    <fill>
      <patternFill patternType="solid">
        <fgColor rgb="FF92D050"/>
        <bgColor rgb="FFF3D9F0"/>
      </patternFill>
    </fill>
    <fill>
      <patternFill patternType="solid">
        <fgColor theme="2"/>
        <bgColor indexed="64"/>
      </patternFill>
    </fill>
  </fills>
  <borders count="5">
    <border>
      <left/>
      <right/>
      <top/>
      <bottom/>
      <diagonal/>
    </border>
    <border>
      <left style="thin">
        <color rgb="FFD9D5C8"/>
      </left>
      <right style="thin">
        <color rgb="FFD9D5C8"/>
      </right>
      <top style="thin">
        <color rgb="FFD9D5C8"/>
      </top>
      <bottom style="thin">
        <color rgb="FFD9D5C8"/>
      </bottom>
      <diagonal/>
    </border>
    <border>
      <left/>
      <right/>
      <top style="thin">
        <color rgb="FFD9D5C8"/>
      </top>
      <bottom style="thin">
        <color rgb="FFD9D5C8"/>
      </bottom>
      <diagonal/>
    </border>
    <border>
      <left/>
      <right style="thin">
        <color rgb="FFD9D5C8"/>
      </right>
      <top style="thin">
        <color rgb="FFD9D5C8"/>
      </top>
      <bottom style="thin">
        <color rgb="FFD9D5C8"/>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4" fillId="2" borderId="1" xfId="0" applyFont="1" applyFill="1" applyBorder="1" applyAlignment="1">
      <alignment horizontal="center"/>
    </xf>
    <xf numFmtId="0" fontId="4" fillId="3" borderId="1" xfId="0" applyFont="1" applyFill="1" applyBorder="1" applyAlignment="1">
      <alignment horizontal="center"/>
    </xf>
    <xf numFmtId="0" fontId="4" fillId="4" borderId="1" xfId="0" applyFont="1" applyFill="1" applyBorder="1" applyAlignment="1">
      <alignment horizontal="center"/>
    </xf>
    <xf numFmtId="0" fontId="4" fillId="5" borderId="1" xfId="0" applyFont="1" applyFill="1" applyBorder="1" applyAlignment="1">
      <alignment horizontal="center"/>
    </xf>
    <xf numFmtId="0" fontId="4" fillId="6" borderId="1" xfId="0" applyFont="1" applyFill="1" applyBorder="1" applyAlignment="1">
      <alignment horizontal="center"/>
    </xf>
    <xf numFmtId="0" fontId="6" fillId="0" borderId="0" xfId="0" applyFont="1"/>
    <xf numFmtId="0" fontId="8" fillId="0" borderId="0" xfId="0" applyFont="1"/>
    <xf numFmtId="0" fontId="10" fillId="0" borderId="0" xfId="0" applyFont="1"/>
    <xf numFmtId="0" fontId="5" fillId="0" borderId="0" xfId="0" applyFont="1"/>
    <xf numFmtId="0" fontId="13" fillId="9" borderId="1" xfId="0" applyFont="1" applyFill="1" applyBorder="1" applyAlignment="1">
      <alignment horizontal="center" vertical="center" wrapText="1"/>
    </xf>
    <xf numFmtId="0" fontId="14" fillId="10" borderId="1" xfId="0" applyFont="1" applyFill="1" applyBorder="1" applyAlignment="1">
      <alignment horizontal="center"/>
    </xf>
    <xf numFmtId="0" fontId="14" fillId="10" borderId="1" xfId="0" applyFont="1" applyFill="1" applyBorder="1" applyAlignment="1">
      <alignment horizontal="left" wrapText="1"/>
    </xf>
    <xf numFmtId="0" fontId="14" fillId="0" borderId="1" xfId="0" applyFont="1" applyBorder="1" applyAlignment="1">
      <alignment horizontal="center"/>
    </xf>
    <xf numFmtId="164" fontId="14" fillId="0" borderId="1" xfId="0" applyNumberFormat="1" applyFont="1" applyBorder="1" applyAlignment="1">
      <alignment horizontal="center"/>
    </xf>
    <xf numFmtId="165" fontId="14" fillId="0" borderId="1" xfId="0" applyNumberFormat="1" applyFont="1" applyBorder="1" applyAlignment="1">
      <alignment horizontal="center"/>
    </xf>
    <xf numFmtId="0" fontId="14" fillId="4" borderId="1" xfId="0" applyFont="1" applyFill="1" applyBorder="1" applyAlignment="1">
      <alignment horizontal="left" wrapText="1"/>
    </xf>
    <xf numFmtId="0" fontId="14" fillId="0" borderId="1" xfId="0" applyFont="1" applyBorder="1" applyAlignment="1">
      <alignment horizontal="left" wrapText="1"/>
    </xf>
    <xf numFmtId="0" fontId="15" fillId="0" borderId="1" xfId="0" applyFont="1" applyBorder="1" applyAlignment="1">
      <alignment vertical="center" wrapText="1"/>
    </xf>
    <xf numFmtId="164" fontId="14" fillId="5" borderId="1" xfId="0" applyNumberFormat="1" applyFont="1" applyFill="1" applyBorder="1" applyAlignment="1">
      <alignment horizontal="center"/>
    </xf>
    <xf numFmtId="0" fontId="14" fillId="3" borderId="1" xfId="0" applyFont="1" applyFill="1" applyBorder="1" applyAlignment="1">
      <alignment horizontal="center"/>
    </xf>
    <xf numFmtId="0" fontId="14" fillId="11" borderId="1" xfId="0" applyFont="1" applyFill="1" applyBorder="1" applyAlignment="1">
      <alignment horizontal="center"/>
    </xf>
    <xf numFmtId="164" fontId="14" fillId="11" borderId="1" xfId="0" applyNumberFormat="1" applyFont="1" applyFill="1" applyBorder="1" applyAlignment="1">
      <alignment horizontal="center"/>
    </xf>
    <xf numFmtId="165" fontId="14" fillId="11" borderId="1" xfId="0" applyNumberFormat="1" applyFont="1" applyFill="1" applyBorder="1" applyAlignment="1">
      <alignment horizontal="center"/>
    </xf>
    <xf numFmtId="0" fontId="16" fillId="0" borderId="0" xfId="0" applyFont="1"/>
    <xf numFmtId="0" fontId="14" fillId="12" borderId="1" xfId="0" applyFont="1" applyFill="1" applyBorder="1" applyAlignment="1">
      <alignment horizontal="center"/>
    </xf>
    <xf numFmtId="164" fontId="14" fillId="13" borderId="1" xfId="0" applyNumberFormat="1" applyFont="1" applyFill="1" applyBorder="1" applyAlignment="1">
      <alignment horizontal="center"/>
    </xf>
    <xf numFmtId="0" fontId="14" fillId="13" borderId="1" xfId="0" applyFont="1" applyFill="1" applyBorder="1" applyAlignment="1">
      <alignment horizontal="left" wrapText="1"/>
    </xf>
    <xf numFmtId="0" fontId="14" fillId="13" borderId="1" xfId="0" applyFont="1" applyFill="1" applyBorder="1" applyAlignment="1">
      <alignment horizontal="center"/>
    </xf>
    <xf numFmtId="0" fontId="0" fillId="13" borderId="0" xfId="0" applyFill="1"/>
    <xf numFmtId="165" fontId="14" fillId="13" borderId="1" xfId="0" applyNumberFormat="1" applyFont="1" applyFill="1" applyBorder="1" applyAlignment="1">
      <alignment horizontal="center"/>
    </xf>
    <xf numFmtId="0" fontId="17" fillId="0" borderId="0" xfId="0" applyFont="1"/>
    <xf numFmtId="0" fontId="18" fillId="0" borderId="0" xfId="0" applyFont="1"/>
    <xf numFmtId="0" fontId="0" fillId="14" borderId="0" xfId="0" applyFill="1"/>
    <xf numFmtId="0" fontId="20" fillId="0" borderId="4" xfId="0" applyFont="1" applyBorder="1"/>
    <xf numFmtId="0" fontId="20" fillId="30" borderId="4" xfId="0" applyFont="1" applyFill="1" applyBorder="1" applyAlignment="1">
      <alignment horizontal="center"/>
    </xf>
    <xf numFmtId="0" fontId="20" fillId="30" borderId="4" xfId="0" applyFont="1" applyFill="1" applyBorder="1" applyAlignment="1">
      <alignment horizontal="left" wrapText="1"/>
    </xf>
    <xf numFmtId="0" fontId="20" fillId="17" borderId="4" xfId="0" applyFont="1" applyFill="1" applyBorder="1" applyAlignment="1">
      <alignment horizontal="center"/>
    </xf>
    <xf numFmtId="164" fontId="20" fillId="17" borderId="4" xfId="0" applyNumberFormat="1" applyFont="1" applyFill="1" applyBorder="1" applyAlignment="1">
      <alignment horizontal="center"/>
    </xf>
    <xf numFmtId="167" fontId="20" fillId="17" borderId="4" xfId="0" applyNumberFormat="1" applyFont="1" applyFill="1" applyBorder="1" applyAlignment="1">
      <alignment horizontal="center"/>
    </xf>
    <xf numFmtId="0" fontId="20" fillId="31" borderId="4" xfId="0" applyFont="1" applyFill="1" applyBorder="1" applyAlignment="1">
      <alignment horizontal="center"/>
    </xf>
    <xf numFmtId="167" fontId="20" fillId="31" borderId="4" xfId="0" applyNumberFormat="1" applyFont="1" applyFill="1" applyBorder="1" applyAlignment="1">
      <alignment horizontal="center"/>
    </xf>
    <xf numFmtId="165" fontId="20" fillId="17" borderId="4" xfId="0" applyNumberFormat="1" applyFont="1" applyFill="1" applyBorder="1" applyAlignment="1">
      <alignment horizontal="center"/>
    </xf>
    <xf numFmtId="0" fontId="20" fillId="32" borderId="4" xfId="0" applyFont="1" applyFill="1" applyBorder="1" applyAlignment="1">
      <alignment horizontal="center"/>
    </xf>
    <xf numFmtId="0" fontId="20" fillId="33" borderId="4" xfId="0" applyFont="1" applyFill="1" applyBorder="1" applyAlignment="1">
      <alignment horizontal="left" wrapText="1"/>
    </xf>
    <xf numFmtId="0" fontId="20" fillId="17" borderId="4" xfId="0" applyFont="1" applyFill="1" applyBorder="1" applyAlignment="1">
      <alignment horizontal="left" wrapText="1"/>
    </xf>
    <xf numFmtId="0" fontId="20" fillId="17" borderId="4" xfId="0" applyFont="1" applyFill="1" applyBorder="1" applyAlignment="1">
      <alignment vertical="center" wrapText="1"/>
    </xf>
    <xf numFmtId="0" fontId="20" fillId="10" borderId="4" xfId="0" applyFont="1" applyFill="1" applyBorder="1" applyAlignment="1">
      <alignment horizontal="center"/>
    </xf>
    <xf numFmtId="0" fontId="20" fillId="10" borderId="4" xfId="0" applyFont="1" applyFill="1" applyBorder="1" applyAlignment="1">
      <alignment horizontal="left" wrapText="1"/>
    </xf>
    <xf numFmtId="0" fontId="20" fillId="0" borderId="4" xfId="0" applyFont="1" applyBorder="1" applyAlignment="1">
      <alignment horizontal="center"/>
    </xf>
    <xf numFmtId="0" fontId="20" fillId="2" borderId="4" xfId="0" applyFont="1" applyFill="1" applyBorder="1" applyAlignment="1">
      <alignment horizontal="center"/>
    </xf>
    <xf numFmtId="164" fontId="20" fillId="0" borderId="4" xfId="0" applyNumberFormat="1" applyFont="1" applyBorder="1" applyAlignment="1">
      <alignment horizontal="center"/>
    </xf>
    <xf numFmtId="167" fontId="20" fillId="0" borderId="4" xfId="0" applyNumberFormat="1" applyFont="1" applyBorder="1" applyAlignment="1">
      <alignment horizontal="center"/>
    </xf>
    <xf numFmtId="167" fontId="20" fillId="2" borderId="4" xfId="0" applyNumberFormat="1" applyFont="1" applyFill="1" applyBorder="1" applyAlignment="1">
      <alignment horizontal="center"/>
    </xf>
    <xf numFmtId="0" fontId="20" fillId="12" borderId="4" xfId="0" applyFont="1" applyFill="1" applyBorder="1" applyAlignment="1">
      <alignment horizontal="center"/>
    </xf>
    <xf numFmtId="0" fontId="20" fillId="0" borderId="4" xfId="0" applyFont="1" applyBorder="1" applyAlignment="1">
      <alignment horizontal="left" wrapText="1"/>
    </xf>
    <xf numFmtId="0" fontId="20" fillId="0" borderId="4" xfId="0" applyFont="1" applyBorder="1" applyAlignment="1">
      <alignment vertical="center" wrapText="1"/>
    </xf>
    <xf numFmtId="0" fontId="20" fillId="17" borderId="4" xfId="0" applyFont="1" applyFill="1" applyBorder="1"/>
    <xf numFmtId="164" fontId="20" fillId="5" borderId="4" xfId="0" applyNumberFormat="1" applyFont="1" applyFill="1" applyBorder="1" applyAlignment="1">
      <alignment horizontal="center"/>
    </xf>
    <xf numFmtId="0" fontId="20" fillId="19" borderId="4" xfId="0" applyFont="1" applyFill="1" applyBorder="1" applyAlignment="1">
      <alignment horizontal="center"/>
    </xf>
    <xf numFmtId="0" fontId="20" fillId="19" borderId="4" xfId="0" applyFont="1" applyFill="1" applyBorder="1" applyAlignment="1">
      <alignment horizontal="left" wrapText="1"/>
    </xf>
    <xf numFmtId="0" fontId="20" fillId="21" borderId="4" xfId="0" applyFont="1" applyFill="1" applyBorder="1" applyAlignment="1">
      <alignment horizontal="center"/>
    </xf>
    <xf numFmtId="0" fontId="20" fillId="24" borderId="4" xfId="0" applyFont="1" applyFill="1" applyBorder="1" applyAlignment="1">
      <alignment horizontal="center"/>
    </xf>
    <xf numFmtId="164" fontId="20" fillId="21" borderId="4" xfId="0" applyNumberFormat="1" applyFont="1" applyFill="1" applyBorder="1" applyAlignment="1">
      <alignment horizontal="center"/>
    </xf>
    <xf numFmtId="164" fontId="20" fillId="25" borderId="4" xfId="0" applyNumberFormat="1" applyFont="1" applyFill="1" applyBorder="1" applyAlignment="1">
      <alignment horizontal="center"/>
    </xf>
    <xf numFmtId="0" fontId="20" fillId="4" borderId="4" xfId="0" applyFont="1" applyFill="1" applyBorder="1" applyAlignment="1">
      <alignment horizontal="left" wrapText="1"/>
    </xf>
    <xf numFmtId="164" fontId="20" fillId="2" borderId="4" xfId="0" applyNumberFormat="1" applyFont="1" applyFill="1" applyBorder="1" applyAlignment="1">
      <alignment horizontal="center"/>
    </xf>
    <xf numFmtId="0" fontId="20" fillId="23" borderId="4" xfId="0" applyFont="1" applyFill="1" applyBorder="1" applyAlignment="1">
      <alignment horizontal="center"/>
    </xf>
    <xf numFmtId="0" fontId="20" fillId="23" borderId="4" xfId="0" applyFont="1" applyFill="1" applyBorder="1"/>
    <xf numFmtId="166" fontId="20" fillId="0" borderId="4" xfId="0" applyNumberFormat="1" applyFont="1" applyBorder="1" applyAlignment="1">
      <alignment horizontal="center" vertical="center"/>
    </xf>
    <xf numFmtId="167" fontId="20" fillId="0" borderId="4" xfId="0" applyNumberFormat="1" applyFont="1" applyBorder="1"/>
    <xf numFmtId="0" fontId="20" fillId="0" borderId="4" xfId="0" applyFont="1" applyBorder="1" applyAlignment="1">
      <alignment horizontal="center" vertical="center"/>
    </xf>
    <xf numFmtId="0" fontId="20" fillId="0" borderId="4" xfId="0" applyFont="1" applyBorder="1" applyAlignment="1">
      <alignment wrapText="1"/>
    </xf>
    <xf numFmtId="16" fontId="20" fillId="0" borderId="4" xfId="0" applyNumberFormat="1" applyFont="1" applyBorder="1"/>
    <xf numFmtId="0" fontId="20" fillId="16" borderId="4" xfId="0" applyFont="1" applyFill="1" applyBorder="1" applyAlignment="1">
      <alignment horizontal="center"/>
    </xf>
    <xf numFmtId="0" fontId="20" fillId="18" borderId="4" xfId="0" applyFont="1" applyFill="1" applyBorder="1" applyAlignment="1">
      <alignment horizontal="center"/>
    </xf>
    <xf numFmtId="0" fontId="20" fillId="26" borderId="4" xfId="0" applyFont="1" applyFill="1" applyBorder="1" applyAlignment="1">
      <alignment horizontal="center"/>
    </xf>
    <xf numFmtId="164" fontId="20" fillId="13" borderId="4" xfId="0" applyNumberFormat="1" applyFont="1" applyFill="1" applyBorder="1" applyAlignment="1">
      <alignment horizontal="center"/>
    </xf>
    <xf numFmtId="167" fontId="20" fillId="13" borderId="4" xfId="0" applyNumberFormat="1" applyFont="1" applyFill="1" applyBorder="1" applyAlignment="1">
      <alignment horizontal="center"/>
    </xf>
    <xf numFmtId="0" fontId="20" fillId="13" borderId="4" xfId="0" applyFont="1" applyFill="1" applyBorder="1" applyAlignment="1">
      <alignment horizontal="center"/>
    </xf>
    <xf numFmtId="0" fontId="20" fillId="13" borderId="4" xfId="0" applyFont="1" applyFill="1" applyBorder="1" applyAlignment="1">
      <alignment horizontal="left" wrapText="1"/>
    </xf>
    <xf numFmtId="0" fontId="20" fillId="13" borderId="4" xfId="0" applyFont="1" applyFill="1" applyBorder="1"/>
    <xf numFmtId="0" fontId="20" fillId="21" borderId="4" xfId="0" applyFont="1" applyFill="1" applyBorder="1" applyAlignment="1">
      <alignment horizontal="left" wrapText="1"/>
    </xf>
    <xf numFmtId="167" fontId="20" fillId="21" borderId="4" xfId="0" applyNumberFormat="1" applyFont="1" applyFill="1" applyBorder="1" applyAlignment="1">
      <alignment horizontal="center"/>
    </xf>
    <xf numFmtId="0" fontId="20" fillId="21" borderId="4" xfId="0" applyFont="1" applyFill="1" applyBorder="1" applyAlignment="1">
      <alignment vertical="center" wrapText="1"/>
    </xf>
    <xf numFmtId="0" fontId="20" fillId="21" borderId="4" xfId="0" applyFont="1" applyFill="1" applyBorder="1"/>
    <xf numFmtId="0" fontId="20" fillId="27" borderId="4" xfId="0" applyFont="1" applyFill="1" applyBorder="1" applyAlignment="1">
      <alignment horizontal="center"/>
    </xf>
    <xf numFmtId="0" fontId="20" fillId="20" borderId="4" xfId="0" applyFont="1" applyFill="1" applyBorder="1" applyAlignment="1">
      <alignment horizontal="center"/>
    </xf>
    <xf numFmtId="0" fontId="20" fillId="22" borderId="4" xfId="0" applyFont="1" applyFill="1" applyBorder="1" applyAlignment="1">
      <alignment horizontal="center"/>
    </xf>
    <xf numFmtId="167" fontId="20" fillId="24" borderId="4" xfId="0" applyNumberFormat="1" applyFont="1" applyFill="1" applyBorder="1" applyAlignment="1">
      <alignment horizontal="center"/>
    </xf>
    <xf numFmtId="0" fontId="20" fillId="28" borderId="4" xfId="0" applyFont="1" applyFill="1" applyBorder="1" applyAlignment="1">
      <alignment horizontal="center"/>
    </xf>
    <xf numFmtId="0" fontId="20" fillId="29" borderId="4" xfId="0" applyFont="1" applyFill="1" applyBorder="1" applyAlignment="1">
      <alignment horizontal="left" wrapText="1"/>
    </xf>
    <xf numFmtId="0" fontId="20" fillId="15" borderId="4" xfId="0" applyFont="1" applyFill="1" applyBorder="1" applyAlignment="1">
      <alignment horizontal="center"/>
    </xf>
    <xf numFmtId="166" fontId="20" fillId="2" borderId="4" xfId="0" applyNumberFormat="1" applyFont="1" applyFill="1" applyBorder="1" applyAlignment="1">
      <alignment horizontal="center" vertical="center"/>
    </xf>
    <xf numFmtId="0" fontId="21" fillId="9" borderId="4" xfId="0" applyFont="1" applyFill="1" applyBorder="1" applyAlignment="1">
      <alignment horizontal="center" vertical="center" wrapText="1"/>
    </xf>
    <xf numFmtId="167" fontId="21" fillId="9" borderId="4" xfId="0" applyNumberFormat="1" applyFont="1" applyFill="1" applyBorder="1" applyAlignment="1">
      <alignment horizontal="center" vertical="center" wrapText="1"/>
    </xf>
    <xf numFmtId="0" fontId="21" fillId="0" borderId="4" xfId="0" applyFont="1" applyBorder="1"/>
    <xf numFmtId="0" fontId="22" fillId="17" borderId="4" xfId="0" applyFont="1" applyFill="1" applyBorder="1"/>
    <xf numFmtId="16" fontId="22" fillId="17" borderId="4" xfId="0" applyNumberFormat="1" applyFont="1" applyFill="1" applyBorder="1"/>
    <xf numFmtId="167" fontId="22" fillId="17" borderId="4" xfId="0" applyNumberFormat="1" applyFont="1" applyFill="1" applyBorder="1"/>
    <xf numFmtId="0" fontId="23" fillId="17" borderId="4" xfId="0" applyFont="1" applyFill="1" applyBorder="1" applyAlignment="1">
      <alignment horizontal="left" wrapText="1"/>
    </xf>
    <xf numFmtId="0" fontId="24" fillId="0" borderId="4" xfId="0" applyFont="1" applyBorder="1"/>
    <xf numFmtId="0" fontId="20" fillId="34" borderId="4" xfId="0" applyFont="1" applyFill="1" applyBorder="1" applyAlignment="1">
      <alignment horizontal="center"/>
    </xf>
    <xf numFmtId="0" fontId="20" fillId="34" borderId="4" xfId="0" applyFont="1" applyFill="1" applyBorder="1"/>
    <xf numFmtId="0" fontId="20" fillId="34" borderId="4" xfId="0" applyFont="1" applyFill="1" applyBorder="1" applyAlignment="1">
      <alignment horizontal="right"/>
    </xf>
    <xf numFmtId="0" fontId="11" fillId="0" borderId="0" xfId="0" applyFont="1" applyAlignment="1">
      <alignment vertical="center" wrapText="1"/>
    </xf>
    <xf numFmtId="0" fontId="0" fillId="0" borderId="0" xfId="0"/>
    <xf numFmtId="0" fontId="5" fillId="0" borderId="0" xfId="0" applyFont="1" applyAlignment="1">
      <alignment vertical="center" wrapText="1"/>
    </xf>
    <xf numFmtId="0" fontId="7" fillId="7" borderId="1" xfId="0" applyFont="1" applyFill="1" applyBorder="1" applyAlignment="1">
      <alignment vertical="center" wrapText="1"/>
    </xf>
    <xf numFmtId="0" fontId="0" fillId="0" borderId="2" xfId="0" applyBorder="1"/>
    <xf numFmtId="0" fontId="0" fillId="0" borderId="3" xfId="0" applyBorder="1"/>
    <xf numFmtId="0" fontId="9" fillId="8" borderId="1" xfId="0" applyFont="1" applyFill="1" applyBorder="1" applyAlignment="1">
      <alignment vertical="center" wrapText="1"/>
    </xf>
    <xf numFmtId="0" fontId="12" fillId="3"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5C8"/>
      <rgbColor rgb="FF808080"/>
      <rgbColor rgb="FF9999FF"/>
      <rgbColor rgb="FF5B3A86"/>
      <rgbColor rgb="FFFFF3D0"/>
      <rgbColor rgb="FFD6E8F5"/>
      <rgbColor rgb="FF660066"/>
      <rgbColor rgb="FFFF8080"/>
      <rgbColor rgb="FF1B5E86"/>
      <rgbColor rgb="FFE3D7F0"/>
      <rgbColor rgb="FF000080"/>
      <rgbColor rgb="FFFF00FF"/>
      <rgbColor rgb="FFFFFF00"/>
      <rgbColor rgb="FF00FFFF"/>
      <rgbColor rgb="FF800080"/>
      <rgbColor rgb="FF800000"/>
      <rgbColor rgb="FF008080"/>
      <rgbColor rgb="FF0000FF"/>
      <rgbColor rgb="FF00CCFF"/>
      <rgbColor rgb="FFEAF2F8"/>
      <rgbColor rgb="FFD7F0DF"/>
      <rgbColor rgb="FFFFE9A8"/>
      <rgbColor rgb="FFF0EAF7"/>
      <rgbColor rgb="FFF3F1EA"/>
      <rgbColor rgb="FFCC99FF"/>
      <rgbColor rgb="FFF3D9F0"/>
      <rgbColor rgb="FF3366FF"/>
      <rgbColor rgb="FF33CCCC"/>
      <rgbColor rgb="FF99CC00"/>
      <rgbColor rgb="FFFFCC00"/>
      <rgbColor rgb="FFFF9900"/>
      <rgbColor rgb="FFFF6600"/>
      <rgbColor rgb="FF666666"/>
      <rgbColor rgb="FF969696"/>
      <rgbColor rgb="FF1F3864"/>
      <rgbColor rgb="FF339966"/>
      <rgbColor rgb="FF003300"/>
      <rgbColor rgb="FF555555"/>
      <rgbColor rgb="FF993300"/>
      <rgbColor rgb="FF993366"/>
      <rgbColor rgb="FF4A2E70"/>
      <rgbColor rgb="FF1F36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6"/>
  <sheetViews>
    <sheetView zoomScaleNormal="100" workbookViewId="0"/>
  </sheetViews>
  <sheetFormatPr defaultColWidth="8.7109375" defaultRowHeight="15" x14ac:dyDescent="0.25"/>
  <cols>
    <col min="1" max="1" width="14" customWidth="1"/>
    <col min="2" max="2" width="30" customWidth="1"/>
    <col min="3" max="3" width="70" customWidth="1"/>
  </cols>
  <sheetData>
    <row r="1" spans="1:3" ht="19.899999999999999" customHeight="1" x14ac:dyDescent="0.3">
      <c r="A1" s="1" t="s">
        <v>0</v>
      </c>
    </row>
    <row r="2" spans="1:3" ht="15" customHeight="1" x14ac:dyDescent="0.25">
      <c r="A2" s="2" t="s">
        <v>1</v>
      </c>
    </row>
    <row r="4" spans="1:3" ht="15" customHeight="1" x14ac:dyDescent="0.25">
      <c r="A4" s="3" t="s">
        <v>2</v>
      </c>
    </row>
    <row r="5" spans="1:3" ht="30" customHeight="1" x14ac:dyDescent="0.25">
      <c r="A5" s="4" t="s">
        <v>3</v>
      </c>
      <c r="B5" s="111" t="s">
        <v>4</v>
      </c>
      <c r="C5" s="110"/>
    </row>
    <row r="6" spans="1:3" ht="30" customHeight="1" x14ac:dyDescent="0.25">
      <c r="A6" s="4" t="s">
        <v>5</v>
      </c>
      <c r="B6" s="111" t="s">
        <v>6</v>
      </c>
      <c r="C6" s="110"/>
    </row>
    <row r="8" spans="1:3" ht="15" customHeight="1" x14ac:dyDescent="0.25">
      <c r="A8" s="3" t="s">
        <v>7</v>
      </c>
    </row>
    <row r="9" spans="1:3" ht="24" customHeight="1" x14ac:dyDescent="0.25">
      <c r="A9" s="5" t="s">
        <v>8</v>
      </c>
      <c r="B9" s="111" t="s">
        <v>9</v>
      </c>
      <c r="C9" s="110"/>
    </row>
    <row r="10" spans="1:3" ht="24" customHeight="1" x14ac:dyDescent="0.25">
      <c r="A10" s="6" t="s">
        <v>10</v>
      </c>
      <c r="B10" s="111" t="s">
        <v>11</v>
      </c>
      <c r="C10" s="110"/>
    </row>
    <row r="11" spans="1:3" ht="24" customHeight="1" x14ac:dyDescent="0.25">
      <c r="A11" s="7" t="s">
        <v>12</v>
      </c>
      <c r="B11" s="111" t="s">
        <v>13</v>
      </c>
      <c r="C11" s="110"/>
    </row>
    <row r="12" spans="1:3" ht="24" customHeight="1" x14ac:dyDescent="0.25">
      <c r="A12" s="8" t="s">
        <v>14</v>
      </c>
      <c r="B12" s="111" t="s">
        <v>15</v>
      </c>
      <c r="C12" s="110"/>
    </row>
    <row r="13" spans="1:3" ht="24" customHeight="1" x14ac:dyDescent="0.25">
      <c r="A13" s="9" t="s">
        <v>16</v>
      </c>
      <c r="B13" s="111" t="s">
        <v>17</v>
      </c>
      <c r="C13" s="110"/>
    </row>
    <row r="15" spans="1:3" ht="15" customHeight="1" x14ac:dyDescent="0.25">
      <c r="A15" s="10" t="s">
        <v>18</v>
      </c>
    </row>
    <row r="16" spans="1:3" ht="39.75" customHeight="1" x14ac:dyDescent="0.25">
      <c r="A16" s="112" t="s">
        <v>19</v>
      </c>
      <c r="B16" s="113"/>
      <c r="C16" s="114"/>
    </row>
    <row r="18" spans="1:3" ht="15" customHeight="1" x14ac:dyDescent="0.25">
      <c r="A18" s="11" t="s">
        <v>20</v>
      </c>
    </row>
    <row r="19" spans="1:3" ht="43.5" customHeight="1" x14ac:dyDescent="0.25">
      <c r="A19" s="115" t="s">
        <v>21</v>
      </c>
      <c r="B19" s="113"/>
      <c r="C19" s="114"/>
    </row>
    <row r="21" spans="1:3" ht="15" customHeight="1" x14ac:dyDescent="0.25">
      <c r="A21" s="12" t="s">
        <v>22</v>
      </c>
    </row>
    <row r="22" spans="1:3" ht="15" customHeight="1" x14ac:dyDescent="0.25">
      <c r="A22" s="13" t="s">
        <v>23</v>
      </c>
      <c r="B22" s="109" t="s">
        <v>24</v>
      </c>
      <c r="C22" s="110"/>
    </row>
    <row r="23" spans="1:3" ht="15" customHeight="1" x14ac:dyDescent="0.25">
      <c r="A23" s="13" t="s">
        <v>23</v>
      </c>
      <c r="B23" s="109" t="s">
        <v>25</v>
      </c>
      <c r="C23" s="110"/>
    </row>
    <row r="24" spans="1:3" ht="15" customHeight="1" x14ac:dyDescent="0.25">
      <c r="A24" s="13" t="s">
        <v>23</v>
      </c>
      <c r="B24" s="109" t="s">
        <v>26</v>
      </c>
      <c r="C24" s="110"/>
    </row>
    <row r="25" spans="1:3" ht="15" customHeight="1" x14ac:dyDescent="0.25">
      <c r="A25" s="13" t="s">
        <v>23</v>
      </c>
      <c r="B25" s="109" t="s">
        <v>27</v>
      </c>
      <c r="C25" s="110"/>
    </row>
    <row r="26" spans="1:3" ht="15" customHeight="1" x14ac:dyDescent="0.25">
      <c r="A26" s="13" t="s">
        <v>23</v>
      </c>
      <c r="B26" s="109" t="s">
        <v>28</v>
      </c>
      <c r="C26" s="110"/>
    </row>
  </sheetData>
  <mergeCells count="14">
    <mergeCell ref="B5:C5"/>
    <mergeCell ref="B10:C10"/>
    <mergeCell ref="B23:C23"/>
    <mergeCell ref="B22:C22"/>
    <mergeCell ref="B13:C13"/>
    <mergeCell ref="B6:C6"/>
    <mergeCell ref="A19:C19"/>
    <mergeCell ref="B11:C11"/>
    <mergeCell ref="B26:C26"/>
    <mergeCell ref="B9:C9"/>
    <mergeCell ref="A16:C16"/>
    <mergeCell ref="B12:C12"/>
    <mergeCell ref="B25:C25"/>
    <mergeCell ref="B24:C24"/>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91"/>
  <sheetViews>
    <sheetView tabSelected="1" zoomScale="70" zoomScaleNormal="70" workbookViewId="0">
      <pane xSplit="3" ySplit="1" topLeftCell="X62" activePane="bottomRight" state="frozen"/>
      <selection pane="topRight"/>
      <selection pane="bottomLeft" activeCell="A3" sqref="A3"/>
      <selection pane="bottomRight" activeCell="A75" sqref="A75:XFD75"/>
    </sheetView>
  </sheetViews>
  <sheetFormatPr defaultColWidth="22.42578125" defaultRowHeight="37.5" customHeight="1" x14ac:dyDescent="0.3"/>
  <cols>
    <col min="1" max="1" width="22.42578125" style="38"/>
    <col min="2" max="2" width="90.5703125" style="38" customWidth="1"/>
    <col min="3" max="3" width="26.85546875" style="38" customWidth="1"/>
    <col min="4" max="4" width="42" style="38" customWidth="1"/>
    <col min="5" max="6" width="22.42578125" style="38"/>
    <col min="7" max="7" width="23.42578125" style="38" customWidth="1"/>
    <col min="8" max="8" width="22.42578125" style="38"/>
    <col min="9" max="9" width="26.5703125" style="38" customWidth="1"/>
    <col min="10" max="14" width="22.42578125" style="38"/>
    <col min="15" max="15" width="22.42578125" style="74"/>
    <col min="16" max="16" width="22.42578125" style="38"/>
    <col min="17" max="17" width="22.42578125" style="74"/>
    <col min="18" max="18" width="22.42578125" style="38"/>
    <col min="19" max="19" width="22.42578125" style="74"/>
    <col min="20" max="20" width="22.42578125" style="38"/>
    <col min="21" max="21" width="22.42578125" style="74"/>
    <col min="22" max="22" width="22.42578125" style="38"/>
    <col min="23" max="23" width="22.42578125" style="74"/>
    <col min="24" max="26" width="22.42578125" style="38"/>
    <col min="27" max="27" width="22.7109375" style="38" customWidth="1"/>
    <col min="28" max="28" width="30" style="38" customWidth="1"/>
    <col min="29" max="29" width="84.7109375" style="38" customWidth="1"/>
    <col min="30" max="16384" width="22.42578125" style="38"/>
  </cols>
  <sheetData>
    <row r="1" spans="1:31" s="100" customFormat="1" ht="37.5" customHeight="1" x14ac:dyDescent="0.3">
      <c r="A1" s="98" t="s">
        <v>29</v>
      </c>
      <c r="B1" s="98" t="s">
        <v>30</v>
      </c>
      <c r="C1" s="98" t="s">
        <v>31</v>
      </c>
      <c r="D1" s="98" t="s">
        <v>32</v>
      </c>
      <c r="E1" s="98" t="s">
        <v>33</v>
      </c>
      <c r="F1" s="98" t="s">
        <v>34</v>
      </c>
      <c r="G1" s="98" t="s">
        <v>35</v>
      </c>
      <c r="H1" s="98" t="s">
        <v>36</v>
      </c>
      <c r="I1" s="98" t="s">
        <v>37</v>
      </c>
      <c r="J1" s="98" t="s">
        <v>38</v>
      </c>
      <c r="K1" s="98" t="s">
        <v>39</v>
      </c>
      <c r="L1" s="98" t="s">
        <v>40</v>
      </c>
      <c r="M1" s="98" t="s">
        <v>41</v>
      </c>
      <c r="N1" s="98" t="s">
        <v>42</v>
      </c>
      <c r="O1" s="99" t="s">
        <v>43</v>
      </c>
      <c r="P1" s="98" t="s">
        <v>44</v>
      </c>
      <c r="Q1" s="99" t="s">
        <v>45</v>
      </c>
      <c r="R1" s="98" t="s">
        <v>46</v>
      </c>
      <c r="S1" s="99" t="s">
        <v>47</v>
      </c>
      <c r="T1" s="98" t="s">
        <v>48</v>
      </c>
      <c r="U1" s="99" t="s">
        <v>49</v>
      </c>
      <c r="V1" s="98" t="s">
        <v>50</v>
      </c>
      <c r="W1" s="99" t="s">
        <v>51</v>
      </c>
      <c r="X1" s="98" t="s">
        <v>52</v>
      </c>
      <c r="Y1" s="98" t="s">
        <v>53</v>
      </c>
      <c r="Z1" s="98" t="s">
        <v>54</v>
      </c>
      <c r="AA1" s="98" t="s">
        <v>55</v>
      </c>
      <c r="AB1" s="98" t="s">
        <v>56</v>
      </c>
      <c r="AC1" s="98" t="s">
        <v>57</v>
      </c>
      <c r="AD1" s="98" t="s">
        <v>58</v>
      </c>
      <c r="AE1" s="100" t="s">
        <v>59</v>
      </c>
    </row>
    <row r="2" spans="1:31" ht="37.5" customHeight="1" x14ac:dyDescent="0.3">
      <c r="A2" s="39">
        <v>1</v>
      </c>
      <c r="B2" s="40" t="s">
        <v>60</v>
      </c>
      <c r="C2" s="39" t="s">
        <v>61</v>
      </c>
      <c r="D2" s="39" t="s">
        <v>62</v>
      </c>
      <c r="E2" s="39" t="s">
        <v>3</v>
      </c>
      <c r="F2" s="39" t="s">
        <v>3</v>
      </c>
      <c r="G2" s="39" t="s">
        <v>63</v>
      </c>
      <c r="H2" s="41" t="s">
        <v>64</v>
      </c>
      <c r="I2" s="41" t="s">
        <v>65</v>
      </c>
      <c r="J2" s="41"/>
      <c r="K2" s="42">
        <v>46209</v>
      </c>
      <c r="L2" s="42">
        <v>46234</v>
      </c>
      <c r="M2" s="42">
        <v>46209</v>
      </c>
      <c r="N2" s="42">
        <v>46234</v>
      </c>
      <c r="O2" s="43">
        <v>20090.8</v>
      </c>
      <c r="P2" s="44" t="s">
        <v>66</v>
      </c>
      <c r="Q2" s="45">
        <v>7900</v>
      </c>
      <c r="R2" s="44" t="s">
        <v>67</v>
      </c>
      <c r="S2" s="45"/>
      <c r="T2" s="44" t="s">
        <v>66</v>
      </c>
      <c r="U2" s="45">
        <v>1500</v>
      </c>
      <c r="V2" s="41" t="s">
        <v>66</v>
      </c>
      <c r="W2" s="43">
        <v>4900</v>
      </c>
      <c r="X2" s="46">
        <f>SUM(O2, Q2, S2, U2, W2)</f>
        <v>34390.800000000003</v>
      </c>
      <c r="Y2" s="47" t="s">
        <v>66</v>
      </c>
      <c r="Z2" s="41" t="s">
        <v>66</v>
      </c>
      <c r="AA2" s="40" t="s">
        <v>68</v>
      </c>
      <c r="AB2" s="48" t="s">
        <v>69</v>
      </c>
      <c r="AC2" s="49" t="s">
        <v>70</v>
      </c>
      <c r="AD2" s="50" t="s">
        <v>71</v>
      </c>
    </row>
    <row r="3" spans="1:31" ht="37.5" customHeight="1" x14ac:dyDescent="0.3">
      <c r="A3" s="51">
        <v>2</v>
      </c>
      <c r="B3" s="52" t="s">
        <v>60</v>
      </c>
      <c r="C3" s="51" t="s">
        <v>72</v>
      </c>
      <c r="D3" s="51" t="s">
        <v>73</v>
      </c>
      <c r="E3" s="51" t="s">
        <v>3</v>
      </c>
      <c r="F3" s="51" t="s">
        <v>3</v>
      </c>
      <c r="G3" s="51" t="s">
        <v>74</v>
      </c>
      <c r="H3" s="53" t="s">
        <v>75</v>
      </c>
      <c r="I3" s="54" t="s">
        <v>65</v>
      </c>
      <c r="J3" s="53"/>
      <c r="K3" s="55">
        <v>46238</v>
      </c>
      <c r="L3" s="55">
        <v>46253</v>
      </c>
      <c r="M3" s="55">
        <v>46195</v>
      </c>
      <c r="N3" s="55"/>
      <c r="O3" s="56"/>
      <c r="P3" s="54"/>
      <c r="Q3" s="57"/>
      <c r="R3" s="54"/>
      <c r="S3" s="57"/>
      <c r="T3" s="54" t="s">
        <v>66</v>
      </c>
      <c r="U3" s="57"/>
      <c r="V3" s="53" t="s">
        <v>66</v>
      </c>
      <c r="W3" s="56"/>
      <c r="X3" s="46">
        <f t="shared" ref="X3:X4" si="0">SUM(O3, Q3, S3, U3, W3)</f>
        <v>0</v>
      </c>
      <c r="Y3" s="58" t="s">
        <v>66</v>
      </c>
      <c r="Z3" s="53" t="s">
        <v>66</v>
      </c>
      <c r="AA3" s="52" t="s">
        <v>76</v>
      </c>
      <c r="AB3" s="59" t="s">
        <v>77</v>
      </c>
      <c r="AC3" s="59"/>
      <c r="AD3" s="60" t="s">
        <v>3</v>
      </c>
    </row>
    <row r="4" spans="1:31" ht="37.5" customHeight="1" x14ac:dyDescent="0.3">
      <c r="A4" s="51">
        <v>3</v>
      </c>
      <c r="B4" s="52" t="s">
        <v>60</v>
      </c>
      <c r="C4" s="51" t="s">
        <v>78</v>
      </c>
      <c r="D4" s="51" t="s">
        <v>79</v>
      </c>
      <c r="E4" s="51" t="s">
        <v>3</v>
      </c>
      <c r="F4" s="51" t="s">
        <v>3</v>
      </c>
      <c r="G4" s="51" t="s">
        <v>74</v>
      </c>
      <c r="H4" s="53" t="s">
        <v>80</v>
      </c>
      <c r="I4" s="54" t="s">
        <v>81</v>
      </c>
      <c r="J4" s="53"/>
      <c r="K4" s="55">
        <v>46254</v>
      </c>
      <c r="L4" s="55">
        <v>46269</v>
      </c>
      <c r="M4" s="55">
        <v>46195</v>
      </c>
      <c r="N4" s="55"/>
      <c r="O4" s="56"/>
      <c r="P4" s="54"/>
      <c r="Q4" s="57"/>
      <c r="R4" s="54"/>
      <c r="S4" s="57"/>
      <c r="T4" s="54" t="s">
        <v>66</v>
      </c>
      <c r="U4" s="57"/>
      <c r="V4" s="53" t="s">
        <v>66</v>
      </c>
      <c r="W4" s="56"/>
      <c r="X4" s="46">
        <f t="shared" si="0"/>
        <v>0</v>
      </c>
      <c r="Y4" s="58" t="s">
        <v>66</v>
      </c>
      <c r="Z4" s="53" t="s">
        <v>66</v>
      </c>
      <c r="AA4" s="52" t="s">
        <v>76</v>
      </c>
      <c r="AB4" s="59" t="s">
        <v>77</v>
      </c>
      <c r="AC4" s="59"/>
      <c r="AD4" s="60" t="s">
        <v>3</v>
      </c>
    </row>
    <row r="5" spans="1:31" s="61" customFormat="1" ht="37.5" customHeight="1" x14ac:dyDescent="0.3">
      <c r="A5" s="41">
        <v>4</v>
      </c>
      <c r="B5" s="49" t="s">
        <v>60</v>
      </c>
      <c r="C5" s="41" t="s">
        <v>82</v>
      </c>
      <c r="D5" s="41" t="s">
        <v>83</v>
      </c>
      <c r="E5" s="41" t="s">
        <v>3</v>
      </c>
      <c r="F5" s="41" t="s">
        <v>3</v>
      </c>
      <c r="G5" s="41" t="s">
        <v>63</v>
      </c>
      <c r="H5" s="41" t="s">
        <v>84</v>
      </c>
      <c r="I5" s="41" t="s">
        <v>85</v>
      </c>
      <c r="J5" s="41"/>
      <c r="K5" s="42" t="s">
        <v>86</v>
      </c>
      <c r="L5" s="42" t="s">
        <v>87</v>
      </c>
      <c r="M5" s="42">
        <v>46183</v>
      </c>
      <c r="N5" s="42">
        <v>46192</v>
      </c>
      <c r="O5" s="43">
        <v>11618</v>
      </c>
      <c r="P5" s="41" t="s">
        <v>67</v>
      </c>
      <c r="Q5" s="43"/>
      <c r="R5" s="41" t="s">
        <v>67</v>
      </c>
      <c r="S5" s="43"/>
      <c r="T5" s="41" t="s">
        <v>66</v>
      </c>
      <c r="U5" s="43"/>
      <c r="V5" s="41" t="s">
        <v>66</v>
      </c>
      <c r="W5" s="43">
        <v>4900</v>
      </c>
      <c r="X5" s="46">
        <f>SUM(O5, Q5, S5, U5, W5)</f>
        <v>16518</v>
      </c>
      <c r="Y5" s="41" t="s">
        <v>66</v>
      </c>
      <c r="Z5" s="41" t="s">
        <v>66</v>
      </c>
      <c r="AA5" s="49"/>
      <c r="AB5" s="49" t="s">
        <v>69</v>
      </c>
      <c r="AC5" s="49" t="s">
        <v>88</v>
      </c>
      <c r="AD5" s="50" t="s">
        <v>71</v>
      </c>
    </row>
    <row r="6" spans="1:31" ht="37.5" customHeight="1" x14ac:dyDescent="0.3">
      <c r="A6" s="51">
        <v>5</v>
      </c>
      <c r="B6" s="52" t="s">
        <v>60</v>
      </c>
      <c r="C6" s="51" t="s">
        <v>89</v>
      </c>
      <c r="D6" s="51" t="s">
        <v>90</v>
      </c>
      <c r="E6" s="51" t="s">
        <v>3</v>
      </c>
      <c r="F6" s="51" t="s">
        <v>3</v>
      </c>
      <c r="G6" s="51" t="s">
        <v>74</v>
      </c>
      <c r="H6" s="53" t="s">
        <v>91</v>
      </c>
      <c r="I6" s="53" t="s">
        <v>81</v>
      </c>
      <c r="J6" s="53"/>
      <c r="K6" s="55">
        <v>46270</v>
      </c>
      <c r="L6" s="62">
        <v>46281</v>
      </c>
      <c r="M6" s="55">
        <v>46195</v>
      </c>
      <c r="N6" s="55"/>
      <c r="O6" s="56"/>
      <c r="P6" s="54"/>
      <c r="Q6" s="57"/>
      <c r="R6" s="54"/>
      <c r="S6" s="57"/>
      <c r="T6" s="54" t="s">
        <v>66</v>
      </c>
      <c r="U6" s="57"/>
      <c r="V6" s="53" t="s">
        <v>66</v>
      </c>
      <c r="W6" s="56"/>
      <c r="X6" s="46">
        <f t="shared" ref="X6:Y27" si="1">SUM(O6, Q6, S6, U6, W6)</f>
        <v>0</v>
      </c>
      <c r="Y6" s="58" t="s">
        <v>66</v>
      </c>
      <c r="Z6" s="53" t="s">
        <v>66</v>
      </c>
      <c r="AA6" s="52" t="s">
        <v>76</v>
      </c>
      <c r="AB6" s="59" t="s">
        <v>77</v>
      </c>
      <c r="AC6" s="59"/>
      <c r="AD6" s="60" t="s">
        <v>3</v>
      </c>
    </row>
    <row r="7" spans="1:31" ht="37.5" customHeight="1" x14ac:dyDescent="0.3">
      <c r="A7" s="51">
        <v>6</v>
      </c>
      <c r="B7" s="52" t="s">
        <v>92</v>
      </c>
      <c r="C7" s="51" t="s">
        <v>93</v>
      </c>
      <c r="D7" s="51" t="s">
        <v>94</v>
      </c>
      <c r="E7" s="51" t="s">
        <v>3</v>
      </c>
      <c r="F7" s="51" t="s">
        <v>3</v>
      </c>
      <c r="G7" s="51" t="s">
        <v>74</v>
      </c>
      <c r="H7" s="53" t="s">
        <v>95</v>
      </c>
      <c r="I7" s="54" t="s">
        <v>65</v>
      </c>
      <c r="J7" s="53"/>
      <c r="K7" s="55">
        <v>46209</v>
      </c>
      <c r="L7" s="62">
        <v>46241</v>
      </c>
      <c r="M7" s="55"/>
      <c r="N7" s="55"/>
      <c r="O7" s="56"/>
      <c r="P7" s="54"/>
      <c r="Q7" s="57"/>
      <c r="R7" s="54"/>
      <c r="S7" s="57"/>
      <c r="T7" s="54"/>
      <c r="U7" s="57"/>
      <c r="V7" s="53" t="s">
        <v>66</v>
      </c>
      <c r="W7" s="56"/>
      <c r="X7" s="46">
        <f t="shared" si="1"/>
        <v>0</v>
      </c>
      <c r="Y7" s="58" t="s">
        <v>67</v>
      </c>
      <c r="Z7" s="53" t="s">
        <v>66</v>
      </c>
      <c r="AA7" s="52" t="s">
        <v>96</v>
      </c>
      <c r="AB7" s="59" t="s">
        <v>97</v>
      </c>
      <c r="AC7" s="59" t="s">
        <v>98</v>
      </c>
      <c r="AD7" s="60" t="s">
        <v>3</v>
      </c>
    </row>
    <row r="8" spans="1:31" ht="37.5" customHeight="1" x14ac:dyDescent="0.3">
      <c r="A8" s="63">
        <v>7</v>
      </c>
      <c r="B8" s="64" t="s">
        <v>92</v>
      </c>
      <c r="C8" s="63" t="s">
        <v>99</v>
      </c>
      <c r="D8" s="63" t="s">
        <v>100</v>
      </c>
      <c r="E8" s="63" t="s">
        <v>101</v>
      </c>
      <c r="F8" s="63" t="s">
        <v>3</v>
      </c>
      <c r="G8" s="63" t="s">
        <v>102</v>
      </c>
      <c r="H8" s="65" t="s">
        <v>103</v>
      </c>
      <c r="I8" s="66" t="s">
        <v>104</v>
      </c>
      <c r="J8" s="65"/>
      <c r="K8" s="67" t="s">
        <v>102</v>
      </c>
      <c r="L8" s="68" t="s">
        <v>102</v>
      </c>
      <c r="M8" s="55"/>
      <c r="N8" s="55"/>
      <c r="O8" s="56"/>
      <c r="P8" s="54"/>
      <c r="Q8" s="57"/>
      <c r="R8" s="54"/>
      <c r="S8" s="57"/>
      <c r="T8" s="54"/>
      <c r="U8" s="57"/>
      <c r="V8" s="53" t="s">
        <v>66</v>
      </c>
      <c r="W8" s="56"/>
      <c r="X8" s="46">
        <f t="shared" si="1"/>
        <v>0</v>
      </c>
      <c r="Y8" s="58" t="s">
        <v>67</v>
      </c>
      <c r="Z8" s="65" t="s">
        <v>67</v>
      </c>
      <c r="AA8" s="52" t="s">
        <v>96</v>
      </c>
      <c r="AB8" s="59" t="s">
        <v>97</v>
      </c>
      <c r="AC8" s="59"/>
      <c r="AD8" s="60" t="s">
        <v>3</v>
      </c>
    </row>
    <row r="9" spans="1:31" ht="37.5" customHeight="1" x14ac:dyDescent="0.3">
      <c r="A9" s="51">
        <v>8</v>
      </c>
      <c r="B9" s="52" t="s">
        <v>92</v>
      </c>
      <c r="C9" s="51" t="s">
        <v>105</v>
      </c>
      <c r="D9" s="51" t="s">
        <v>106</v>
      </c>
      <c r="E9" s="51" t="s">
        <v>3</v>
      </c>
      <c r="F9" s="51" t="s">
        <v>3</v>
      </c>
      <c r="G9" s="51" t="s">
        <v>74</v>
      </c>
      <c r="H9" s="53" t="s">
        <v>107</v>
      </c>
      <c r="I9" s="54" t="s">
        <v>81</v>
      </c>
      <c r="J9" s="53"/>
      <c r="K9" s="55">
        <v>46279</v>
      </c>
      <c r="L9" s="62">
        <v>46241</v>
      </c>
      <c r="M9" s="55"/>
      <c r="N9" s="55"/>
      <c r="O9" s="56"/>
      <c r="P9" s="54"/>
      <c r="Q9" s="57"/>
      <c r="R9" s="54"/>
      <c r="S9" s="57"/>
      <c r="T9" s="54"/>
      <c r="U9" s="57"/>
      <c r="V9" s="53" t="s">
        <v>66</v>
      </c>
      <c r="W9" s="56"/>
      <c r="X9" s="46">
        <f t="shared" si="1"/>
        <v>0</v>
      </c>
      <c r="Y9" s="58" t="s">
        <v>67</v>
      </c>
      <c r="Z9" s="53" t="s">
        <v>66</v>
      </c>
      <c r="AA9" s="52"/>
      <c r="AB9" s="69" t="s">
        <v>69</v>
      </c>
      <c r="AC9" s="59" t="s">
        <v>108</v>
      </c>
      <c r="AD9" s="60" t="s">
        <v>71</v>
      </c>
    </row>
    <row r="10" spans="1:31" ht="37.5" customHeight="1" x14ac:dyDescent="0.3">
      <c r="A10" s="51">
        <v>9</v>
      </c>
      <c r="B10" s="52" t="s">
        <v>92</v>
      </c>
      <c r="C10" s="51" t="s">
        <v>109</v>
      </c>
      <c r="D10" s="51" t="s">
        <v>110</v>
      </c>
      <c r="E10" s="51" t="s">
        <v>3</v>
      </c>
      <c r="F10" s="51" t="s">
        <v>3</v>
      </c>
      <c r="G10" s="51" t="s">
        <v>74</v>
      </c>
      <c r="H10" s="53" t="s">
        <v>111</v>
      </c>
      <c r="I10" s="54" t="s">
        <v>112</v>
      </c>
      <c r="J10" s="53"/>
      <c r="K10" s="55">
        <v>46279</v>
      </c>
      <c r="L10" s="62">
        <v>46241</v>
      </c>
      <c r="M10" s="55"/>
      <c r="N10" s="55"/>
      <c r="O10" s="56"/>
      <c r="P10" s="54"/>
      <c r="Q10" s="57"/>
      <c r="R10" s="54"/>
      <c r="S10" s="57"/>
      <c r="T10" s="54"/>
      <c r="U10" s="57"/>
      <c r="V10" s="53" t="s">
        <v>67</v>
      </c>
      <c r="W10" s="56"/>
      <c r="X10" s="46">
        <f t="shared" si="1"/>
        <v>0</v>
      </c>
      <c r="Y10" s="58" t="s">
        <v>67</v>
      </c>
      <c r="Z10" s="53" t="s">
        <v>66</v>
      </c>
      <c r="AA10" s="52" t="s">
        <v>96</v>
      </c>
      <c r="AB10" s="59" t="s">
        <v>97</v>
      </c>
      <c r="AC10" s="59" t="s">
        <v>113</v>
      </c>
      <c r="AD10" s="60" t="s">
        <v>3</v>
      </c>
    </row>
    <row r="11" spans="1:31" ht="37.5" customHeight="1" x14ac:dyDescent="0.3">
      <c r="A11" s="51">
        <v>10</v>
      </c>
      <c r="B11" s="52" t="s">
        <v>92</v>
      </c>
      <c r="C11" s="51" t="s">
        <v>114</v>
      </c>
      <c r="D11" s="51" t="s">
        <v>115</v>
      </c>
      <c r="E11" s="51" t="s">
        <v>3</v>
      </c>
      <c r="F11" s="51" t="s">
        <v>3</v>
      </c>
      <c r="G11" s="51" t="s">
        <v>74</v>
      </c>
      <c r="H11" s="53" t="s">
        <v>116</v>
      </c>
      <c r="I11" s="54" t="s">
        <v>117</v>
      </c>
      <c r="J11" s="53"/>
      <c r="K11" s="55">
        <v>46279</v>
      </c>
      <c r="L11" s="62">
        <v>46241</v>
      </c>
      <c r="M11" s="55"/>
      <c r="N11" s="55"/>
      <c r="O11" s="56"/>
      <c r="P11" s="54"/>
      <c r="Q11" s="57"/>
      <c r="R11" s="54"/>
      <c r="S11" s="57"/>
      <c r="T11" s="54"/>
      <c r="U11" s="57"/>
      <c r="V11" s="53" t="s">
        <v>66</v>
      </c>
      <c r="W11" s="56"/>
      <c r="X11" s="46">
        <f t="shared" si="1"/>
        <v>0</v>
      </c>
      <c r="Y11" s="58" t="s">
        <v>67</v>
      </c>
      <c r="Z11" s="53" t="s">
        <v>66</v>
      </c>
      <c r="AA11" s="52" t="s">
        <v>96</v>
      </c>
      <c r="AB11" s="59" t="s">
        <v>97</v>
      </c>
      <c r="AC11" s="59" t="s">
        <v>118</v>
      </c>
      <c r="AD11" s="60" t="s">
        <v>3</v>
      </c>
    </row>
    <row r="12" spans="1:31" ht="37.5" customHeight="1" x14ac:dyDescent="0.3">
      <c r="A12" s="51">
        <v>11</v>
      </c>
      <c r="B12" s="52" t="s">
        <v>92</v>
      </c>
      <c r="C12" s="51" t="s">
        <v>119</v>
      </c>
      <c r="D12" s="51" t="s">
        <v>120</v>
      </c>
      <c r="E12" s="51" t="s">
        <v>3</v>
      </c>
      <c r="F12" s="51" t="s">
        <v>3</v>
      </c>
      <c r="G12" s="51" t="s">
        <v>74</v>
      </c>
      <c r="H12" s="53" t="s">
        <v>121</v>
      </c>
      <c r="I12" s="54" t="s">
        <v>81</v>
      </c>
      <c r="J12" s="53"/>
      <c r="K12" s="70">
        <v>46279</v>
      </c>
      <c r="L12" s="70">
        <v>46241</v>
      </c>
      <c r="M12" s="55"/>
      <c r="N12" s="55"/>
      <c r="O12" s="56"/>
      <c r="P12" s="54"/>
      <c r="Q12" s="57"/>
      <c r="R12" s="54"/>
      <c r="S12" s="57"/>
      <c r="T12" s="54"/>
      <c r="U12" s="57"/>
      <c r="V12" s="53" t="s">
        <v>66</v>
      </c>
      <c r="W12" s="56"/>
      <c r="X12" s="46">
        <f t="shared" si="1"/>
        <v>0</v>
      </c>
      <c r="Y12" s="58" t="s">
        <v>67</v>
      </c>
      <c r="Z12" s="54" t="s">
        <v>66</v>
      </c>
      <c r="AA12" s="52" t="s">
        <v>96</v>
      </c>
      <c r="AB12" s="59" t="s">
        <v>97</v>
      </c>
      <c r="AC12" s="59" t="s">
        <v>122</v>
      </c>
      <c r="AD12" s="60" t="s">
        <v>3</v>
      </c>
    </row>
    <row r="13" spans="1:31" ht="37.5" customHeight="1" x14ac:dyDescent="0.3">
      <c r="A13" s="51">
        <v>12</v>
      </c>
      <c r="B13" s="52" t="s">
        <v>92</v>
      </c>
      <c r="C13" s="51" t="s">
        <v>123</v>
      </c>
      <c r="D13" s="51" t="s">
        <v>124</v>
      </c>
      <c r="E13" s="51" t="s">
        <v>3</v>
      </c>
      <c r="F13" s="51" t="s">
        <v>3</v>
      </c>
      <c r="G13" s="51" t="s">
        <v>74</v>
      </c>
      <c r="H13" s="53" t="s">
        <v>125</v>
      </c>
      <c r="I13" s="54" t="s">
        <v>117</v>
      </c>
      <c r="J13" s="53"/>
      <c r="K13" s="55">
        <v>46279</v>
      </c>
      <c r="L13" s="62">
        <v>46241</v>
      </c>
      <c r="M13" s="55"/>
      <c r="N13" s="55"/>
      <c r="O13" s="56"/>
      <c r="P13" s="54"/>
      <c r="Q13" s="57"/>
      <c r="R13" s="54"/>
      <c r="S13" s="57"/>
      <c r="T13" s="54"/>
      <c r="U13" s="57"/>
      <c r="V13" s="53" t="s">
        <v>66</v>
      </c>
      <c r="W13" s="56"/>
      <c r="X13" s="46">
        <f t="shared" si="1"/>
        <v>0</v>
      </c>
      <c r="Y13" s="58" t="s">
        <v>67</v>
      </c>
      <c r="Z13" s="53" t="s">
        <v>66</v>
      </c>
      <c r="AA13" s="52" t="s">
        <v>96</v>
      </c>
      <c r="AB13" s="59" t="s">
        <v>97</v>
      </c>
      <c r="AC13" s="59" t="s">
        <v>126</v>
      </c>
      <c r="AD13" s="60" t="s">
        <v>3</v>
      </c>
    </row>
    <row r="14" spans="1:31" ht="37.5" customHeight="1" x14ac:dyDescent="0.3">
      <c r="A14" s="51">
        <v>13</v>
      </c>
      <c r="B14" s="52" t="s">
        <v>92</v>
      </c>
      <c r="C14" s="51" t="s">
        <v>127</v>
      </c>
      <c r="D14" s="51" t="s">
        <v>128</v>
      </c>
      <c r="E14" s="51" t="s">
        <v>3</v>
      </c>
      <c r="F14" s="51" t="s">
        <v>3</v>
      </c>
      <c r="G14" s="51" t="s">
        <v>74</v>
      </c>
      <c r="H14" s="53" t="s">
        <v>129</v>
      </c>
      <c r="I14" s="54" t="s">
        <v>85</v>
      </c>
      <c r="J14" s="53"/>
      <c r="K14" s="55">
        <v>46279</v>
      </c>
      <c r="L14" s="62">
        <v>46241</v>
      </c>
      <c r="M14" s="55"/>
      <c r="N14" s="55"/>
      <c r="O14" s="56"/>
      <c r="P14" s="54"/>
      <c r="Q14" s="57"/>
      <c r="R14" s="54"/>
      <c r="S14" s="57"/>
      <c r="T14" s="54"/>
      <c r="U14" s="57"/>
      <c r="V14" s="53" t="s">
        <v>66</v>
      </c>
      <c r="W14" s="56"/>
      <c r="X14" s="46">
        <f t="shared" si="1"/>
        <v>0</v>
      </c>
      <c r="Y14" s="58" t="s">
        <v>67</v>
      </c>
      <c r="Z14" s="53" t="s">
        <v>66</v>
      </c>
      <c r="AA14" s="52" t="s">
        <v>96</v>
      </c>
      <c r="AB14" s="59" t="s">
        <v>97</v>
      </c>
      <c r="AC14" s="59" t="s">
        <v>130</v>
      </c>
      <c r="AD14" s="60" t="s">
        <v>3</v>
      </c>
    </row>
    <row r="15" spans="1:31" ht="37.5" customHeight="1" x14ac:dyDescent="0.3">
      <c r="A15" s="106">
        <v>171</v>
      </c>
      <c r="B15" s="107" t="s">
        <v>92</v>
      </c>
      <c r="C15" s="106">
        <v>26</v>
      </c>
      <c r="D15" s="51" t="s">
        <v>131</v>
      </c>
      <c r="E15" s="51" t="s">
        <v>3</v>
      </c>
      <c r="F15" s="51" t="s">
        <v>3</v>
      </c>
      <c r="G15" s="51" t="s">
        <v>74</v>
      </c>
      <c r="H15" s="71">
        <v>16964</v>
      </c>
      <c r="I15" s="54" t="s">
        <v>112</v>
      </c>
      <c r="J15" s="53"/>
      <c r="K15" s="55">
        <v>46279</v>
      </c>
      <c r="L15" s="62"/>
      <c r="M15" s="55"/>
      <c r="N15" s="55"/>
      <c r="O15" s="56"/>
      <c r="P15" s="54"/>
      <c r="Q15" s="57"/>
      <c r="R15" s="54"/>
      <c r="S15" s="57"/>
      <c r="T15" s="54"/>
      <c r="U15" s="57"/>
      <c r="V15" s="53" t="s">
        <v>66</v>
      </c>
      <c r="W15" s="56"/>
      <c r="X15" s="46">
        <f t="shared" si="1"/>
        <v>0</v>
      </c>
      <c r="Y15" s="58"/>
      <c r="Z15" s="53"/>
      <c r="AA15" s="52"/>
      <c r="AB15" s="59"/>
      <c r="AC15" s="59" t="s">
        <v>113</v>
      </c>
      <c r="AD15" s="60"/>
    </row>
    <row r="16" spans="1:31" ht="37.5" customHeight="1" x14ac:dyDescent="0.3">
      <c r="A16" s="51">
        <v>161</v>
      </c>
      <c r="B16" s="52" t="s">
        <v>92</v>
      </c>
      <c r="C16" s="51" t="s">
        <v>132</v>
      </c>
      <c r="D16" s="51" t="s">
        <v>133</v>
      </c>
      <c r="E16" s="51" t="s">
        <v>3</v>
      </c>
      <c r="F16" s="51" t="s">
        <v>3</v>
      </c>
      <c r="G16" s="51" t="s">
        <v>74</v>
      </c>
      <c r="H16" s="71">
        <v>16909</v>
      </c>
      <c r="I16" s="54" t="s">
        <v>117</v>
      </c>
      <c r="K16" s="73">
        <v>46279</v>
      </c>
      <c r="V16" s="53" t="s">
        <v>67</v>
      </c>
      <c r="W16" s="56"/>
      <c r="X16" s="46">
        <f t="shared" si="1"/>
        <v>0</v>
      </c>
      <c r="Y16" s="75" t="s">
        <v>67</v>
      </c>
      <c r="AC16" s="76" t="s">
        <v>134</v>
      </c>
    </row>
    <row r="17" spans="1:31" ht="37.5" customHeight="1" x14ac:dyDescent="0.3">
      <c r="A17" s="51">
        <v>14</v>
      </c>
      <c r="B17" s="52" t="s">
        <v>135</v>
      </c>
      <c r="C17" s="51" t="s">
        <v>136</v>
      </c>
      <c r="D17" s="51" t="s">
        <v>137</v>
      </c>
      <c r="E17" s="51" t="s">
        <v>3</v>
      </c>
      <c r="F17" s="51" t="s">
        <v>3</v>
      </c>
      <c r="G17" s="51" t="s">
        <v>138</v>
      </c>
      <c r="H17" s="71" t="s">
        <v>139</v>
      </c>
      <c r="I17" s="54" t="s">
        <v>104</v>
      </c>
      <c r="J17" s="53"/>
      <c r="K17" s="55">
        <v>46258</v>
      </c>
      <c r="L17" s="62">
        <v>46255</v>
      </c>
      <c r="M17" s="55"/>
      <c r="N17" s="55"/>
      <c r="O17" s="56"/>
      <c r="P17" s="54"/>
      <c r="Q17" s="57"/>
      <c r="R17" s="54"/>
      <c r="S17" s="57"/>
      <c r="T17" s="54"/>
      <c r="U17" s="57"/>
      <c r="V17" s="53"/>
      <c r="W17" s="56"/>
      <c r="X17" s="46">
        <f t="shared" si="1"/>
        <v>0</v>
      </c>
      <c r="Y17" s="58" t="s">
        <v>67</v>
      </c>
      <c r="Z17" s="53" t="s">
        <v>66</v>
      </c>
      <c r="AA17" s="52" t="s">
        <v>68</v>
      </c>
      <c r="AB17" s="69" t="s">
        <v>69</v>
      </c>
      <c r="AC17" s="59"/>
      <c r="AD17" s="60" t="s">
        <v>71</v>
      </c>
    </row>
    <row r="18" spans="1:31" ht="37.5" customHeight="1" x14ac:dyDescent="0.3">
      <c r="A18" s="107"/>
      <c r="B18" s="107" t="s">
        <v>140</v>
      </c>
      <c r="C18" s="106">
        <v>97</v>
      </c>
      <c r="D18" s="107"/>
      <c r="E18" s="107"/>
      <c r="F18" s="107"/>
      <c r="G18" s="107"/>
      <c r="H18" s="107">
        <v>16965</v>
      </c>
      <c r="K18" s="77">
        <v>46258</v>
      </c>
      <c r="X18" s="46">
        <f t="shared" si="1"/>
        <v>0</v>
      </c>
    </row>
    <row r="19" spans="1:31" ht="37.5" customHeight="1" x14ac:dyDescent="0.3">
      <c r="A19" s="51">
        <v>15</v>
      </c>
      <c r="B19" s="52" t="s">
        <v>140</v>
      </c>
      <c r="C19" s="51" t="s">
        <v>141</v>
      </c>
      <c r="D19" s="51" t="s">
        <v>142</v>
      </c>
      <c r="E19" s="51" t="s">
        <v>3</v>
      </c>
      <c r="F19" s="51" t="s">
        <v>3</v>
      </c>
      <c r="G19" s="51" t="s">
        <v>138</v>
      </c>
      <c r="H19" s="53" t="s">
        <v>143</v>
      </c>
      <c r="I19" s="54" t="s">
        <v>104</v>
      </c>
      <c r="J19" s="53"/>
      <c r="K19" s="55">
        <v>46258</v>
      </c>
      <c r="L19" s="62">
        <v>46255</v>
      </c>
      <c r="M19" s="55"/>
      <c r="N19" s="55"/>
      <c r="O19" s="56"/>
      <c r="P19" s="54"/>
      <c r="Q19" s="57"/>
      <c r="R19" s="54"/>
      <c r="S19" s="57"/>
      <c r="T19" s="54"/>
      <c r="U19" s="57"/>
      <c r="V19" s="53"/>
      <c r="W19" s="56"/>
      <c r="X19" s="46">
        <f t="shared" si="1"/>
        <v>0</v>
      </c>
      <c r="Y19" s="58" t="s">
        <v>67</v>
      </c>
      <c r="Z19" s="53" t="s">
        <v>66</v>
      </c>
      <c r="AA19" s="52" t="s">
        <v>76</v>
      </c>
      <c r="AB19" s="59" t="s">
        <v>77</v>
      </c>
      <c r="AC19" s="59"/>
      <c r="AD19" s="60" t="s">
        <v>3</v>
      </c>
    </row>
    <row r="20" spans="1:31" ht="37.5" customHeight="1" x14ac:dyDescent="0.3">
      <c r="A20" s="107"/>
      <c r="B20" s="107" t="s">
        <v>135</v>
      </c>
      <c r="C20" s="106" t="s">
        <v>144</v>
      </c>
      <c r="D20" s="107"/>
      <c r="E20" s="107"/>
      <c r="F20" s="107"/>
      <c r="G20" s="107"/>
      <c r="H20" s="38">
        <v>16978</v>
      </c>
    </row>
    <row r="21" spans="1:31" s="61" customFormat="1" ht="37.5" customHeight="1" x14ac:dyDescent="0.3">
      <c r="A21" s="41">
        <v>16</v>
      </c>
      <c r="B21" s="49" t="s">
        <v>145</v>
      </c>
      <c r="C21" s="41" t="s">
        <v>146</v>
      </c>
      <c r="D21" s="41" t="s">
        <v>147</v>
      </c>
      <c r="E21" s="41" t="s">
        <v>3</v>
      </c>
      <c r="F21" s="41" t="s">
        <v>3</v>
      </c>
      <c r="G21" s="41" t="s">
        <v>63</v>
      </c>
      <c r="H21" s="41" t="s">
        <v>148</v>
      </c>
      <c r="I21" s="41" t="s">
        <v>85</v>
      </c>
      <c r="J21" s="41"/>
      <c r="K21" s="42">
        <v>46113</v>
      </c>
      <c r="L21" s="42" t="s">
        <v>149</v>
      </c>
      <c r="M21" s="42" t="s">
        <v>150</v>
      </c>
      <c r="N21" s="42">
        <v>46131</v>
      </c>
      <c r="O21" s="43">
        <v>11606</v>
      </c>
      <c r="P21" s="41" t="s">
        <v>67</v>
      </c>
      <c r="Q21" s="43"/>
      <c r="R21" s="41" t="s">
        <v>67</v>
      </c>
      <c r="S21" s="43"/>
      <c r="T21" s="41"/>
      <c r="U21" s="43"/>
      <c r="V21" s="41" t="s">
        <v>66</v>
      </c>
      <c r="W21" s="43">
        <v>4900</v>
      </c>
      <c r="X21" s="46">
        <f t="shared" si="1"/>
        <v>16506</v>
      </c>
      <c r="Y21" s="41" t="s">
        <v>66</v>
      </c>
      <c r="Z21" s="41" t="s">
        <v>66</v>
      </c>
      <c r="AA21" s="49" t="s">
        <v>76</v>
      </c>
      <c r="AB21" s="49" t="s">
        <v>77</v>
      </c>
      <c r="AC21" s="49" t="s">
        <v>151</v>
      </c>
      <c r="AD21" s="50" t="s">
        <v>3</v>
      </c>
    </row>
    <row r="22" spans="1:31" s="61" customFormat="1" ht="37.5" customHeight="1" x14ac:dyDescent="0.3">
      <c r="A22" s="41">
        <v>17</v>
      </c>
      <c r="B22" s="49" t="s">
        <v>145</v>
      </c>
      <c r="C22" s="41" t="s">
        <v>152</v>
      </c>
      <c r="D22" s="41" t="s">
        <v>153</v>
      </c>
      <c r="E22" s="41" t="s">
        <v>3</v>
      </c>
      <c r="F22" s="41" t="s">
        <v>3</v>
      </c>
      <c r="G22" s="41" t="s">
        <v>63</v>
      </c>
      <c r="H22" s="41" t="s">
        <v>154</v>
      </c>
      <c r="I22" s="41" t="s">
        <v>85</v>
      </c>
      <c r="J22" s="41"/>
      <c r="K22" s="42">
        <v>46113</v>
      </c>
      <c r="L22" s="42" t="s">
        <v>149</v>
      </c>
      <c r="M22" s="42" t="s">
        <v>150</v>
      </c>
      <c r="N22" s="42">
        <v>46131</v>
      </c>
      <c r="O22" s="43">
        <v>17325</v>
      </c>
      <c r="P22" s="41" t="s">
        <v>67</v>
      </c>
      <c r="Q22" s="43"/>
      <c r="R22" s="41" t="s">
        <v>67</v>
      </c>
      <c r="S22" s="43"/>
      <c r="T22" s="41"/>
      <c r="U22" s="43"/>
      <c r="V22" s="41" t="s">
        <v>66</v>
      </c>
      <c r="W22" s="43">
        <v>4900</v>
      </c>
      <c r="X22" s="46">
        <f t="shared" si="1"/>
        <v>22225</v>
      </c>
      <c r="Y22" s="41" t="s">
        <v>66</v>
      </c>
      <c r="Z22" s="41" t="s">
        <v>66</v>
      </c>
      <c r="AA22" s="49" t="s">
        <v>76</v>
      </c>
      <c r="AB22" s="49" t="s">
        <v>77</v>
      </c>
      <c r="AC22" s="49" t="s">
        <v>155</v>
      </c>
      <c r="AD22" s="50" t="s">
        <v>3</v>
      </c>
    </row>
    <row r="23" spans="1:31" s="61" customFormat="1" ht="37.5" customHeight="1" x14ac:dyDescent="0.3">
      <c r="A23" s="41">
        <v>18</v>
      </c>
      <c r="B23" s="49" t="s">
        <v>145</v>
      </c>
      <c r="C23" s="41" t="s">
        <v>109</v>
      </c>
      <c r="D23" s="41" t="s">
        <v>156</v>
      </c>
      <c r="E23" s="41" t="s">
        <v>3</v>
      </c>
      <c r="F23" s="41" t="s">
        <v>3</v>
      </c>
      <c r="G23" s="41" t="s">
        <v>63</v>
      </c>
      <c r="H23" s="41" t="s">
        <v>157</v>
      </c>
      <c r="I23" s="41" t="s">
        <v>117</v>
      </c>
      <c r="J23" s="41"/>
      <c r="K23" s="42">
        <v>46113</v>
      </c>
      <c r="L23" s="42" t="s">
        <v>158</v>
      </c>
      <c r="M23" s="42">
        <v>46143</v>
      </c>
      <c r="N23" s="42" t="s">
        <v>158</v>
      </c>
      <c r="O23" s="43">
        <v>16032</v>
      </c>
      <c r="P23" s="41" t="s">
        <v>67</v>
      </c>
      <c r="Q23" s="43"/>
      <c r="R23" s="41" t="s">
        <v>67</v>
      </c>
      <c r="S23" s="43"/>
      <c r="T23" s="41"/>
      <c r="U23" s="43"/>
      <c r="V23" s="41" t="s">
        <v>66</v>
      </c>
      <c r="W23" s="43">
        <v>4900</v>
      </c>
      <c r="X23" s="46">
        <f t="shared" si="1"/>
        <v>20932</v>
      </c>
      <c r="Y23" s="41" t="s">
        <v>66</v>
      </c>
      <c r="Z23" s="41" t="s">
        <v>66</v>
      </c>
      <c r="AA23" s="49" t="s">
        <v>159</v>
      </c>
      <c r="AB23" s="49" t="s">
        <v>97</v>
      </c>
      <c r="AC23" s="49" t="s">
        <v>160</v>
      </c>
      <c r="AD23" s="50" t="s">
        <v>3</v>
      </c>
    </row>
    <row r="24" spans="1:31" s="61" customFormat="1" ht="37.5" customHeight="1" x14ac:dyDescent="0.3">
      <c r="A24" s="41">
        <v>19</v>
      </c>
      <c r="B24" s="49" t="s">
        <v>145</v>
      </c>
      <c r="C24" s="41">
        <v>21</v>
      </c>
      <c r="D24" s="41" t="s">
        <v>161</v>
      </c>
      <c r="E24" s="41" t="s">
        <v>3</v>
      </c>
      <c r="F24" s="41" t="s">
        <v>3</v>
      </c>
      <c r="G24" s="41" t="s">
        <v>63</v>
      </c>
      <c r="H24" s="41" t="s">
        <v>162</v>
      </c>
      <c r="I24" s="41" t="s">
        <v>112</v>
      </c>
      <c r="J24" s="41"/>
      <c r="K24" s="42">
        <v>46113</v>
      </c>
      <c r="L24" s="42" t="s">
        <v>149</v>
      </c>
      <c r="M24" s="42" t="s">
        <v>150</v>
      </c>
      <c r="N24" s="42">
        <v>46131</v>
      </c>
      <c r="O24" s="43">
        <v>10355</v>
      </c>
      <c r="P24" s="41" t="s">
        <v>67</v>
      </c>
      <c r="Q24" s="43"/>
      <c r="R24" s="41" t="s">
        <v>67</v>
      </c>
      <c r="S24" s="43"/>
      <c r="T24" s="41"/>
      <c r="U24" s="43"/>
      <c r="V24" s="41" t="s">
        <v>66</v>
      </c>
      <c r="W24" s="43">
        <v>4900</v>
      </c>
      <c r="X24" s="46">
        <f t="shared" si="1"/>
        <v>15255</v>
      </c>
      <c r="Y24" s="41" t="s">
        <v>66</v>
      </c>
      <c r="Z24" s="41" t="s">
        <v>66</v>
      </c>
      <c r="AA24" s="49" t="s">
        <v>76</v>
      </c>
      <c r="AB24" s="49" t="s">
        <v>77</v>
      </c>
      <c r="AC24" s="49" t="s">
        <v>163</v>
      </c>
      <c r="AD24" s="50" t="s">
        <v>3</v>
      </c>
    </row>
    <row r="25" spans="1:31" s="61" customFormat="1" ht="37.5" customHeight="1" x14ac:dyDescent="0.3">
      <c r="A25" s="41">
        <v>20</v>
      </c>
      <c r="B25" s="49" t="s">
        <v>145</v>
      </c>
      <c r="C25" s="41" t="s">
        <v>164</v>
      </c>
      <c r="D25" s="41" t="s">
        <v>165</v>
      </c>
      <c r="E25" s="41" t="s">
        <v>3</v>
      </c>
      <c r="F25" s="41" t="s">
        <v>3</v>
      </c>
      <c r="G25" s="41" t="s">
        <v>63</v>
      </c>
      <c r="H25" s="41" t="s">
        <v>166</v>
      </c>
      <c r="I25" s="41" t="s">
        <v>117</v>
      </c>
      <c r="J25" s="41"/>
      <c r="K25" s="42">
        <v>46113</v>
      </c>
      <c r="L25" s="42">
        <v>46232</v>
      </c>
      <c r="M25" s="42">
        <v>46143</v>
      </c>
      <c r="N25" s="42">
        <v>46234</v>
      </c>
      <c r="O25" s="43">
        <v>19697</v>
      </c>
      <c r="P25" s="41" t="s">
        <v>67</v>
      </c>
      <c r="Q25" s="43"/>
      <c r="R25" s="41" t="s">
        <v>67</v>
      </c>
      <c r="S25" s="43"/>
      <c r="T25" s="41"/>
      <c r="U25" s="43"/>
      <c r="V25" s="41" t="s">
        <v>66</v>
      </c>
      <c r="W25" s="43">
        <v>4900</v>
      </c>
      <c r="X25" s="46">
        <f t="shared" si="1"/>
        <v>24597</v>
      </c>
      <c r="Y25" s="41" t="s">
        <v>66</v>
      </c>
      <c r="Z25" s="41" t="s">
        <v>66</v>
      </c>
      <c r="AA25" s="49" t="s">
        <v>76</v>
      </c>
      <c r="AB25" s="49" t="s">
        <v>77</v>
      </c>
      <c r="AC25" s="49"/>
      <c r="AD25" s="50" t="s">
        <v>3</v>
      </c>
    </row>
    <row r="26" spans="1:31" s="61" customFormat="1" ht="37.5" customHeight="1" x14ac:dyDescent="0.3">
      <c r="A26" s="41">
        <v>21</v>
      </c>
      <c r="B26" s="49" t="s">
        <v>145</v>
      </c>
      <c r="C26" s="41" t="s">
        <v>167</v>
      </c>
      <c r="D26" s="41" t="s">
        <v>168</v>
      </c>
      <c r="E26" s="41" t="s">
        <v>3</v>
      </c>
      <c r="F26" s="41" t="s">
        <v>3</v>
      </c>
      <c r="G26" s="41" t="s">
        <v>63</v>
      </c>
      <c r="H26" s="41" t="s">
        <v>169</v>
      </c>
      <c r="I26" s="41" t="s">
        <v>117</v>
      </c>
      <c r="J26" s="41"/>
      <c r="K26" s="42">
        <v>46113</v>
      </c>
      <c r="L26" s="42" t="s">
        <v>149</v>
      </c>
      <c r="M26" s="42" t="s">
        <v>150</v>
      </c>
      <c r="N26" s="42" t="s">
        <v>170</v>
      </c>
      <c r="O26" s="43">
        <v>16362</v>
      </c>
      <c r="P26" s="41" t="s">
        <v>67</v>
      </c>
      <c r="Q26" s="43"/>
      <c r="R26" s="41" t="s">
        <v>67</v>
      </c>
      <c r="S26" s="43"/>
      <c r="T26" s="41" t="s">
        <v>66</v>
      </c>
      <c r="U26" s="43"/>
      <c r="V26" s="41" t="s">
        <v>66</v>
      </c>
      <c r="W26" s="43">
        <v>4900</v>
      </c>
      <c r="X26" s="46">
        <f t="shared" si="1"/>
        <v>21262</v>
      </c>
      <c r="Y26" s="41" t="s">
        <v>66</v>
      </c>
      <c r="Z26" s="41" t="s">
        <v>66</v>
      </c>
      <c r="AA26" s="49" t="s">
        <v>76</v>
      </c>
      <c r="AB26" s="49" t="s">
        <v>77</v>
      </c>
      <c r="AC26" s="49" t="s">
        <v>171</v>
      </c>
      <c r="AD26" s="50" t="s">
        <v>3</v>
      </c>
      <c r="AE26" s="61" t="s">
        <v>172</v>
      </c>
    </row>
    <row r="27" spans="1:31" ht="37.5" customHeight="1" x14ac:dyDescent="0.3">
      <c r="A27" s="51">
        <v>22</v>
      </c>
      <c r="B27" s="52" t="s">
        <v>145</v>
      </c>
      <c r="C27" s="78" t="s">
        <v>173</v>
      </c>
      <c r="D27" s="51" t="s">
        <v>174</v>
      </c>
      <c r="E27" s="51" t="s">
        <v>3</v>
      </c>
      <c r="F27" s="51" t="s">
        <v>3</v>
      </c>
      <c r="G27" s="51" t="s">
        <v>175</v>
      </c>
      <c r="H27" s="53" t="s">
        <v>176</v>
      </c>
      <c r="I27" s="54" t="s">
        <v>177</v>
      </c>
      <c r="J27" s="53"/>
      <c r="K27" s="70">
        <v>46234</v>
      </c>
      <c r="L27" s="70">
        <v>46265</v>
      </c>
      <c r="M27" s="55"/>
      <c r="N27" s="55"/>
      <c r="O27" s="56"/>
      <c r="P27" s="54" t="s">
        <v>67</v>
      </c>
      <c r="Q27" s="57"/>
      <c r="R27" s="54" t="s">
        <v>67</v>
      </c>
      <c r="S27" s="57"/>
      <c r="T27" s="54"/>
      <c r="U27" s="57"/>
      <c r="V27" s="53" t="s">
        <v>66</v>
      </c>
      <c r="W27" s="56"/>
      <c r="X27" s="46">
        <f>SUM(O27, Q27, S27, U27, W27)</f>
        <v>0</v>
      </c>
      <c r="Y27" s="46">
        <f t="shared" si="1"/>
        <v>0</v>
      </c>
      <c r="Z27" s="79" t="s">
        <v>67</v>
      </c>
      <c r="AA27" s="52" t="s">
        <v>76</v>
      </c>
      <c r="AB27" s="59" t="s">
        <v>77</v>
      </c>
      <c r="AC27" s="59" t="s">
        <v>178</v>
      </c>
      <c r="AD27" s="60" t="s">
        <v>3</v>
      </c>
    </row>
    <row r="28" spans="1:31" s="61" customFormat="1" ht="37.5" customHeight="1" x14ac:dyDescent="0.3">
      <c r="A28" s="41">
        <v>23</v>
      </c>
      <c r="B28" s="49" t="s">
        <v>145</v>
      </c>
      <c r="C28" s="41" t="s">
        <v>179</v>
      </c>
      <c r="D28" s="41" t="s">
        <v>180</v>
      </c>
      <c r="E28" s="41" t="s">
        <v>3</v>
      </c>
      <c r="F28" s="41" t="s">
        <v>3</v>
      </c>
      <c r="G28" s="41" t="s">
        <v>63</v>
      </c>
      <c r="H28" s="41" t="s">
        <v>181</v>
      </c>
      <c r="I28" s="41" t="s">
        <v>117</v>
      </c>
      <c r="J28" s="41"/>
      <c r="K28" s="42">
        <v>46113</v>
      </c>
      <c r="L28" s="42">
        <v>46232</v>
      </c>
      <c r="M28" s="42"/>
      <c r="N28" s="42"/>
      <c r="O28" s="43">
        <v>12492</v>
      </c>
      <c r="P28" s="41" t="s">
        <v>67</v>
      </c>
      <c r="Q28" s="43"/>
      <c r="R28" s="41" t="s">
        <v>67</v>
      </c>
      <c r="S28" s="43"/>
      <c r="T28" s="41"/>
      <c r="U28" s="43"/>
      <c r="V28" s="41" t="s">
        <v>66</v>
      </c>
      <c r="W28" s="43">
        <v>4900</v>
      </c>
      <c r="X28" s="46">
        <f t="shared" ref="X28:X70" si="2">SUM(O28, Q28, S28, U28, W28)</f>
        <v>17392</v>
      </c>
      <c r="Y28" s="41" t="s">
        <v>66</v>
      </c>
      <c r="Z28" s="41" t="s">
        <v>66</v>
      </c>
      <c r="AA28" s="49" t="s">
        <v>76</v>
      </c>
      <c r="AB28" s="49" t="s">
        <v>77</v>
      </c>
      <c r="AC28" s="49" t="s">
        <v>182</v>
      </c>
      <c r="AD28" s="50" t="s">
        <v>3</v>
      </c>
    </row>
    <row r="29" spans="1:31" s="61" customFormat="1" ht="37.5" customHeight="1" x14ac:dyDescent="0.3">
      <c r="A29" s="41">
        <v>24</v>
      </c>
      <c r="B29" s="49" t="s">
        <v>145</v>
      </c>
      <c r="C29" s="41" t="s">
        <v>183</v>
      </c>
      <c r="D29" s="41" t="s">
        <v>184</v>
      </c>
      <c r="E29" s="41" t="s">
        <v>3</v>
      </c>
      <c r="F29" s="41" t="s">
        <v>3</v>
      </c>
      <c r="G29" s="41" t="s">
        <v>63</v>
      </c>
      <c r="H29" s="41" t="s">
        <v>185</v>
      </c>
      <c r="I29" s="41" t="s">
        <v>117</v>
      </c>
      <c r="J29" s="41"/>
      <c r="K29" s="42">
        <v>4.0999999999999996</v>
      </c>
      <c r="L29" s="42" t="s">
        <v>158</v>
      </c>
      <c r="M29" s="42">
        <v>5</v>
      </c>
      <c r="N29" s="42" t="s">
        <v>158</v>
      </c>
      <c r="O29" s="43">
        <v>17011</v>
      </c>
      <c r="P29" s="41" t="s">
        <v>67</v>
      </c>
      <c r="Q29" s="43"/>
      <c r="R29" s="41" t="s">
        <v>67</v>
      </c>
      <c r="S29" s="43"/>
      <c r="T29" s="41"/>
      <c r="U29" s="43"/>
      <c r="V29" s="41" t="s">
        <v>66</v>
      </c>
      <c r="W29" s="43">
        <v>4900</v>
      </c>
      <c r="X29" s="46">
        <f t="shared" si="2"/>
        <v>21911</v>
      </c>
      <c r="Y29" s="41" t="s">
        <v>66</v>
      </c>
      <c r="Z29" s="41" t="s">
        <v>66</v>
      </c>
      <c r="AA29" s="49" t="s">
        <v>76</v>
      </c>
      <c r="AB29" s="49" t="s">
        <v>77</v>
      </c>
      <c r="AC29" s="49" t="s">
        <v>186</v>
      </c>
      <c r="AD29" s="50" t="s">
        <v>3</v>
      </c>
    </row>
    <row r="30" spans="1:31" ht="37.5" customHeight="1" x14ac:dyDescent="0.3">
      <c r="A30" s="51">
        <v>25</v>
      </c>
      <c r="B30" s="52" t="s">
        <v>145</v>
      </c>
      <c r="C30" s="78" t="s">
        <v>187</v>
      </c>
      <c r="D30" s="51" t="s">
        <v>188</v>
      </c>
      <c r="E30" s="51" t="s">
        <v>3</v>
      </c>
      <c r="F30" s="51" t="s">
        <v>3</v>
      </c>
      <c r="G30" s="51" t="s">
        <v>175</v>
      </c>
      <c r="H30" s="53" t="s">
        <v>185</v>
      </c>
      <c r="I30" s="54" t="s">
        <v>177</v>
      </c>
      <c r="J30" s="53"/>
      <c r="K30" s="70">
        <v>46234</v>
      </c>
      <c r="L30" s="55">
        <v>46265</v>
      </c>
      <c r="M30" s="55">
        <v>1</v>
      </c>
      <c r="N30" s="55"/>
      <c r="O30" s="56"/>
      <c r="P30" s="54" t="s">
        <v>67</v>
      </c>
      <c r="Q30" s="57"/>
      <c r="R30" s="54" t="s">
        <v>67</v>
      </c>
      <c r="S30" s="57"/>
      <c r="T30" s="54"/>
      <c r="U30" s="57"/>
      <c r="V30" s="53" t="s">
        <v>66</v>
      </c>
      <c r="W30" s="56"/>
      <c r="X30" s="46">
        <f t="shared" si="2"/>
        <v>0</v>
      </c>
      <c r="Y30" s="58" t="s">
        <v>67</v>
      </c>
      <c r="Z30" s="79" t="s">
        <v>67</v>
      </c>
      <c r="AA30" s="52"/>
      <c r="AB30" s="69" t="s">
        <v>69</v>
      </c>
      <c r="AC30" s="59" t="s">
        <v>178</v>
      </c>
      <c r="AD30" s="60" t="s">
        <v>71</v>
      </c>
    </row>
    <row r="31" spans="1:31" s="61" customFormat="1" ht="37.5" customHeight="1" x14ac:dyDescent="0.3">
      <c r="A31" s="41">
        <v>26</v>
      </c>
      <c r="B31" s="49" t="s">
        <v>145</v>
      </c>
      <c r="C31" s="41" t="s">
        <v>189</v>
      </c>
      <c r="D31" s="41" t="s">
        <v>190</v>
      </c>
      <c r="E31" s="41" t="s">
        <v>3</v>
      </c>
      <c r="F31" s="41" t="s">
        <v>3</v>
      </c>
      <c r="G31" s="41" t="s">
        <v>63</v>
      </c>
      <c r="H31" s="41" t="s">
        <v>191</v>
      </c>
      <c r="I31" s="41" t="s">
        <v>85</v>
      </c>
      <c r="J31" s="41"/>
      <c r="K31" s="42">
        <v>46113</v>
      </c>
      <c r="L31" s="42" t="s">
        <v>149</v>
      </c>
      <c r="M31" s="42" t="s">
        <v>150</v>
      </c>
      <c r="N31" s="42" t="s">
        <v>170</v>
      </c>
      <c r="O31" s="43">
        <v>12634</v>
      </c>
      <c r="P31" s="41" t="s">
        <v>67</v>
      </c>
      <c r="Q31" s="43"/>
      <c r="R31" s="41" t="s">
        <v>67</v>
      </c>
      <c r="S31" s="43"/>
      <c r="T31" s="41" t="s">
        <v>66</v>
      </c>
      <c r="U31" s="43">
        <v>4200</v>
      </c>
      <c r="V31" s="41" t="s">
        <v>66</v>
      </c>
      <c r="W31" s="43">
        <v>4900</v>
      </c>
      <c r="X31" s="46">
        <f t="shared" si="2"/>
        <v>21734</v>
      </c>
      <c r="Y31" s="41" t="s">
        <v>66</v>
      </c>
      <c r="Z31" s="41" t="s">
        <v>66</v>
      </c>
      <c r="AA31" s="49" t="s">
        <v>76</v>
      </c>
      <c r="AB31" s="49" t="s">
        <v>77</v>
      </c>
      <c r="AC31" s="49" t="s">
        <v>192</v>
      </c>
      <c r="AD31" s="50" t="s">
        <v>3</v>
      </c>
    </row>
    <row r="32" spans="1:31" s="61" customFormat="1" ht="37.5" customHeight="1" x14ac:dyDescent="0.3">
      <c r="A32" s="41">
        <v>27</v>
      </c>
      <c r="B32" s="49" t="s">
        <v>145</v>
      </c>
      <c r="C32" s="41" t="s">
        <v>193</v>
      </c>
      <c r="D32" s="41" t="s">
        <v>194</v>
      </c>
      <c r="E32" s="41" t="s">
        <v>3</v>
      </c>
      <c r="F32" s="41" t="s">
        <v>3</v>
      </c>
      <c r="G32" s="41" t="s">
        <v>63</v>
      </c>
      <c r="H32" s="41" t="s">
        <v>195</v>
      </c>
      <c r="I32" s="41" t="s">
        <v>196</v>
      </c>
      <c r="J32" s="41"/>
      <c r="K32" s="42">
        <v>46113</v>
      </c>
      <c r="L32" s="42" t="s">
        <v>158</v>
      </c>
      <c r="M32" s="42">
        <v>5</v>
      </c>
      <c r="N32" s="42" t="s">
        <v>158</v>
      </c>
      <c r="O32" s="43">
        <v>27616</v>
      </c>
      <c r="P32" s="41" t="s">
        <v>67</v>
      </c>
      <c r="Q32" s="43"/>
      <c r="R32" s="41" t="s">
        <v>67</v>
      </c>
      <c r="S32" s="43"/>
      <c r="T32" s="41" t="s">
        <v>66</v>
      </c>
      <c r="U32" s="43">
        <v>6700</v>
      </c>
      <c r="V32" s="41" t="s">
        <v>66</v>
      </c>
      <c r="W32" s="43">
        <v>4900</v>
      </c>
      <c r="X32" s="46">
        <f t="shared" si="2"/>
        <v>39216</v>
      </c>
      <c r="Y32" s="41" t="s">
        <v>66</v>
      </c>
      <c r="Z32" s="41" t="s">
        <v>66</v>
      </c>
      <c r="AA32" s="49" t="s">
        <v>76</v>
      </c>
      <c r="AB32" s="49" t="s">
        <v>77</v>
      </c>
      <c r="AC32" s="49" t="s">
        <v>197</v>
      </c>
      <c r="AD32" s="50" t="s">
        <v>3</v>
      </c>
    </row>
    <row r="33" spans="1:31" s="61" customFormat="1" ht="37.5" customHeight="1" x14ac:dyDescent="0.3">
      <c r="A33" s="41">
        <v>28</v>
      </c>
      <c r="B33" s="49" t="s">
        <v>145</v>
      </c>
      <c r="C33" s="41" t="s">
        <v>198</v>
      </c>
      <c r="D33" s="41" t="s">
        <v>199</v>
      </c>
      <c r="E33" s="41" t="s">
        <v>3</v>
      </c>
      <c r="F33" s="41" t="s">
        <v>3</v>
      </c>
      <c r="G33" s="41" t="s">
        <v>63</v>
      </c>
      <c r="H33" s="41" t="s">
        <v>200</v>
      </c>
      <c r="I33" s="41" t="s">
        <v>85</v>
      </c>
      <c r="J33" s="41"/>
      <c r="K33" s="42">
        <v>46113</v>
      </c>
      <c r="L33" s="42" t="s">
        <v>149</v>
      </c>
      <c r="M33" s="42">
        <v>46127</v>
      </c>
      <c r="N33" s="42" t="s">
        <v>170</v>
      </c>
      <c r="O33" s="43">
        <v>10698</v>
      </c>
      <c r="P33" s="41" t="s">
        <v>67</v>
      </c>
      <c r="Q33" s="43"/>
      <c r="R33" s="41" t="s">
        <v>67</v>
      </c>
      <c r="S33" s="43"/>
      <c r="T33" s="41"/>
      <c r="U33" s="43"/>
      <c r="V33" s="41" t="s">
        <v>66</v>
      </c>
      <c r="W33" s="43">
        <v>4900</v>
      </c>
      <c r="X33" s="46">
        <f t="shared" si="2"/>
        <v>15598</v>
      </c>
      <c r="Y33" s="41" t="s">
        <v>66</v>
      </c>
      <c r="Z33" s="41" t="s">
        <v>66</v>
      </c>
      <c r="AA33" s="49" t="s">
        <v>76</v>
      </c>
      <c r="AB33" s="49" t="s">
        <v>77</v>
      </c>
      <c r="AC33" s="49" t="s">
        <v>201</v>
      </c>
      <c r="AD33" s="50" t="s">
        <v>3</v>
      </c>
    </row>
    <row r="34" spans="1:31" s="61" customFormat="1" ht="37.5" customHeight="1" x14ac:dyDescent="0.3">
      <c r="A34" s="41">
        <v>29</v>
      </c>
      <c r="B34" s="49" t="s">
        <v>145</v>
      </c>
      <c r="C34" s="41" t="s">
        <v>202</v>
      </c>
      <c r="D34" s="41" t="s">
        <v>203</v>
      </c>
      <c r="E34" s="41" t="s">
        <v>3</v>
      </c>
      <c r="F34" s="41" t="s">
        <v>3</v>
      </c>
      <c r="G34" s="41" t="s">
        <v>63</v>
      </c>
      <c r="H34" s="41" t="s">
        <v>204</v>
      </c>
      <c r="I34" s="41" t="s">
        <v>65</v>
      </c>
      <c r="J34" s="41"/>
      <c r="K34" s="42">
        <v>46113</v>
      </c>
      <c r="L34" s="42" t="s">
        <v>158</v>
      </c>
      <c r="M34" s="42">
        <v>46143</v>
      </c>
      <c r="N34" s="42" t="s">
        <v>158</v>
      </c>
      <c r="O34" s="43">
        <v>11961</v>
      </c>
      <c r="P34" s="41" t="s">
        <v>67</v>
      </c>
      <c r="Q34" s="43"/>
      <c r="R34" s="41" t="s">
        <v>67</v>
      </c>
      <c r="S34" s="43"/>
      <c r="T34" s="41"/>
      <c r="U34" s="43"/>
      <c r="V34" s="41" t="s">
        <v>66</v>
      </c>
      <c r="W34" s="43">
        <v>4900</v>
      </c>
      <c r="X34" s="46">
        <f t="shared" si="2"/>
        <v>16861</v>
      </c>
      <c r="Y34" s="41" t="s">
        <v>66</v>
      </c>
      <c r="Z34" s="41" t="s">
        <v>66</v>
      </c>
      <c r="AA34" s="49" t="s">
        <v>76</v>
      </c>
      <c r="AB34" s="49" t="s">
        <v>77</v>
      </c>
      <c r="AC34" s="49"/>
      <c r="AD34" s="50" t="s">
        <v>3</v>
      </c>
    </row>
    <row r="35" spans="1:31" s="61" customFormat="1" ht="37.5" customHeight="1" x14ac:dyDescent="0.3">
      <c r="A35" s="41">
        <v>30</v>
      </c>
      <c r="B35" s="49" t="s">
        <v>145</v>
      </c>
      <c r="C35" s="41" t="s">
        <v>205</v>
      </c>
      <c r="D35" s="41" t="s">
        <v>206</v>
      </c>
      <c r="E35" s="41" t="s">
        <v>3</v>
      </c>
      <c r="F35" s="41" t="s">
        <v>3</v>
      </c>
      <c r="G35" s="41" t="s">
        <v>63</v>
      </c>
      <c r="H35" s="41" t="s">
        <v>207</v>
      </c>
      <c r="I35" s="41" t="s">
        <v>81</v>
      </c>
      <c r="J35" s="41"/>
      <c r="K35" s="42">
        <v>46113</v>
      </c>
      <c r="L35" s="42">
        <v>46254</v>
      </c>
      <c r="M35" s="42">
        <v>46204</v>
      </c>
      <c r="N35" s="42">
        <v>46251</v>
      </c>
      <c r="O35" s="43">
        <v>25146</v>
      </c>
      <c r="P35" s="41" t="s">
        <v>67</v>
      </c>
      <c r="Q35" s="43"/>
      <c r="R35" s="41" t="s">
        <v>67</v>
      </c>
      <c r="S35" s="43"/>
      <c r="T35" s="41" t="s">
        <v>66</v>
      </c>
      <c r="U35" s="43">
        <v>7500</v>
      </c>
      <c r="V35" s="41" t="s">
        <v>66</v>
      </c>
      <c r="W35" s="43">
        <v>4900</v>
      </c>
      <c r="X35" s="46">
        <f t="shared" si="2"/>
        <v>37546</v>
      </c>
      <c r="Y35" s="41" t="s">
        <v>66</v>
      </c>
      <c r="Z35" s="41" t="s">
        <v>66</v>
      </c>
      <c r="AA35" s="49" t="s">
        <v>76</v>
      </c>
      <c r="AB35" s="49" t="s">
        <v>77</v>
      </c>
      <c r="AC35" s="49" t="s">
        <v>208</v>
      </c>
      <c r="AD35" s="50" t="s">
        <v>3</v>
      </c>
    </row>
    <row r="36" spans="1:31" s="61" customFormat="1" ht="37.5" customHeight="1" x14ac:dyDescent="0.3">
      <c r="A36" s="41">
        <v>31</v>
      </c>
      <c r="B36" s="49" t="s">
        <v>145</v>
      </c>
      <c r="C36" s="41" t="s">
        <v>209</v>
      </c>
      <c r="D36" s="41" t="s">
        <v>210</v>
      </c>
      <c r="E36" s="41" t="s">
        <v>3</v>
      </c>
      <c r="F36" s="41" t="s">
        <v>3</v>
      </c>
      <c r="G36" s="41" t="s">
        <v>63</v>
      </c>
      <c r="H36" s="41" t="s">
        <v>211</v>
      </c>
      <c r="I36" s="41" t="s">
        <v>112</v>
      </c>
      <c r="J36" s="41"/>
      <c r="K36" s="42">
        <v>46113</v>
      </c>
      <c r="L36" s="42">
        <v>46254</v>
      </c>
      <c r="M36" s="42">
        <v>46204</v>
      </c>
      <c r="N36" s="42">
        <v>46251</v>
      </c>
      <c r="O36" s="43">
        <v>14096</v>
      </c>
      <c r="P36" s="41" t="s">
        <v>67</v>
      </c>
      <c r="Q36" s="43"/>
      <c r="R36" s="41" t="s">
        <v>67</v>
      </c>
      <c r="S36" s="43"/>
      <c r="T36" s="41" t="s">
        <v>67</v>
      </c>
      <c r="U36" s="43"/>
      <c r="V36" s="41" t="s">
        <v>66</v>
      </c>
      <c r="W36" s="43">
        <v>4900</v>
      </c>
      <c r="X36" s="46">
        <f t="shared" si="2"/>
        <v>18996</v>
      </c>
      <c r="Y36" s="41" t="s">
        <v>66</v>
      </c>
      <c r="Z36" s="41" t="s">
        <v>66</v>
      </c>
      <c r="AA36" s="49" t="s">
        <v>159</v>
      </c>
      <c r="AB36" s="49" t="s">
        <v>97</v>
      </c>
      <c r="AC36" s="49" t="s">
        <v>212</v>
      </c>
      <c r="AD36" s="50" t="s">
        <v>3</v>
      </c>
    </row>
    <row r="37" spans="1:31" s="61" customFormat="1" ht="37.5" customHeight="1" x14ac:dyDescent="0.3">
      <c r="A37" s="41">
        <v>32</v>
      </c>
      <c r="B37" s="49" t="s">
        <v>145</v>
      </c>
      <c r="C37" s="41" t="s">
        <v>213</v>
      </c>
      <c r="D37" s="41" t="s">
        <v>214</v>
      </c>
      <c r="E37" s="41" t="s">
        <v>3</v>
      </c>
      <c r="F37" s="41" t="s">
        <v>3</v>
      </c>
      <c r="G37" s="41" t="s">
        <v>63</v>
      </c>
      <c r="H37" s="41" t="s">
        <v>215</v>
      </c>
      <c r="I37" s="41" t="s">
        <v>81</v>
      </c>
      <c r="J37" s="41"/>
      <c r="K37" s="42">
        <v>46113</v>
      </c>
      <c r="L37" s="42">
        <v>46254</v>
      </c>
      <c r="M37" s="42">
        <v>46204</v>
      </c>
      <c r="N37" s="42">
        <v>46251</v>
      </c>
      <c r="O37" s="43">
        <v>23904</v>
      </c>
      <c r="P37" s="41" t="s">
        <v>67</v>
      </c>
      <c r="Q37" s="43"/>
      <c r="R37" s="41" t="s">
        <v>67</v>
      </c>
      <c r="S37" s="43"/>
      <c r="T37" s="41" t="s">
        <v>66</v>
      </c>
      <c r="U37" s="43">
        <v>6500</v>
      </c>
      <c r="V37" s="41" t="s">
        <v>66</v>
      </c>
      <c r="W37" s="43">
        <v>4900</v>
      </c>
      <c r="X37" s="46">
        <f t="shared" si="2"/>
        <v>35304</v>
      </c>
      <c r="Y37" s="41" t="s">
        <v>66</v>
      </c>
      <c r="Z37" s="41" t="s">
        <v>66</v>
      </c>
      <c r="AA37" s="49" t="s">
        <v>159</v>
      </c>
      <c r="AB37" s="49" t="s">
        <v>97</v>
      </c>
      <c r="AC37" s="49" t="s">
        <v>216</v>
      </c>
      <c r="AD37" s="50" t="s">
        <v>3</v>
      </c>
    </row>
    <row r="38" spans="1:31" s="61" customFormat="1" ht="37.5" customHeight="1" x14ac:dyDescent="0.3">
      <c r="A38" s="41">
        <v>33</v>
      </c>
      <c r="B38" s="49" t="s">
        <v>145</v>
      </c>
      <c r="C38" s="41" t="s">
        <v>217</v>
      </c>
      <c r="D38" s="41" t="s">
        <v>218</v>
      </c>
      <c r="E38" s="41" t="s">
        <v>3</v>
      </c>
      <c r="F38" s="41" t="s">
        <v>3</v>
      </c>
      <c r="G38" s="41" t="s">
        <v>63</v>
      </c>
      <c r="H38" s="41" t="s">
        <v>219</v>
      </c>
      <c r="I38" s="41" t="s">
        <v>65</v>
      </c>
      <c r="J38" s="41"/>
      <c r="K38" s="42">
        <v>46113</v>
      </c>
      <c r="L38" s="42">
        <v>46232</v>
      </c>
      <c r="M38" s="42">
        <v>46178</v>
      </c>
      <c r="N38" s="42">
        <v>46234</v>
      </c>
      <c r="O38" s="43">
        <v>19321</v>
      </c>
      <c r="P38" s="41" t="s">
        <v>67</v>
      </c>
      <c r="Q38" s="43"/>
      <c r="R38" s="41" t="s">
        <v>67</v>
      </c>
      <c r="S38" s="43"/>
      <c r="T38" s="41" t="s">
        <v>66</v>
      </c>
      <c r="U38" s="43">
        <v>6500</v>
      </c>
      <c r="V38" s="41" t="s">
        <v>66</v>
      </c>
      <c r="W38" s="43">
        <v>4900</v>
      </c>
      <c r="X38" s="46">
        <f t="shared" si="2"/>
        <v>30721</v>
      </c>
      <c r="Y38" s="41" t="s">
        <v>66</v>
      </c>
      <c r="Z38" s="41" t="s">
        <v>66</v>
      </c>
      <c r="AA38" s="49" t="s">
        <v>76</v>
      </c>
      <c r="AB38" s="49" t="s">
        <v>77</v>
      </c>
      <c r="AC38" s="49" t="s">
        <v>220</v>
      </c>
      <c r="AD38" s="50" t="s">
        <v>3</v>
      </c>
    </row>
    <row r="39" spans="1:31" s="61" customFormat="1" ht="37.5" customHeight="1" x14ac:dyDescent="0.3">
      <c r="A39" s="41">
        <v>34</v>
      </c>
      <c r="B39" s="49" t="s">
        <v>145</v>
      </c>
      <c r="C39" s="41" t="s">
        <v>221</v>
      </c>
      <c r="D39" s="41" t="s">
        <v>222</v>
      </c>
      <c r="E39" s="41" t="s">
        <v>3</v>
      </c>
      <c r="F39" s="41" t="s">
        <v>3</v>
      </c>
      <c r="G39" s="41" t="s">
        <v>63</v>
      </c>
      <c r="H39" s="41">
        <v>16620</v>
      </c>
      <c r="I39" s="41" t="s">
        <v>85</v>
      </c>
      <c r="J39" s="41"/>
      <c r="K39" s="42">
        <v>46113</v>
      </c>
      <c r="L39" s="42" t="s">
        <v>149</v>
      </c>
      <c r="M39" s="42">
        <v>46114</v>
      </c>
      <c r="N39" s="42">
        <v>46161</v>
      </c>
      <c r="O39" s="43">
        <v>9489</v>
      </c>
      <c r="P39" s="41" t="s">
        <v>67</v>
      </c>
      <c r="Q39" s="43"/>
      <c r="R39" s="41" t="s">
        <v>67</v>
      </c>
      <c r="S39" s="43"/>
      <c r="T39" s="41"/>
      <c r="U39" s="43"/>
      <c r="V39" s="41" t="s">
        <v>67</v>
      </c>
      <c r="W39" s="43"/>
      <c r="X39" s="46">
        <f t="shared" si="2"/>
        <v>9489</v>
      </c>
      <c r="Y39" s="41" t="s">
        <v>67</v>
      </c>
      <c r="Z39" s="41" t="s">
        <v>66</v>
      </c>
      <c r="AA39" s="49" t="s">
        <v>76</v>
      </c>
      <c r="AB39" s="49" t="s">
        <v>77</v>
      </c>
      <c r="AC39" s="49" t="s">
        <v>223</v>
      </c>
      <c r="AD39" s="50" t="s">
        <v>224</v>
      </c>
    </row>
    <row r="40" spans="1:31" s="61" customFormat="1" ht="37.5" customHeight="1" x14ac:dyDescent="0.3">
      <c r="A40" s="41">
        <v>35</v>
      </c>
      <c r="B40" s="49" t="s">
        <v>145</v>
      </c>
      <c r="C40" s="41" t="s">
        <v>225</v>
      </c>
      <c r="D40" s="41" t="s">
        <v>226</v>
      </c>
      <c r="E40" s="41" t="s">
        <v>3</v>
      </c>
      <c r="F40" s="41" t="s">
        <v>3</v>
      </c>
      <c r="G40" s="41" t="s">
        <v>63</v>
      </c>
      <c r="H40" s="41">
        <v>16614</v>
      </c>
      <c r="I40" s="41" t="s">
        <v>227</v>
      </c>
      <c r="J40" s="41"/>
      <c r="K40" s="42">
        <v>46113</v>
      </c>
      <c r="L40" s="42" t="s">
        <v>149</v>
      </c>
      <c r="M40" s="42">
        <v>46090</v>
      </c>
      <c r="N40" s="42">
        <v>46120</v>
      </c>
      <c r="O40" s="43">
        <v>5500</v>
      </c>
      <c r="P40" s="41" t="s">
        <v>67</v>
      </c>
      <c r="Q40" s="43"/>
      <c r="R40" s="41" t="s">
        <v>67</v>
      </c>
      <c r="S40" s="43"/>
      <c r="T40" s="41"/>
      <c r="U40" s="43"/>
      <c r="V40" s="41" t="s">
        <v>228</v>
      </c>
      <c r="W40" s="43"/>
      <c r="X40" s="46">
        <f t="shared" si="2"/>
        <v>5500</v>
      </c>
      <c r="Y40" s="41" t="s">
        <v>228</v>
      </c>
      <c r="Z40" s="41" t="s">
        <v>66</v>
      </c>
      <c r="AA40" s="49" t="s">
        <v>76</v>
      </c>
      <c r="AB40" s="49" t="s">
        <v>77</v>
      </c>
      <c r="AC40" s="49" t="s">
        <v>229</v>
      </c>
      <c r="AD40" s="50" t="s">
        <v>224</v>
      </c>
    </row>
    <row r="41" spans="1:31" s="61" customFormat="1" ht="37.5" customHeight="1" x14ac:dyDescent="0.3">
      <c r="A41" s="41">
        <v>36</v>
      </c>
      <c r="B41" s="49" t="s">
        <v>145</v>
      </c>
      <c r="C41" s="41" t="s">
        <v>127</v>
      </c>
      <c r="D41" s="41" t="s">
        <v>230</v>
      </c>
      <c r="E41" s="41" t="s">
        <v>3</v>
      </c>
      <c r="F41" s="41" t="s">
        <v>3</v>
      </c>
      <c r="G41" s="41" t="s">
        <v>63</v>
      </c>
      <c r="H41" s="41" t="s">
        <v>231</v>
      </c>
      <c r="I41" s="41" t="s">
        <v>227</v>
      </c>
      <c r="J41" s="41"/>
      <c r="K41" s="42">
        <v>46113</v>
      </c>
      <c r="L41" s="42" t="s">
        <v>149</v>
      </c>
      <c r="M41" s="42">
        <v>46090</v>
      </c>
      <c r="N41" s="42">
        <v>46120</v>
      </c>
      <c r="O41" s="43">
        <v>5500</v>
      </c>
      <c r="P41" s="41" t="s">
        <v>67</v>
      </c>
      <c r="Q41" s="43"/>
      <c r="R41" s="41" t="s">
        <v>67</v>
      </c>
      <c r="S41" s="43"/>
      <c r="T41" s="41"/>
      <c r="U41" s="43"/>
      <c r="V41" s="41" t="s">
        <v>228</v>
      </c>
      <c r="W41" s="43"/>
      <c r="X41" s="46">
        <f t="shared" si="2"/>
        <v>5500</v>
      </c>
      <c r="Y41" s="41" t="s">
        <v>228</v>
      </c>
      <c r="Z41" s="41" t="s">
        <v>66</v>
      </c>
      <c r="AA41" s="49" t="s">
        <v>76</v>
      </c>
      <c r="AB41" s="49" t="s">
        <v>77</v>
      </c>
      <c r="AC41" s="49" t="s">
        <v>229</v>
      </c>
      <c r="AD41" s="50" t="s">
        <v>3</v>
      </c>
    </row>
    <row r="42" spans="1:31" s="61" customFormat="1" ht="37.5" customHeight="1" x14ac:dyDescent="0.3">
      <c r="A42" s="107"/>
      <c r="B42" s="107" t="s">
        <v>145</v>
      </c>
      <c r="C42" s="106">
        <v>71</v>
      </c>
      <c r="D42" s="107"/>
      <c r="E42" s="107"/>
      <c r="F42" s="107"/>
      <c r="G42" s="107"/>
      <c r="H42" s="38">
        <v>16554</v>
      </c>
      <c r="I42" s="38"/>
      <c r="J42" s="38"/>
      <c r="K42" s="38"/>
      <c r="L42" s="38"/>
      <c r="M42" s="38"/>
      <c r="N42" s="38"/>
      <c r="O42" s="74"/>
      <c r="P42" s="38"/>
      <c r="Q42" s="74"/>
      <c r="R42" s="38"/>
      <c r="S42" s="74"/>
      <c r="T42" s="38"/>
      <c r="U42" s="74"/>
      <c r="V42" s="38"/>
      <c r="W42" s="74"/>
      <c r="X42" s="38"/>
      <c r="Y42" s="38"/>
      <c r="Z42" s="38"/>
      <c r="AA42" s="38"/>
      <c r="AB42" s="38"/>
      <c r="AC42" s="38"/>
      <c r="AD42" s="38"/>
      <c r="AE42" s="38"/>
    </row>
    <row r="43" spans="1:31" ht="37.5" customHeight="1" x14ac:dyDescent="0.3">
      <c r="A43" s="51">
        <v>37</v>
      </c>
      <c r="B43" s="52" t="s">
        <v>232</v>
      </c>
      <c r="C43" s="51" t="s">
        <v>233</v>
      </c>
      <c r="D43" s="51" t="s">
        <v>234</v>
      </c>
      <c r="E43" s="51" t="s">
        <v>3</v>
      </c>
      <c r="F43" s="51" t="s">
        <v>3</v>
      </c>
      <c r="G43" s="51" t="s">
        <v>74</v>
      </c>
      <c r="H43" s="53" t="s">
        <v>235</v>
      </c>
      <c r="I43" s="54" t="s">
        <v>65</v>
      </c>
      <c r="J43" s="53"/>
      <c r="K43" s="55">
        <v>46279</v>
      </c>
      <c r="L43" s="62">
        <v>46259</v>
      </c>
      <c r="M43" s="55"/>
      <c r="N43" s="55"/>
      <c r="O43" s="56"/>
      <c r="P43" s="54"/>
      <c r="Q43" s="57"/>
      <c r="R43" s="54"/>
      <c r="S43" s="57"/>
      <c r="T43" s="54"/>
      <c r="U43" s="57"/>
      <c r="V43" s="53" t="s">
        <v>67</v>
      </c>
      <c r="W43" s="56"/>
      <c r="X43" s="46">
        <f t="shared" si="2"/>
        <v>0</v>
      </c>
      <c r="Y43" s="58" t="s">
        <v>67</v>
      </c>
      <c r="Z43" s="53" t="s">
        <v>66</v>
      </c>
      <c r="AA43" s="52" t="s">
        <v>76</v>
      </c>
      <c r="AB43" s="59" t="s">
        <v>77</v>
      </c>
      <c r="AC43" s="59"/>
      <c r="AD43" s="60" t="s">
        <v>3</v>
      </c>
    </row>
    <row r="44" spans="1:31" ht="37.5" customHeight="1" x14ac:dyDescent="0.3">
      <c r="A44" s="51">
        <v>38</v>
      </c>
      <c r="B44" s="52" t="s">
        <v>232</v>
      </c>
      <c r="C44" s="51" t="s">
        <v>236</v>
      </c>
      <c r="D44" s="51" t="s">
        <v>237</v>
      </c>
      <c r="E44" s="51" t="s">
        <v>3</v>
      </c>
      <c r="F44" s="51" t="s">
        <v>3</v>
      </c>
      <c r="G44" s="51" t="s">
        <v>74</v>
      </c>
      <c r="H44" s="53" t="s">
        <v>238</v>
      </c>
      <c r="I44" s="54" t="s">
        <v>65</v>
      </c>
      <c r="J44" s="53"/>
      <c r="K44" s="55">
        <v>46279</v>
      </c>
      <c r="L44" s="62">
        <v>46234</v>
      </c>
      <c r="M44" s="55"/>
      <c r="N44" s="55"/>
      <c r="O44" s="56"/>
      <c r="P44" s="54"/>
      <c r="Q44" s="57"/>
      <c r="R44" s="54"/>
      <c r="S44" s="57"/>
      <c r="T44" s="54"/>
      <c r="U44" s="57"/>
      <c r="V44" s="53" t="s">
        <v>66</v>
      </c>
      <c r="W44" s="56"/>
      <c r="X44" s="46">
        <f t="shared" si="2"/>
        <v>0</v>
      </c>
      <c r="Y44" s="58" t="s">
        <v>67</v>
      </c>
      <c r="Z44" s="53" t="s">
        <v>66</v>
      </c>
      <c r="AA44" s="52" t="s">
        <v>76</v>
      </c>
      <c r="AB44" s="59" t="s">
        <v>77</v>
      </c>
      <c r="AC44" s="59"/>
      <c r="AD44" s="60" t="s">
        <v>3</v>
      </c>
    </row>
    <row r="45" spans="1:31" ht="37.5" customHeight="1" x14ac:dyDescent="0.3">
      <c r="A45" s="51">
        <v>39</v>
      </c>
      <c r="B45" s="52" t="s">
        <v>232</v>
      </c>
      <c r="C45" s="51" t="s">
        <v>239</v>
      </c>
      <c r="D45" s="51" t="s">
        <v>240</v>
      </c>
      <c r="E45" s="51" t="s">
        <v>3</v>
      </c>
      <c r="F45" s="51" t="s">
        <v>3</v>
      </c>
      <c r="G45" s="51" t="s">
        <v>74</v>
      </c>
      <c r="H45" s="53" t="s">
        <v>241</v>
      </c>
      <c r="I45" s="54" t="s">
        <v>85</v>
      </c>
      <c r="J45" s="53"/>
      <c r="K45" s="55">
        <v>46279</v>
      </c>
      <c r="L45" s="62">
        <v>46234</v>
      </c>
      <c r="M45" s="55"/>
      <c r="N45" s="55"/>
      <c r="O45" s="56"/>
      <c r="P45" s="54"/>
      <c r="Q45" s="57"/>
      <c r="R45" s="54"/>
      <c r="S45" s="57"/>
      <c r="T45" s="54"/>
      <c r="U45" s="57"/>
      <c r="V45" s="53" t="s">
        <v>67</v>
      </c>
      <c r="W45" s="56"/>
      <c r="X45" s="46">
        <f t="shared" si="2"/>
        <v>0</v>
      </c>
      <c r="Y45" s="58" t="s">
        <v>67</v>
      </c>
      <c r="Z45" s="53" t="s">
        <v>66</v>
      </c>
      <c r="AA45" s="52" t="s">
        <v>76</v>
      </c>
      <c r="AB45" s="59" t="s">
        <v>77</v>
      </c>
      <c r="AC45" s="59"/>
      <c r="AD45" s="60" t="s">
        <v>3</v>
      </c>
    </row>
    <row r="46" spans="1:31" ht="37.5" customHeight="1" x14ac:dyDescent="0.3">
      <c r="A46" s="51">
        <v>40</v>
      </c>
      <c r="B46" s="52" t="s">
        <v>232</v>
      </c>
      <c r="C46" s="51" t="s">
        <v>242</v>
      </c>
      <c r="D46" s="51" t="s">
        <v>243</v>
      </c>
      <c r="E46" s="51" t="s">
        <v>101</v>
      </c>
      <c r="F46" s="51" t="s">
        <v>3</v>
      </c>
      <c r="G46" s="51" t="s">
        <v>74</v>
      </c>
      <c r="H46" s="53" t="s">
        <v>244</v>
      </c>
      <c r="I46" s="54" t="s">
        <v>117</v>
      </c>
      <c r="J46" s="53"/>
      <c r="K46" s="55">
        <v>46279</v>
      </c>
      <c r="L46" s="62">
        <v>46234</v>
      </c>
      <c r="M46" s="55"/>
      <c r="N46" s="55"/>
      <c r="O46" s="56"/>
      <c r="P46" s="54"/>
      <c r="Q46" s="57"/>
      <c r="R46" s="54"/>
      <c r="S46" s="57"/>
      <c r="T46" s="54"/>
      <c r="U46" s="57"/>
      <c r="V46" s="53" t="s">
        <v>66</v>
      </c>
      <c r="W46" s="56"/>
      <c r="X46" s="46">
        <f t="shared" si="2"/>
        <v>0</v>
      </c>
      <c r="Y46" s="58" t="s">
        <v>67</v>
      </c>
      <c r="Z46" s="53" t="s">
        <v>66</v>
      </c>
      <c r="AA46" s="52" t="s">
        <v>76</v>
      </c>
      <c r="AB46" s="59" t="s">
        <v>77</v>
      </c>
      <c r="AC46" s="59"/>
      <c r="AD46" s="60" t="s">
        <v>3</v>
      </c>
    </row>
    <row r="47" spans="1:31" ht="37.5" customHeight="1" x14ac:dyDescent="0.3">
      <c r="A47" s="51">
        <v>41</v>
      </c>
      <c r="B47" s="52" t="s">
        <v>232</v>
      </c>
      <c r="C47" s="51" t="s">
        <v>245</v>
      </c>
      <c r="D47" s="51" t="s">
        <v>246</v>
      </c>
      <c r="E47" s="51" t="s">
        <v>3</v>
      </c>
      <c r="F47" s="51" t="s">
        <v>3</v>
      </c>
      <c r="G47" s="51" t="s">
        <v>74</v>
      </c>
      <c r="H47" s="80">
        <v>16907</v>
      </c>
      <c r="I47" s="54" t="s">
        <v>65</v>
      </c>
      <c r="J47" s="53"/>
      <c r="K47" s="70">
        <v>46279</v>
      </c>
      <c r="L47" s="70">
        <v>46234</v>
      </c>
      <c r="M47" s="55"/>
      <c r="N47" s="55"/>
      <c r="O47" s="56"/>
      <c r="P47" s="54"/>
      <c r="Q47" s="57"/>
      <c r="R47" s="54"/>
      <c r="S47" s="57"/>
      <c r="T47" s="54"/>
      <c r="U47" s="57"/>
      <c r="V47" s="53" t="s">
        <v>66</v>
      </c>
      <c r="W47" s="56"/>
      <c r="X47" s="46">
        <f t="shared" si="2"/>
        <v>0</v>
      </c>
      <c r="Y47" s="58" t="s">
        <v>67</v>
      </c>
      <c r="Z47" s="54" t="s">
        <v>66</v>
      </c>
      <c r="AA47" s="52" t="s">
        <v>76</v>
      </c>
      <c r="AB47" s="59" t="s">
        <v>77</v>
      </c>
      <c r="AC47" s="59"/>
      <c r="AD47" s="60" t="s">
        <v>224</v>
      </c>
    </row>
    <row r="48" spans="1:31" ht="37.5" customHeight="1" x14ac:dyDescent="0.3">
      <c r="A48" s="51">
        <v>42</v>
      </c>
      <c r="B48" s="52" t="s">
        <v>232</v>
      </c>
      <c r="C48" s="51" t="s">
        <v>247</v>
      </c>
      <c r="D48" s="51" t="s">
        <v>248</v>
      </c>
      <c r="E48" s="51" t="s">
        <v>3</v>
      </c>
      <c r="F48" s="51" t="s">
        <v>3</v>
      </c>
      <c r="G48" s="51" t="s">
        <v>74</v>
      </c>
      <c r="H48" s="53" t="s">
        <v>249</v>
      </c>
      <c r="I48" s="54" t="s">
        <v>81</v>
      </c>
      <c r="J48" s="53"/>
      <c r="K48" s="55">
        <v>46279</v>
      </c>
      <c r="L48" s="62">
        <v>46234</v>
      </c>
      <c r="M48" s="55"/>
      <c r="N48" s="55"/>
      <c r="O48" s="56"/>
      <c r="P48" s="54"/>
      <c r="Q48" s="57"/>
      <c r="R48" s="54"/>
      <c r="S48" s="57"/>
      <c r="T48" s="54"/>
      <c r="U48" s="57"/>
      <c r="V48" s="53" t="s">
        <v>67</v>
      </c>
      <c r="W48" s="56"/>
      <c r="X48" s="46">
        <f t="shared" si="2"/>
        <v>0</v>
      </c>
      <c r="Y48" s="58" t="s">
        <v>67</v>
      </c>
      <c r="Z48" s="53" t="s">
        <v>66</v>
      </c>
      <c r="AA48" s="52" t="s">
        <v>76</v>
      </c>
      <c r="AB48" s="59" t="s">
        <v>77</v>
      </c>
      <c r="AC48" s="59"/>
      <c r="AD48" s="60" t="s">
        <v>3</v>
      </c>
    </row>
    <row r="49" spans="1:31" ht="37.5" customHeight="1" x14ac:dyDescent="0.3">
      <c r="A49" s="106">
        <v>170</v>
      </c>
      <c r="B49" s="107" t="s">
        <v>232</v>
      </c>
      <c r="C49" s="106">
        <v>38</v>
      </c>
      <c r="D49" s="51" t="s">
        <v>250</v>
      </c>
      <c r="E49" s="51" t="s">
        <v>3</v>
      </c>
      <c r="F49" s="51" t="s">
        <v>3</v>
      </c>
      <c r="G49" s="51" t="s">
        <v>74</v>
      </c>
      <c r="H49" s="53">
        <v>16926</v>
      </c>
      <c r="I49" s="54" t="s">
        <v>65</v>
      </c>
      <c r="J49" s="53"/>
      <c r="K49" s="55">
        <v>46279</v>
      </c>
      <c r="L49" s="62">
        <v>46234</v>
      </c>
      <c r="M49" s="55"/>
      <c r="N49" s="55"/>
      <c r="O49" s="56"/>
      <c r="P49" s="54"/>
      <c r="Q49" s="57"/>
      <c r="R49" s="54"/>
      <c r="S49" s="57"/>
      <c r="T49" s="54"/>
      <c r="U49" s="57"/>
      <c r="V49" s="53" t="s">
        <v>66</v>
      </c>
      <c r="W49" s="56"/>
      <c r="X49" s="46">
        <f t="shared" si="2"/>
        <v>0</v>
      </c>
      <c r="Y49" s="58" t="s">
        <v>67</v>
      </c>
      <c r="Z49" s="53" t="s">
        <v>67</v>
      </c>
      <c r="AA49" s="52"/>
      <c r="AB49" s="59"/>
      <c r="AC49" s="59"/>
      <c r="AD49" s="60"/>
    </row>
    <row r="50" spans="1:31" s="61" customFormat="1" ht="37.5" customHeight="1" x14ac:dyDescent="0.3">
      <c r="A50" s="41">
        <v>43</v>
      </c>
      <c r="B50" s="49" t="s">
        <v>251</v>
      </c>
      <c r="C50" s="41" t="s">
        <v>252</v>
      </c>
      <c r="D50" s="41" t="s">
        <v>253</v>
      </c>
      <c r="E50" s="41" t="s">
        <v>3</v>
      </c>
      <c r="F50" s="41" t="s">
        <v>3</v>
      </c>
      <c r="G50" s="41" t="s">
        <v>63</v>
      </c>
      <c r="H50" s="41" t="s">
        <v>254</v>
      </c>
      <c r="I50" s="41" t="s">
        <v>117</v>
      </c>
      <c r="J50" s="41"/>
      <c r="K50" s="42" t="s">
        <v>255</v>
      </c>
      <c r="L50" s="42"/>
      <c r="M50" s="42" t="s">
        <v>255</v>
      </c>
      <c r="N50" s="42" t="s">
        <v>256</v>
      </c>
      <c r="O50" s="43">
        <v>12374</v>
      </c>
      <c r="P50" s="41"/>
      <c r="Q50" s="43"/>
      <c r="R50" s="41"/>
      <c r="S50" s="43"/>
      <c r="T50" s="41"/>
      <c r="U50" s="43"/>
      <c r="V50" s="41" t="s">
        <v>67</v>
      </c>
      <c r="W50" s="43"/>
      <c r="X50" s="46">
        <f t="shared" si="2"/>
        <v>12374</v>
      </c>
      <c r="Y50" s="41" t="s">
        <v>228</v>
      </c>
      <c r="Z50" s="41" t="s">
        <v>66</v>
      </c>
      <c r="AA50" s="49" t="s">
        <v>68</v>
      </c>
      <c r="AB50" s="49" t="s">
        <v>69</v>
      </c>
      <c r="AC50" s="49" t="s">
        <v>257</v>
      </c>
      <c r="AD50" s="50" t="s">
        <v>71</v>
      </c>
    </row>
    <row r="51" spans="1:31" ht="37.5" customHeight="1" x14ac:dyDescent="0.3">
      <c r="A51" s="51">
        <v>44</v>
      </c>
      <c r="B51" s="52" t="s">
        <v>258</v>
      </c>
      <c r="C51" s="51" t="s">
        <v>259</v>
      </c>
      <c r="D51" s="51" t="s">
        <v>260</v>
      </c>
      <c r="E51" s="51" t="s">
        <v>3</v>
      </c>
      <c r="F51" s="51" t="s">
        <v>3</v>
      </c>
      <c r="G51" s="51" t="s">
        <v>261</v>
      </c>
      <c r="H51" s="53" t="s">
        <v>262</v>
      </c>
      <c r="I51" s="54" t="s">
        <v>177</v>
      </c>
      <c r="J51" s="53"/>
      <c r="K51" s="55">
        <v>46234</v>
      </c>
      <c r="L51" s="62">
        <v>46265</v>
      </c>
      <c r="M51" s="55"/>
      <c r="N51" s="55"/>
      <c r="O51" s="56"/>
      <c r="P51" s="54"/>
      <c r="Q51" s="57"/>
      <c r="R51" s="54"/>
      <c r="S51" s="57"/>
      <c r="T51" s="54"/>
      <c r="U51" s="57"/>
      <c r="V51" s="53"/>
      <c r="W51" s="56"/>
      <c r="X51" s="46">
        <f t="shared" si="2"/>
        <v>0</v>
      </c>
      <c r="Y51" s="58" t="s">
        <v>67</v>
      </c>
      <c r="Z51" s="53" t="s">
        <v>66</v>
      </c>
      <c r="AA51" s="52"/>
      <c r="AB51" s="69" t="s">
        <v>69</v>
      </c>
      <c r="AC51" s="59"/>
      <c r="AD51" s="60" t="s">
        <v>71</v>
      </c>
    </row>
    <row r="52" spans="1:31" ht="37.5" customHeight="1" x14ac:dyDescent="0.3">
      <c r="A52" s="51">
        <v>45</v>
      </c>
      <c r="B52" s="52" t="s">
        <v>258</v>
      </c>
      <c r="C52" s="51" t="s">
        <v>263</v>
      </c>
      <c r="D52" s="51" t="s">
        <v>264</v>
      </c>
      <c r="E52" s="51" t="s">
        <v>3</v>
      </c>
      <c r="F52" s="51" t="s">
        <v>3</v>
      </c>
      <c r="G52" s="51" t="s">
        <v>261</v>
      </c>
      <c r="H52" s="53" t="s">
        <v>265</v>
      </c>
      <c r="I52" s="54" t="s">
        <v>177</v>
      </c>
      <c r="J52" s="53"/>
      <c r="K52" s="55">
        <v>46234</v>
      </c>
      <c r="L52" s="62">
        <v>46265</v>
      </c>
      <c r="M52" s="55"/>
      <c r="N52" s="55"/>
      <c r="O52" s="56"/>
      <c r="P52" s="54"/>
      <c r="Q52" s="57"/>
      <c r="R52" s="54"/>
      <c r="S52" s="57"/>
      <c r="T52" s="54"/>
      <c r="U52" s="57"/>
      <c r="V52" s="53"/>
      <c r="W52" s="56"/>
      <c r="X52" s="46">
        <f t="shared" si="2"/>
        <v>0</v>
      </c>
      <c r="Y52" s="58" t="s">
        <v>67</v>
      </c>
      <c r="Z52" s="53" t="s">
        <v>66</v>
      </c>
      <c r="AA52" s="52"/>
      <c r="AB52" s="69" t="s">
        <v>69</v>
      </c>
      <c r="AC52" s="59"/>
      <c r="AD52" s="60" t="s">
        <v>71</v>
      </c>
    </row>
    <row r="53" spans="1:31" ht="37.5" customHeight="1" x14ac:dyDescent="0.3">
      <c r="A53" s="51">
        <v>46</v>
      </c>
      <c r="B53" s="52" t="s">
        <v>258</v>
      </c>
      <c r="C53" s="51" t="s">
        <v>266</v>
      </c>
      <c r="D53" s="51" t="s">
        <v>267</v>
      </c>
      <c r="E53" s="51" t="s">
        <v>3</v>
      </c>
      <c r="F53" s="51" t="s">
        <v>3</v>
      </c>
      <c r="G53" s="51" t="s">
        <v>261</v>
      </c>
      <c r="H53" s="53" t="s">
        <v>268</v>
      </c>
      <c r="I53" s="54" t="s">
        <v>177</v>
      </c>
      <c r="J53" s="53"/>
      <c r="K53" s="55">
        <v>46234</v>
      </c>
      <c r="L53" s="62">
        <v>46265</v>
      </c>
      <c r="M53" s="55"/>
      <c r="N53" s="55"/>
      <c r="O53" s="56"/>
      <c r="P53" s="54"/>
      <c r="Q53" s="57"/>
      <c r="R53" s="54"/>
      <c r="S53" s="57"/>
      <c r="T53" s="54"/>
      <c r="U53" s="57"/>
      <c r="V53" s="53"/>
      <c r="W53" s="56"/>
      <c r="X53" s="46">
        <f t="shared" si="2"/>
        <v>0</v>
      </c>
      <c r="Y53" s="58" t="s">
        <v>67</v>
      </c>
      <c r="Z53" s="53" t="s">
        <v>66</v>
      </c>
      <c r="AA53" s="52" t="s">
        <v>269</v>
      </c>
      <c r="AB53" s="69" t="s">
        <v>69</v>
      </c>
      <c r="AC53" s="59"/>
      <c r="AD53" s="60" t="s">
        <v>71</v>
      </c>
    </row>
    <row r="54" spans="1:31" ht="37.5" customHeight="1" x14ac:dyDescent="0.3">
      <c r="A54" s="51">
        <v>47</v>
      </c>
      <c r="B54" s="52" t="s">
        <v>258</v>
      </c>
      <c r="C54" s="51" t="s">
        <v>270</v>
      </c>
      <c r="D54" s="51" t="s">
        <v>271</v>
      </c>
      <c r="E54" s="51" t="s">
        <v>3</v>
      </c>
      <c r="F54" s="51" t="s">
        <v>3</v>
      </c>
      <c r="G54" s="51" t="s">
        <v>261</v>
      </c>
      <c r="H54" s="53" t="s">
        <v>272</v>
      </c>
      <c r="I54" s="54" t="s">
        <v>177</v>
      </c>
      <c r="J54" s="53"/>
      <c r="K54" s="55">
        <v>46234</v>
      </c>
      <c r="L54" s="62">
        <v>46265</v>
      </c>
      <c r="M54" s="55"/>
      <c r="N54" s="55"/>
      <c r="O54" s="56"/>
      <c r="P54" s="54"/>
      <c r="Q54" s="57"/>
      <c r="R54" s="54"/>
      <c r="S54" s="57"/>
      <c r="T54" s="54"/>
      <c r="U54" s="57"/>
      <c r="V54" s="53"/>
      <c r="W54" s="56"/>
      <c r="X54" s="46">
        <f t="shared" si="2"/>
        <v>0</v>
      </c>
      <c r="Y54" s="58" t="s">
        <v>67</v>
      </c>
      <c r="Z54" s="53" t="s">
        <v>66</v>
      </c>
      <c r="AA54" s="52"/>
      <c r="AB54" s="69" t="s">
        <v>69</v>
      </c>
      <c r="AC54" s="59"/>
      <c r="AD54" s="60" t="s">
        <v>71</v>
      </c>
    </row>
    <row r="55" spans="1:31" ht="37.5" customHeight="1" x14ac:dyDescent="0.3">
      <c r="A55" s="51">
        <v>48</v>
      </c>
      <c r="B55" s="52" t="s">
        <v>258</v>
      </c>
      <c r="C55" s="51" t="s">
        <v>273</v>
      </c>
      <c r="D55" s="51" t="s">
        <v>274</v>
      </c>
      <c r="E55" s="51" t="s">
        <v>3</v>
      </c>
      <c r="F55" s="51" t="s">
        <v>3</v>
      </c>
      <c r="G55" s="51" t="s">
        <v>261</v>
      </c>
      <c r="H55" s="53" t="s">
        <v>275</v>
      </c>
      <c r="I55" s="54" t="s">
        <v>177</v>
      </c>
      <c r="J55" s="53"/>
      <c r="K55" s="55">
        <v>46234</v>
      </c>
      <c r="L55" s="62">
        <v>46265</v>
      </c>
      <c r="M55" s="55"/>
      <c r="N55" s="55"/>
      <c r="O55" s="56"/>
      <c r="P55" s="54"/>
      <c r="Q55" s="57"/>
      <c r="R55" s="54"/>
      <c r="S55" s="57"/>
      <c r="T55" s="54"/>
      <c r="U55" s="57"/>
      <c r="V55" s="53"/>
      <c r="W55" s="56"/>
      <c r="X55" s="46">
        <f t="shared" si="2"/>
        <v>0</v>
      </c>
      <c r="Y55" s="58" t="s">
        <v>67</v>
      </c>
      <c r="Z55" s="53" t="s">
        <v>66</v>
      </c>
      <c r="AA55" s="52" t="s">
        <v>276</v>
      </c>
      <c r="AB55" s="69" t="s">
        <v>69</v>
      </c>
      <c r="AC55" s="59"/>
      <c r="AD55" s="60" t="s">
        <v>71</v>
      </c>
    </row>
    <row r="56" spans="1:31" ht="37.5" customHeight="1" x14ac:dyDescent="0.3">
      <c r="A56" s="51">
        <v>49</v>
      </c>
      <c r="B56" s="52" t="s">
        <v>258</v>
      </c>
      <c r="C56" s="51" t="s">
        <v>277</v>
      </c>
      <c r="D56" s="51" t="s">
        <v>278</v>
      </c>
      <c r="E56" s="51" t="s">
        <v>3</v>
      </c>
      <c r="F56" s="51" t="s">
        <v>3</v>
      </c>
      <c r="G56" s="51" t="s">
        <v>261</v>
      </c>
      <c r="H56" s="53" t="s">
        <v>279</v>
      </c>
      <c r="I56" s="54" t="s">
        <v>177</v>
      </c>
      <c r="J56" s="53"/>
      <c r="K56" s="55">
        <v>46234</v>
      </c>
      <c r="L56" s="62">
        <v>46265</v>
      </c>
      <c r="M56" s="55"/>
      <c r="N56" s="55"/>
      <c r="O56" s="56"/>
      <c r="P56" s="54"/>
      <c r="Q56" s="57"/>
      <c r="R56" s="54"/>
      <c r="S56" s="57"/>
      <c r="T56" s="54"/>
      <c r="U56" s="57"/>
      <c r="V56" s="53"/>
      <c r="W56" s="56"/>
      <c r="X56" s="46">
        <f t="shared" si="2"/>
        <v>0</v>
      </c>
      <c r="Y56" s="58" t="s">
        <v>67</v>
      </c>
      <c r="Z56" s="53" t="s">
        <v>66</v>
      </c>
      <c r="AA56" s="52" t="s">
        <v>76</v>
      </c>
      <c r="AB56" s="59" t="s">
        <v>77</v>
      </c>
      <c r="AC56" s="59"/>
      <c r="AD56" s="60" t="s">
        <v>3</v>
      </c>
    </row>
    <row r="57" spans="1:31" ht="37.5" customHeight="1" x14ac:dyDescent="0.3">
      <c r="A57" s="51">
        <v>50</v>
      </c>
      <c r="B57" s="52" t="s">
        <v>280</v>
      </c>
      <c r="C57" s="51" t="s">
        <v>198</v>
      </c>
      <c r="D57" s="51" t="s">
        <v>281</v>
      </c>
      <c r="E57" s="51" t="s">
        <v>3</v>
      </c>
      <c r="F57" s="51" t="s">
        <v>3</v>
      </c>
      <c r="G57" s="51" t="s">
        <v>74</v>
      </c>
      <c r="H57" s="53" t="s">
        <v>282</v>
      </c>
      <c r="I57" s="54" t="s">
        <v>117</v>
      </c>
      <c r="J57" s="53"/>
      <c r="K57" s="55">
        <v>46202</v>
      </c>
      <c r="L57" s="62">
        <v>46234</v>
      </c>
      <c r="M57" s="55"/>
      <c r="N57" s="55"/>
      <c r="O57" s="56"/>
      <c r="P57" s="54"/>
      <c r="Q57" s="57"/>
      <c r="R57" s="54"/>
      <c r="S57" s="57"/>
      <c r="T57" s="54"/>
      <c r="U57" s="57"/>
      <c r="V57" s="53" t="s">
        <v>66</v>
      </c>
      <c r="W57" s="56"/>
      <c r="X57" s="46">
        <f t="shared" si="2"/>
        <v>0</v>
      </c>
      <c r="Y57" s="58" t="s">
        <v>67</v>
      </c>
      <c r="Z57" s="53" t="s">
        <v>66</v>
      </c>
      <c r="AA57" s="52" t="s">
        <v>283</v>
      </c>
      <c r="AB57" s="59" t="s">
        <v>97</v>
      </c>
      <c r="AC57" s="59"/>
      <c r="AD57" s="60" t="s">
        <v>3</v>
      </c>
    </row>
    <row r="58" spans="1:31" ht="37.5" customHeight="1" x14ac:dyDescent="0.3">
      <c r="A58" s="107"/>
      <c r="B58" s="107" t="s">
        <v>280</v>
      </c>
      <c r="C58" s="108">
        <v>44</v>
      </c>
      <c r="D58" s="107"/>
      <c r="E58" s="107"/>
      <c r="H58" s="72">
        <v>16966</v>
      </c>
      <c r="X58" s="46">
        <f t="shared" si="2"/>
        <v>0</v>
      </c>
    </row>
    <row r="59" spans="1:31" ht="37.5" customHeight="1" x14ac:dyDescent="0.3">
      <c r="A59" s="63">
        <v>51</v>
      </c>
      <c r="B59" s="64" t="s">
        <v>284</v>
      </c>
      <c r="C59" s="63" t="s">
        <v>285</v>
      </c>
      <c r="D59" s="51" t="s">
        <v>286</v>
      </c>
      <c r="E59" s="63" t="s">
        <v>287</v>
      </c>
      <c r="F59" s="51" t="s">
        <v>288</v>
      </c>
      <c r="G59" s="51" t="s">
        <v>63</v>
      </c>
      <c r="H59" s="53" t="s">
        <v>289</v>
      </c>
      <c r="I59" s="54" t="s">
        <v>102</v>
      </c>
      <c r="J59" s="53"/>
      <c r="K59" s="55" t="s">
        <v>228</v>
      </c>
      <c r="L59" s="55"/>
      <c r="M59" s="81">
        <v>46272</v>
      </c>
      <c r="N59" s="81" t="s">
        <v>290</v>
      </c>
      <c r="O59" s="82">
        <v>9000</v>
      </c>
      <c r="P59" s="83" t="s">
        <v>67</v>
      </c>
      <c r="Q59" s="82"/>
      <c r="R59" s="83" t="s">
        <v>67</v>
      </c>
      <c r="S59" s="82"/>
      <c r="T59" s="83" t="s">
        <v>67</v>
      </c>
      <c r="U59" s="82"/>
      <c r="V59" s="83" t="s">
        <v>66</v>
      </c>
      <c r="W59" s="82"/>
      <c r="X59" s="46">
        <f t="shared" si="2"/>
        <v>9000</v>
      </c>
      <c r="Y59" s="58" t="s">
        <v>67</v>
      </c>
      <c r="Z59" s="65" t="s">
        <v>228</v>
      </c>
      <c r="AA59" s="52" t="s">
        <v>291</v>
      </c>
      <c r="AB59" s="59" t="s">
        <v>97</v>
      </c>
      <c r="AC59" s="84" t="s">
        <v>292</v>
      </c>
      <c r="AD59" s="60" t="s">
        <v>3</v>
      </c>
      <c r="AE59" s="85">
        <v>13072</v>
      </c>
    </row>
    <row r="60" spans="1:31" s="89" customFormat="1" ht="37.5" customHeight="1" x14ac:dyDescent="0.3">
      <c r="A60" s="65">
        <v>52</v>
      </c>
      <c r="B60" s="86" t="s">
        <v>284</v>
      </c>
      <c r="C60" s="65" t="s">
        <v>293</v>
      </c>
      <c r="D60" s="65" t="s">
        <v>294</v>
      </c>
      <c r="E60" s="65" t="s">
        <v>287</v>
      </c>
      <c r="F60" s="65" t="s">
        <v>288</v>
      </c>
      <c r="G60" s="65" t="s">
        <v>63</v>
      </c>
      <c r="H60" s="65" t="s">
        <v>295</v>
      </c>
      <c r="I60" s="65" t="s">
        <v>102</v>
      </c>
      <c r="J60" s="65"/>
      <c r="K60" s="67">
        <v>46223</v>
      </c>
      <c r="L60" s="67">
        <v>46265</v>
      </c>
      <c r="M60" s="67">
        <v>46272</v>
      </c>
      <c r="N60" s="67" t="s">
        <v>290</v>
      </c>
      <c r="O60" s="87"/>
      <c r="P60" s="65" t="s">
        <v>67</v>
      </c>
      <c r="Q60" s="87"/>
      <c r="R60" s="65" t="s">
        <v>67</v>
      </c>
      <c r="S60" s="87"/>
      <c r="T60" s="65" t="s">
        <v>67</v>
      </c>
      <c r="U60" s="87"/>
      <c r="V60" s="65" t="s">
        <v>66</v>
      </c>
      <c r="W60" s="87"/>
      <c r="X60" s="46">
        <f t="shared" si="2"/>
        <v>0</v>
      </c>
      <c r="Y60" s="65" t="s">
        <v>67</v>
      </c>
      <c r="Z60" s="65" t="s">
        <v>67</v>
      </c>
      <c r="AA60" s="86" t="s">
        <v>291</v>
      </c>
      <c r="AB60" s="86" t="s">
        <v>97</v>
      </c>
      <c r="AC60" s="86" t="s">
        <v>292</v>
      </c>
      <c r="AD60" s="88" t="s">
        <v>3</v>
      </c>
      <c r="AE60" s="89">
        <v>13263</v>
      </c>
    </row>
    <row r="61" spans="1:31" ht="37.5" customHeight="1" x14ac:dyDescent="0.3">
      <c r="A61" s="51">
        <v>53</v>
      </c>
      <c r="B61" s="52" t="s">
        <v>284</v>
      </c>
      <c r="C61" s="51" t="s">
        <v>296</v>
      </c>
      <c r="D61" s="51" t="s">
        <v>297</v>
      </c>
      <c r="E61" s="51" t="s">
        <v>3</v>
      </c>
      <c r="F61" s="51" t="s">
        <v>3</v>
      </c>
      <c r="G61" s="51" t="s">
        <v>74</v>
      </c>
      <c r="H61" s="53" t="s">
        <v>298</v>
      </c>
      <c r="I61" s="54" t="s">
        <v>117</v>
      </c>
      <c r="J61" s="53"/>
      <c r="K61" s="55">
        <v>46265</v>
      </c>
      <c r="L61" s="62">
        <v>46265</v>
      </c>
      <c r="M61" s="55">
        <v>46272</v>
      </c>
      <c r="N61" s="55"/>
      <c r="O61" s="56"/>
      <c r="P61" s="54"/>
      <c r="Q61" s="57"/>
      <c r="R61" s="54"/>
      <c r="S61" s="57"/>
      <c r="T61" s="54"/>
      <c r="U61" s="57"/>
      <c r="V61" s="53" t="s">
        <v>66</v>
      </c>
      <c r="W61" s="56"/>
      <c r="X61" s="46">
        <f t="shared" si="2"/>
        <v>0</v>
      </c>
      <c r="Y61" s="58" t="s">
        <v>67</v>
      </c>
      <c r="Z61" s="53" t="s">
        <v>66</v>
      </c>
      <c r="AA61" s="52" t="s">
        <v>291</v>
      </c>
      <c r="AB61" s="59" t="s">
        <v>97</v>
      </c>
      <c r="AC61" s="59" t="s">
        <v>299</v>
      </c>
      <c r="AD61" s="60" t="s">
        <v>3</v>
      </c>
    </row>
    <row r="62" spans="1:31" ht="37.5" customHeight="1" x14ac:dyDescent="0.3">
      <c r="A62" s="63">
        <v>54</v>
      </c>
      <c r="B62" s="64" t="s">
        <v>284</v>
      </c>
      <c r="C62" s="63" t="s">
        <v>109</v>
      </c>
      <c r="D62" s="63" t="s">
        <v>300</v>
      </c>
      <c r="E62" s="63" t="s">
        <v>287</v>
      </c>
      <c r="F62" s="51" t="s">
        <v>288</v>
      </c>
      <c r="G62" s="51" t="s">
        <v>63</v>
      </c>
      <c r="H62" s="53" t="s">
        <v>301</v>
      </c>
      <c r="I62" s="54" t="s">
        <v>102</v>
      </c>
      <c r="J62" s="53"/>
      <c r="K62" s="55" t="s">
        <v>102</v>
      </c>
      <c r="L62" s="55">
        <v>46265</v>
      </c>
      <c r="M62" s="81">
        <v>46272</v>
      </c>
      <c r="N62" s="81" t="s">
        <v>290</v>
      </c>
      <c r="O62" s="82">
        <v>9000</v>
      </c>
      <c r="P62" s="83" t="s">
        <v>67</v>
      </c>
      <c r="Q62" s="82"/>
      <c r="R62" s="83" t="s">
        <v>67</v>
      </c>
      <c r="S62" s="82"/>
      <c r="T62" s="83" t="s">
        <v>67</v>
      </c>
      <c r="U62" s="82"/>
      <c r="V62" s="83" t="s">
        <v>66</v>
      </c>
      <c r="W62" s="82"/>
      <c r="X62" s="46">
        <f t="shared" si="2"/>
        <v>9000</v>
      </c>
      <c r="Y62" s="58" t="s">
        <v>67</v>
      </c>
      <c r="Z62" s="53" t="s">
        <v>67</v>
      </c>
      <c r="AA62" s="52" t="s">
        <v>291</v>
      </c>
      <c r="AB62" s="59" t="s">
        <v>97</v>
      </c>
      <c r="AC62" s="84" t="s">
        <v>302</v>
      </c>
      <c r="AD62" s="60" t="s">
        <v>3</v>
      </c>
      <c r="AE62" s="85">
        <v>13269</v>
      </c>
    </row>
    <row r="63" spans="1:31" ht="37.5" customHeight="1" x14ac:dyDescent="0.3">
      <c r="A63" s="63">
        <v>55</v>
      </c>
      <c r="B63" s="64" t="s">
        <v>284</v>
      </c>
      <c r="C63" s="63" t="s">
        <v>303</v>
      </c>
      <c r="D63" s="63" t="s">
        <v>304</v>
      </c>
      <c r="E63" s="63" t="s">
        <v>287</v>
      </c>
      <c r="F63" s="51" t="s">
        <v>288</v>
      </c>
      <c r="G63" s="51" t="s">
        <v>63</v>
      </c>
      <c r="H63" s="53" t="s">
        <v>305</v>
      </c>
      <c r="I63" s="54" t="s">
        <v>102</v>
      </c>
      <c r="J63" s="53"/>
      <c r="K63" s="55" t="s">
        <v>102</v>
      </c>
      <c r="L63" s="55">
        <v>46265</v>
      </c>
      <c r="M63" s="81">
        <v>46272</v>
      </c>
      <c r="N63" s="81" t="s">
        <v>290</v>
      </c>
      <c r="O63" s="82">
        <v>9000</v>
      </c>
      <c r="P63" s="83" t="s">
        <v>67</v>
      </c>
      <c r="Q63" s="82"/>
      <c r="R63" s="83" t="s">
        <v>67</v>
      </c>
      <c r="S63" s="82"/>
      <c r="T63" s="83" t="s">
        <v>67</v>
      </c>
      <c r="U63" s="82"/>
      <c r="V63" s="83" t="s">
        <v>66</v>
      </c>
      <c r="W63" s="82"/>
      <c r="X63" s="46">
        <f t="shared" si="2"/>
        <v>9000</v>
      </c>
      <c r="Y63" s="58" t="s">
        <v>67</v>
      </c>
      <c r="Z63" s="53" t="s">
        <v>67</v>
      </c>
      <c r="AA63" s="52" t="s">
        <v>291</v>
      </c>
      <c r="AB63" s="59" t="s">
        <v>97</v>
      </c>
      <c r="AC63" s="84" t="s">
        <v>306</v>
      </c>
      <c r="AD63" s="60" t="s">
        <v>3</v>
      </c>
      <c r="AE63" s="85">
        <v>13257</v>
      </c>
    </row>
    <row r="64" spans="1:31" ht="37.5" customHeight="1" x14ac:dyDescent="0.3">
      <c r="A64" s="51">
        <v>56</v>
      </c>
      <c r="B64" s="52" t="s">
        <v>284</v>
      </c>
      <c r="C64" s="51" t="s">
        <v>270</v>
      </c>
      <c r="D64" s="51" t="s">
        <v>307</v>
      </c>
      <c r="E64" s="51" t="s">
        <v>287</v>
      </c>
      <c r="F64" s="51" t="s">
        <v>288</v>
      </c>
      <c r="G64" s="51" t="s">
        <v>63</v>
      </c>
      <c r="H64" s="53" t="s">
        <v>308</v>
      </c>
      <c r="I64" s="54" t="s">
        <v>102</v>
      </c>
      <c r="J64" s="53"/>
      <c r="K64" s="55">
        <v>46265</v>
      </c>
      <c r="L64" s="55">
        <v>46265</v>
      </c>
      <c r="M64" s="81">
        <v>46272</v>
      </c>
      <c r="N64" s="81" t="s">
        <v>290</v>
      </c>
      <c r="O64" s="82">
        <v>9000</v>
      </c>
      <c r="P64" s="83" t="s">
        <v>67</v>
      </c>
      <c r="Q64" s="82"/>
      <c r="R64" s="83" t="s">
        <v>67</v>
      </c>
      <c r="S64" s="82"/>
      <c r="T64" s="83" t="s">
        <v>67</v>
      </c>
      <c r="U64" s="82"/>
      <c r="V64" s="83" t="s">
        <v>66</v>
      </c>
      <c r="W64" s="82"/>
      <c r="X64" s="46">
        <f t="shared" si="2"/>
        <v>9000</v>
      </c>
      <c r="Y64" s="58" t="s">
        <v>67</v>
      </c>
      <c r="Z64" s="53" t="s">
        <v>67</v>
      </c>
      <c r="AA64" s="52" t="s">
        <v>291</v>
      </c>
      <c r="AB64" s="59" t="s">
        <v>97</v>
      </c>
      <c r="AC64" s="84" t="s">
        <v>309</v>
      </c>
      <c r="AD64" s="60" t="s">
        <v>3</v>
      </c>
      <c r="AE64" s="85">
        <v>13271</v>
      </c>
    </row>
    <row r="65" spans="1:31" ht="37.5" customHeight="1" x14ac:dyDescent="0.3">
      <c r="A65" s="63">
        <v>57</v>
      </c>
      <c r="B65" s="64" t="s">
        <v>284</v>
      </c>
      <c r="C65" s="63" t="s">
        <v>310</v>
      </c>
      <c r="D65" s="51" t="s">
        <v>311</v>
      </c>
      <c r="E65" s="63" t="s">
        <v>3</v>
      </c>
      <c r="F65" s="51" t="s">
        <v>3</v>
      </c>
      <c r="G65" s="51" t="s">
        <v>138</v>
      </c>
      <c r="H65" s="53" t="s">
        <v>312</v>
      </c>
      <c r="I65" s="54" t="s">
        <v>102</v>
      </c>
      <c r="J65" s="53"/>
      <c r="K65" s="55" t="s">
        <v>228</v>
      </c>
      <c r="L65" s="62" t="s">
        <v>290</v>
      </c>
      <c r="M65" s="55">
        <v>46272</v>
      </c>
      <c r="N65" s="55"/>
      <c r="O65" s="56"/>
      <c r="P65" s="54"/>
      <c r="Q65" s="57"/>
      <c r="R65" s="54"/>
      <c r="S65" s="57"/>
      <c r="T65" s="54"/>
      <c r="U65" s="57"/>
      <c r="V65" s="53"/>
      <c r="W65" s="56"/>
      <c r="X65" s="46">
        <f t="shared" si="2"/>
        <v>0</v>
      </c>
      <c r="Y65" s="58" t="s">
        <v>67</v>
      </c>
      <c r="Z65" s="65" t="s">
        <v>228</v>
      </c>
      <c r="AA65" s="52" t="s">
        <v>291</v>
      </c>
      <c r="AB65" s="59" t="s">
        <v>97</v>
      </c>
      <c r="AC65" s="59"/>
      <c r="AD65" s="60" t="s">
        <v>3</v>
      </c>
    </row>
    <row r="66" spans="1:31" ht="37.5" customHeight="1" x14ac:dyDescent="0.3">
      <c r="A66" s="51">
        <v>58</v>
      </c>
      <c r="B66" s="52" t="s">
        <v>284</v>
      </c>
      <c r="C66" s="51" t="s">
        <v>313</v>
      </c>
      <c r="D66" s="51" t="s">
        <v>314</v>
      </c>
      <c r="E66" s="51" t="s">
        <v>287</v>
      </c>
      <c r="F66" s="51" t="s">
        <v>288</v>
      </c>
      <c r="G66" s="51" t="s">
        <v>63</v>
      </c>
      <c r="H66" s="53" t="s">
        <v>315</v>
      </c>
      <c r="I66" s="54" t="s">
        <v>102</v>
      </c>
      <c r="J66" s="53"/>
      <c r="K66" s="55">
        <v>46265</v>
      </c>
      <c r="L66" s="55">
        <v>46265</v>
      </c>
      <c r="M66" s="81">
        <v>46272</v>
      </c>
      <c r="N66" s="81" t="s">
        <v>290</v>
      </c>
      <c r="O66" s="82">
        <v>9000</v>
      </c>
      <c r="P66" s="83" t="s">
        <v>67</v>
      </c>
      <c r="Q66" s="82"/>
      <c r="R66" s="83" t="s">
        <v>67</v>
      </c>
      <c r="S66" s="82"/>
      <c r="T66" s="83" t="s">
        <v>67</v>
      </c>
      <c r="U66" s="82"/>
      <c r="V66" s="83" t="s">
        <v>66</v>
      </c>
      <c r="W66" s="82"/>
      <c r="X66" s="46">
        <f>SUM(O66, Q66, S66, U66, W66)</f>
        <v>9000</v>
      </c>
      <c r="Y66" s="58" t="s">
        <v>67</v>
      </c>
      <c r="Z66" s="53" t="s">
        <v>67</v>
      </c>
      <c r="AA66" s="52" t="s">
        <v>291</v>
      </c>
      <c r="AB66" s="59" t="s">
        <v>97</v>
      </c>
      <c r="AC66" s="84" t="s">
        <v>316</v>
      </c>
      <c r="AD66" s="60" t="s">
        <v>3</v>
      </c>
      <c r="AE66" s="85">
        <v>13273</v>
      </c>
    </row>
    <row r="67" spans="1:31" ht="37.5" customHeight="1" x14ac:dyDescent="0.3">
      <c r="A67" s="63">
        <v>59</v>
      </c>
      <c r="B67" s="64" t="s">
        <v>284</v>
      </c>
      <c r="C67" s="63" t="s">
        <v>317</v>
      </c>
      <c r="D67" s="51" t="s">
        <v>318</v>
      </c>
      <c r="E67" s="63" t="s">
        <v>3</v>
      </c>
      <c r="F67" s="51" t="s">
        <v>3</v>
      </c>
      <c r="G67" s="51" t="s">
        <v>138</v>
      </c>
      <c r="H67" s="53" t="s">
        <v>319</v>
      </c>
      <c r="I67" s="54" t="s">
        <v>102</v>
      </c>
      <c r="J67" s="53"/>
      <c r="K67" s="55" t="s">
        <v>228</v>
      </c>
      <c r="L67" s="62" t="s">
        <v>290</v>
      </c>
      <c r="M67" s="55">
        <v>46272</v>
      </c>
      <c r="N67" s="55"/>
      <c r="O67" s="56"/>
      <c r="P67" s="54"/>
      <c r="Q67" s="57"/>
      <c r="R67" s="54"/>
      <c r="S67" s="57"/>
      <c r="T67" s="54"/>
      <c r="U67" s="57"/>
      <c r="V67" s="53"/>
      <c r="W67" s="56"/>
      <c r="X67" s="46">
        <f t="shared" si="2"/>
        <v>0</v>
      </c>
      <c r="Y67" s="58" t="s">
        <v>67</v>
      </c>
      <c r="Z67" s="65" t="s">
        <v>228</v>
      </c>
      <c r="AA67" s="52" t="s">
        <v>291</v>
      </c>
      <c r="AB67" s="59" t="s">
        <v>97</v>
      </c>
      <c r="AC67" s="59"/>
      <c r="AD67" s="60" t="s">
        <v>3</v>
      </c>
    </row>
    <row r="68" spans="1:31" ht="37.5" customHeight="1" x14ac:dyDescent="0.3">
      <c r="A68" s="51">
        <v>60</v>
      </c>
      <c r="B68" s="52" t="s">
        <v>284</v>
      </c>
      <c r="C68" s="51" t="s">
        <v>245</v>
      </c>
      <c r="D68" s="51" t="s">
        <v>320</v>
      </c>
      <c r="E68" s="51" t="s">
        <v>287</v>
      </c>
      <c r="F68" s="51" t="s">
        <v>288</v>
      </c>
      <c r="G68" s="51" t="s">
        <v>63</v>
      </c>
      <c r="H68" s="53" t="s">
        <v>321</v>
      </c>
      <c r="I68" s="54" t="s">
        <v>102</v>
      </c>
      <c r="J68" s="53"/>
      <c r="K68" s="55">
        <v>46265</v>
      </c>
      <c r="L68" s="55">
        <v>46265</v>
      </c>
      <c r="M68" s="70">
        <v>46272</v>
      </c>
      <c r="N68" s="70"/>
      <c r="O68" s="57"/>
      <c r="P68" s="54"/>
      <c r="Q68" s="57"/>
      <c r="R68" s="54"/>
      <c r="S68" s="57"/>
      <c r="T68" s="54"/>
      <c r="U68" s="57"/>
      <c r="V68" s="53"/>
      <c r="W68" s="56"/>
      <c r="X68" s="46">
        <f t="shared" si="2"/>
        <v>0</v>
      </c>
      <c r="Y68" s="58" t="s">
        <v>67</v>
      </c>
      <c r="Z68" s="53" t="s">
        <v>67</v>
      </c>
      <c r="AA68" s="52" t="s">
        <v>291</v>
      </c>
      <c r="AB68" s="59" t="s">
        <v>97</v>
      </c>
      <c r="AC68" s="59"/>
      <c r="AD68" s="60" t="s">
        <v>3</v>
      </c>
    </row>
    <row r="69" spans="1:31" ht="37.5" customHeight="1" x14ac:dyDescent="0.3">
      <c r="A69" s="51">
        <v>61</v>
      </c>
      <c r="B69" s="52" t="s">
        <v>284</v>
      </c>
      <c r="C69" s="51" t="s">
        <v>322</v>
      </c>
      <c r="D69" s="51" t="s">
        <v>323</v>
      </c>
      <c r="E69" s="51" t="s">
        <v>287</v>
      </c>
      <c r="F69" s="51" t="s">
        <v>288</v>
      </c>
      <c r="G69" s="51" t="s">
        <v>63</v>
      </c>
      <c r="H69" s="53" t="s">
        <v>324</v>
      </c>
      <c r="I69" s="54" t="s">
        <v>102</v>
      </c>
      <c r="J69" s="53"/>
      <c r="K69" s="55">
        <v>46265</v>
      </c>
      <c r="L69" s="55">
        <v>46265</v>
      </c>
      <c r="M69" s="81">
        <v>46272</v>
      </c>
      <c r="N69" s="81" t="s">
        <v>290</v>
      </c>
      <c r="O69" s="82">
        <v>9000</v>
      </c>
      <c r="P69" s="83" t="s">
        <v>67</v>
      </c>
      <c r="Q69" s="82"/>
      <c r="R69" s="83" t="s">
        <v>67</v>
      </c>
      <c r="S69" s="82"/>
      <c r="T69" s="83" t="s">
        <v>67</v>
      </c>
      <c r="U69" s="82"/>
      <c r="V69" s="83" t="s">
        <v>66</v>
      </c>
      <c r="W69" s="82"/>
      <c r="X69" s="46">
        <f t="shared" si="2"/>
        <v>9000</v>
      </c>
      <c r="Y69" s="58" t="s">
        <v>67</v>
      </c>
      <c r="Z69" s="53" t="s">
        <v>67</v>
      </c>
      <c r="AA69" s="52" t="s">
        <v>291</v>
      </c>
      <c r="AB69" s="59" t="s">
        <v>97</v>
      </c>
      <c r="AC69" s="84" t="s">
        <v>325</v>
      </c>
      <c r="AD69" s="60" t="s">
        <v>3</v>
      </c>
      <c r="AE69" s="85">
        <v>13261</v>
      </c>
    </row>
    <row r="70" spans="1:31" ht="37.5" customHeight="1" x14ac:dyDescent="0.3">
      <c r="A70" s="63">
        <v>62</v>
      </c>
      <c r="B70" s="64" t="s">
        <v>284</v>
      </c>
      <c r="C70" s="63" t="s">
        <v>326</v>
      </c>
      <c r="D70" s="51" t="s">
        <v>327</v>
      </c>
      <c r="E70" s="51" t="s">
        <v>3</v>
      </c>
      <c r="F70" s="51" t="s">
        <v>3</v>
      </c>
      <c r="G70" s="51" t="s">
        <v>138</v>
      </c>
      <c r="H70" s="53" t="s">
        <v>328</v>
      </c>
      <c r="I70" s="54" t="s">
        <v>329</v>
      </c>
      <c r="J70" s="53"/>
      <c r="K70" s="55">
        <v>46265</v>
      </c>
      <c r="L70" s="62">
        <v>46265</v>
      </c>
      <c r="M70" s="55">
        <v>46272</v>
      </c>
      <c r="N70" s="55"/>
      <c r="O70" s="56"/>
      <c r="P70" s="54"/>
      <c r="Q70" s="57"/>
      <c r="R70" s="54"/>
      <c r="S70" s="57"/>
      <c r="T70" s="54"/>
      <c r="U70" s="57"/>
      <c r="V70" s="53"/>
      <c r="W70" s="56"/>
      <c r="X70" s="46">
        <f t="shared" si="2"/>
        <v>0</v>
      </c>
      <c r="Y70" s="58" t="s">
        <v>67</v>
      </c>
      <c r="Z70" s="53" t="s">
        <v>67</v>
      </c>
      <c r="AA70" s="52" t="s">
        <v>291</v>
      </c>
      <c r="AB70" s="59" t="s">
        <v>97</v>
      </c>
      <c r="AC70" s="59"/>
      <c r="AD70" s="60" t="s">
        <v>3</v>
      </c>
    </row>
    <row r="71" spans="1:31" ht="37.5" customHeight="1" x14ac:dyDescent="0.3">
      <c r="A71" s="51">
        <v>63</v>
      </c>
      <c r="B71" s="52" t="s">
        <v>284</v>
      </c>
      <c r="C71" s="51" t="s">
        <v>198</v>
      </c>
      <c r="D71" s="51" t="s">
        <v>330</v>
      </c>
      <c r="E71" s="51" t="s">
        <v>3</v>
      </c>
      <c r="F71" s="51" t="s">
        <v>3</v>
      </c>
      <c r="G71" s="51" t="s">
        <v>74</v>
      </c>
      <c r="H71" s="53" t="s">
        <v>331</v>
      </c>
      <c r="I71" s="54" t="s">
        <v>117</v>
      </c>
      <c r="J71" s="53"/>
      <c r="K71" s="55">
        <v>46265</v>
      </c>
      <c r="L71" s="62">
        <v>46265</v>
      </c>
      <c r="M71" s="55">
        <v>46272</v>
      </c>
      <c r="N71" s="55"/>
      <c r="O71" s="56"/>
      <c r="P71" s="54"/>
      <c r="Q71" s="57"/>
      <c r="R71" s="54"/>
      <c r="S71" s="57"/>
      <c r="T71" s="54"/>
      <c r="U71" s="57"/>
      <c r="V71" s="53" t="s">
        <v>66</v>
      </c>
      <c r="W71" s="56"/>
      <c r="X71" s="46">
        <f t="shared" ref="X71:X86" si="3">SUM(O71, Q71, S71, U71, W71)</f>
        <v>0</v>
      </c>
      <c r="Y71" s="58" t="s">
        <v>67</v>
      </c>
      <c r="Z71" s="53" t="s">
        <v>66</v>
      </c>
      <c r="AA71" s="52" t="s">
        <v>291</v>
      </c>
      <c r="AB71" s="59" t="s">
        <v>97</v>
      </c>
      <c r="AC71" s="59" t="s">
        <v>332</v>
      </c>
      <c r="AD71" s="60" t="s">
        <v>3</v>
      </c>
    </row>
    <row r="72" spans="1:31" ht="37.5" customHeight="1" x14ac:dyDescent="0.3">
      <c r="A72" s="51">
        <v>64</v>
      </c>
      <c r="B72" s="52" t="s">
        <v>284</v>
      </c>
      <c r="C72" s="51" t="s">
        <v>333</v>
      </c>
      <c r="D72" s="51" t="s">
        <v>334</v>
      </c>
      <c r="E72" s="51" t="s">
        <v>287</v>
      </c>
      <c r="F72" s="51" t="s">
        <v>288</v>
      </c>
      <c r="G72" s="51" t="s">
        <v>63</v>
      </c>
      <c r="H72" s="53" t="s">
        <v>335</v>
      </c>
      <c r="I72" s="54" t="s">
        <v>102</v>
      </c>
      <c r="J72" s="53"/>
      <c r="K72" s="55">
        <v>46265</v>
      </c>
      <c r="L72" s="55">
        <v>46265</v>
      </c>
      <c r="M72" s="70">
        <v>46272</v>
      </c>
      <c r="N72" s="70"/>
      <c r="O72" s="57"/>
      <c r="P72" s="54"/>
      <c r="Q72" s="57"/>
      <c r="R72" s="54"/>
      <c r="S72" s="57"/>
      <c r="T72" s="54"/>
      <c r="U72" s="57"/>
      <c r="V72" s="53"/>
      <c r="W72" s="56"/>
      <c r="X72" s="46">
        <f t="shared" si="3"/>
        <v>0</v>
      </c>
      <c r="Y72" s="58" t="s">
        <v>67</v>
      </c>
      <c r="Z72" s="53" t="s">
        <v>67</v>
      </c>
      <c r="AA72" s="52" t="s">
        <v>291</v>
      </c>
      <c r="AB72" s="59" t="s">
        <v>97</v>
      </c>
      <c r="AC72" s="59"/>
      <c r="AD72" s="60" t="s">
        <v>3</v>
      </c>
    </row>
    <row r="73" spans="1:31" ht="37.5" customHeight="1" x14ac:dyDescent="0.3">
      <c r="A73" s="51">
        <v>65</v>
      </c>
      <c r="B73" s="52" t="s">
        <v>284</v>
      </c>
      <c r="C73" s="51" t="s">
        <v>336</v>
      </c>
      <c r="D73" s="51" t="s">
        <v>337</v>
      </c>
      <c r="E73" s="51" t="s">
        <v>287</v>
      </c>
      <c r="F73" s="51" t="s">
        <v>288</v>
      </c>
      <c r="G73" s="51" t="s">
        <v>63</v>
      </c>
      <c r="H73" s="53" t="s">
        <v>338</v>
      </c>
      <c r="I73" s="54" t="s">
        <v>102</v>
      </c>
      <c r="J73" s="53"/>
      <c r="K73" s="55">
        <v>46265</v>
      </c>
      <c r="L73" s="55">
        <v>46265</v>
      </c>
      <c r="M73" s="81">
        <v>46272</v>
      </c>
      <c r="N73" s="81" t="s">
        <v>290</v>
      </c>
      <c r="O73" s="82">
        <v>9000</v>
      </c>
      <c r="P73" s="83" t="s">
        <v>67</v>
      </c>
      <c r="Q73" s="82"/>
      <c r="R73" s="83" t="s">
        <v>67</v>
      </c>
      <c r="S73" s="82"/>
      <c r="T73" s="83" t="s">
        <v>67</v>
      </c>
      <c r="U73" s="82"/>
      <c r="V73" s="83" t="s">
        <v>67</v>
      </c>
      <c r="W73" s="82"/>
      <c r="X73" s="46">
        <f t="shared" si="3"/>
        <v>9000</v>
      </c>
      <c r="Y73" s="58" t="s">
        <v>67</v>
      </c>
      <c r="Z73" s="53" t="s">
        <v>67</v>
      </c>
      <c r="AA73" s="52" t="s">
        <v>291</v>
      </c>
      <c r="AB73" s="59" t="s">
        <v>97</v>
      </c>
      <c r="AC73" s="84" t="s">
        <v>339</v>
      </c>
      <c r="AD73" s="60" t="s">
        <v>3</v>
      </c>
      <c r="AE73" s="85">
        <v>13275</v>
      </c>
    </row>
    <row r="74" spans="1:31" ht="37.5" customHeight="1" x14ac:dyDescent="0.3">
      <c r="A74" s="51">
        <v>66</v>
      </c>
      <c r="B74" s="52" t="s">
        <v>284</v>
      </c>
      <c r="C74" s="51" t="s">
        <v>202</v>
      </c>
      <c r="D74" s="51" t="s">
        <v>340</v>
      </c>
      <c r="E74" s="51" t="s">
        <v>3</v>
      </c>
      <c r="F74" s="51" t="s">
        <v>3</v>
      </c>
      <c r="G74" s="51" t="s">
        <v>74</v>
      </c>
      <c r="H74" s="53" t="s">
        <v>341</v>
      </c>
      <c r="I74" s="54" t="s">
        <v>65</v>
      </c>
      <c r="J74" s="53"/>
      <c r="K74" s="55">
        <v>46265</v>
      </c>
      <c r="L74" s="62">
        <v>46265</v>
      </c>
      <c r="M74" s="55">
        <v>46272</v>
      </c>
      <c r="N74" s="55"/>
      <c r="O74" s="56"/>
      <c r="P74" s="54"/>
      <c r="Q74" s="57"/>
      <c r="R74" s="54"/>
      <c r="S74" s="57"/>
      <c r="T74" s="54"/>
      <c r="U74" s="57"/>
      <c r="V74" s="53" t="s">
        <v>66</v>
      </c>
      <c r="W74" s="56"/>
      <c r="X74" s="46">
        <f t="shared" si="3"/>
        <v>0</v>
      </c>
      <c r="Y74" s="58" t="s">
        <v>67</v>
      </c>
      <c r="Z74" s="53" t="s">
        <v>66</v>
      </c>
      <c r="AA74" s="52" t="s">
        <v>291</v>
      </c>
      <c r="AB74" s="59" t="s">
        <v>97</v>
      </c>
      <c r="AC74" s="59" t="s">
        <v>342</v>
      </c>
      <c r="AD74" s="60" t="s">
        <v>3</v>
      </c>
    </row>
    <row r="75" spans="1:31" ht="37.5" customHeight="1" x14ac:dyDescent="0.3">
      <c r="A75" s="51">
        <v>67</v>
      </c>
      <c r="B75" s="52" t="s">
        <v>284</v>
      </c>
      <c r="C75" s="51" t="s">
        <v>217</v>
      </c>
      <c r="D75" s="51" t="s">
        <v>343</v>
      </c>
      <c r="E75" s="51" t="s">
        <v>287</v>
      </c>
      <c r="F75" s="51" t="s">
        <v>288</v>
      </c>
      <c r="G75" s="51" t="s">
        <v>63</v>
      </c>
      <c r="H75" s="53" t="s">
        <v>344</v>
      </c>
      <c r="I75" s="54" t="s">
        <v>102</v>
      </c>
      <c r="J75" s="53"/>
      <c r="K75" s="55">
        <v>46265</v>
      </c>
      <c r="L75" s="55">
        <v>46265</v>
      </c>
      <c r="M75" s="81">
        <v>46272</v>
      </c>
      <c r="N75" s="81" t="s">
        <v>290</v>
      </c>
      <c r="O75" s="82">
        <v>9000</v>
      </c>
      <c r="P75" s="83" t="s">
        <v>67</v>
      </c>
      <c r="Q75" s="82"/>
      <c r="R75" s="83" t="s">
        <v>67</v>
      </c>
      <c r="S75" s="82"/>
      <c r="T75" s="83" t="s">
        <v>67</v>
      </c>
      <c r="U75" s="82"/>
      <c r="V75" s="83" t="s">
        <v>66</v>
      </c>
      <c r="W75" s="82"/>
      <c r="X75" s="46">
        <f t="shared" si="3"/>
        <v>9000</v>
      </c>
      <c r="Y75" s="58" t="s">
        <v>67</v>
      </c>
      <c r="Z75" s="53" t="s">
        <v>67</v>
      </c>
      <c r="AA75" s="52" t="s">
        <v>291</v>
      </c>
      <c r="AB75" s="59" t="s">
        <v>97</v>
      </c>
      <c r="AC75" s="84" t="s">
        <v>345</v>
      </c>
      <c r="AD75" s="60" t="s">
        <v>3</v>
      </c>
      <c r="AE75" s="85">
        <v>13277</v>
      </c>
    </row>
    <row r="76" spans="1:31" ht="37.5" customHeight="1" x14ac:dyDescent="0.3">
      <c r="A76" s="51">
        <v>68</v>
      </c>
      <c r="B76" s="52" t="s">
        <v>284</v>
      </c>
      <c r="C76" s="51" t="s">
        <v>346</v>
      </c>
      <c r="D76" s="51" t="s">
        <v>347</v>
      </c>
      <c r="E76" s="51" t="s">
        <v>3</v>
      </c>
      <c r="F76" s="51" t="s">
        <v>3</v>
      </c>
      <c r="G76" s="51" t="s">
        <v>74</v>
      </c>
      <c r="H76" s="53" t="s">
        <v>348</v>
      </c>
      <c r="I76" s="54" t="s">
        <v>117</v>
      </c>
      <c r="J76" s="53"/>
      <c r="K76" s="55">
        <v>46265</v>
      </c>
      <c r="L76" s="62">
        <v>46265</v>
      </c>
      <c r="M76" s="55">
        <v>46272</v>
      </c>
      <c r="N76" s="55"/>
      <c r="O76" s="56"/>
      <c r="P76" s="54"/>
      <c r="Q76" s="57"/>
      <c r="R76" s="54"/>
      <c r="S76" s="57"/>
      <c r="T76" s="54"/>
      <c r="U76" s="57"/>
      <c r="V76" s="53" t="s">
        <v>66</v>
      </c>
      <c r="W76" s="56"/>
      <c r="X76" s="46">
        <f t="shared" si="3"/>
        <v>0</v>
      </c>
      <c r="Y76" s="58" t="s">
        <v>67</v>
      </c>
      <c r="Z76" s="53" t="s">
        <v>66</v>
      </c>
      <c r="AA76" s="52" t="s">
        <v>291</v>
      </c>
      <c r="AB76" s="59" t="s">
        <v>97</v>
      </c>
      <c r="AC76" s="59" t="s">
        <v>349</v>
      </c>
      <c r="AD76" s="60" t="s">
        <v>3</v>
      </c>
    </row>
    <row r="77" spans="1:31" ht="37.5" customHeight="1" x14ac:dyDescent="0.3">
      <c r="A77" s="51">
        <v>69</v>
      </c>
      <c r="B77" s="52" t="s">
        <v>284</v>
      </c>
      <c r="C77" s="51" t="s">
        <v>350</v>
      </c>
      <c r="D77" s="51" t="s">
        <v>351</v>
      </c>
      <c r="E77" s="51" t="s">
        <v>3</v>
      </c>
      <c r="F77" s="51" t="s">
        <v>3</v>
      </c>
      <c r="G77" s="51" t="s">
        <v>74</v>
      </c>
      <c r="H77" s="53" t="s">
        <v>352</v>
      </c>
      <c r="I77" s="54" t="s">
        <v>65</v>
      </c>
      <c r="J77" s="53"/>
      <c r="K77" s="55">
        <v>46265</v>
      </c>
      <c r="L77" s="62">
        <v>46265</v>
      </c>
      <c r="M77" s="55">
        <v>46272</v>
      </c>
      <c r="N77" s="55"/>
      <c r="O77" s="56"/>
      <c r="P77" s="54"/>
      <c r="Q77" s="57"/>
      <c r="R77" s="54"/>
      <c r="S77" s="57"/>
      <c r="T77" s="54"/>
      <c r="U77" s="57"/>
      <c r="V77" s="53" t="s">
        <v>66</v>
      </c>
      <c r="W77" s="56"/>
      <c r="X77" s="46">
        <f t="shared" si="3"/>
        <v>0</v>
      </c>
      <c r="Y77" s="58" t="s">
        <v>67</v>
      </c>
      <c r="Z77" s="53" t="s">
        <v>66</v>
      </c>
      <c r="AA77" s="52" t="s">
        <v>291</v>
      </c>
      <c r="AB77" s="59" t="s">
        <v>97</v>
      </c>
      <c r="AC77" s="59" t="s">
        <v>353</v>
      </c>
      <c r="AD77" s="60" t="s">
        <v>3</v>
      </c>
    </row>
    <row r="78" spans="1:31" ht="37.5" customHeight="1" x14ac:dyDescent="0.3">
      <c r="A78" s="51">
        <v>70</v>
      </c>
      <c r="B78" s="52" t="s">
        <v>284</v>
      </c>
      <c r="C78" s="51" t="s">
        <v>354</v>
      </c>
      <c r="D78" s="51" t="s">
        <v>355</v>
      </c>
      <c r="E78" s="51" t="s">
        <v>287</v>
      </c>
      <c r="F78" s="51" t="s">
        <v>288</v>
      </c>
      <c r="G78" s="51" t="s">
        <v>63</v>
      </c>
      <c r="H78" s="53" t="s">
        <v>356</v>
      </c>
      <c r="I78" s="54" t="s">
        <v>102</v>
      </c>
      <c r="J78" s="53"/>
      <c r="K78" s="55">
        <v>46265</v>
      </c>
      <c r="L78" s="55">
        <v>46265</v>
      </c>
      <c r="M78" s="81">
        <v>46272</v>
      </c>
      <c r="N78" s="81" t="s">
        <v>290</v>
      </c>
      <c r="O78" s="82">
        <v>9000</v>
      </c>
      <c r="P78" s="83" t="s">
        <v>67</v>
      </c>
      <c r="Q78" s="82"/>
      <c r="R78" s="83" t="s">
        <v>67</v>
      </c>
      <c r="S78" s="82"/>
      <c r="T78" s="83" t="s">
        <v>67</v>
      </c>
      <c r="U78" s="82"/>
      <c r="V78" s="83" t="s">
        <v>66</v>
      </c>
      <c r="W78" s="82"/>
      <c r="X78" s="46">
        <f t="shared" si="3"/>
        <v>9000</v>
      </c>
      <c r="Y78" s="58" t="s">
        <v>67</v>
      </c>
      <c r="Z78" s="53" t="s">
        <v>67</v>
      </c>
      <c r="AA78" s="52" t="s">
        <v>291</v>
      </c>
      <c r="AB78" s="59" t="s">
        <v>97</v>
      </c>
      <c r="AC78" s="84" t="s">
        <v>357</v>
      </c>
      <c r="AD78" s="60" t="s">
        <v>3</v>
      </c>
      <c r="AE78" s="85">
        <v>13471</v>
      </c>
    </row>
    <row r="79" spans="1:31" ht="37.5" customHeight="1" x14ac:dyDescent="0.3">
      <c r="A79" s="63">
        <v>71</v>
      </c>
      <c r="B79" s="64" t="s">
        <v>284</v>
      </c>
      <c r="C79" s="63" t="s">
        <v>358</v>
      </c>
      <c r="D79" s="51" t="s">
        <v>359</v>
      </c>
      <c r="E79" s="63" t="s">
        <v>287</v>
      </c>
      <c r="F79" s="51" t="s">
        <v>288</v>
      </c>
      <c r="G79" s="51" t="s">
        <v>63</v>
      </c>
      <c r="H79" s="53" t="s">
        <v>360</v>
      </c>
      <c r="I79" s="54" t="s">
        <v>102</v>
      </c>
      <c r="J79" s="53"/>
      <c r="K79" s="55" t="s">
        <v>102</v>
      </c>
      <c r="L79" s="55"/>
      <c r="M79" s="70">
        <v>46272</v>
      </c>
      <c r="N79" s="70"/>
      <c r="O79" s="57"/>
      <c r="P79" s="54"/>
      <c r="Q79" s="57"/>
      <c r="R79" s="54"/>
      <c r="S79" s="57"/>
      <c r="T79" s="54"/>
      <c r="U79" s="57"/>
      <c r="V79" s="53"/>
      <c r="W79" s="56"/>
      <c r="X79" s="46">
        <f t="shared" si="3"/>
        <v>0</v>
      </c>
      <c r="Y79" s="58" t="s">
        <v>67</v>
      </c>
      <c r="Z79" s="65" t="s">
        <v>228</v>
      </c>
      <c r="AA79" s="52" t="s">
        <v>291</v>
      </c>
      <c r="AB79" s="59" t="s">
        <v>97</v>
      </c>
      <c r="AC79" s="59"/>
      <c r="AD79" s="60" t="s">
        <v>3</v>
      </c>
    </row>
    <row r="80" spans="1:31" ht="37.5" customHeight="1" x14ac:dyDescent="0.3">
      <c r="A80" s="63">
        <v>72</v>
      </c>
      <c r="B80" s="64" t="s">
        <v>284</v>
      </c>
      <c r="C80" s="63" t="s">
        <v>361</v>
      </c>
      <c r="D80" s="51" t="s">
        <v>362</v>
      </c>
      <c r="E80" s="63" t="s">
        <v>287</v>
      </c>
      <c r="F80" s="51" t="s">
        <v>288</v>
      </c>
      <c r="G80" s="51" t="s">
        <v>63</v>
      </c>
      <c r="H80" s="90">
        <v>16527</v>
      </c>
      <c r="I80" s="54" t="s">
        <v>102</v>
      </c>
      <c r="J80" s="53"/>
      <c r="K80" s="55" t="s">
        <v>102</v>
      </c>
      <c r="L80" s="55"/>
      <c r="M80" s="81">
        <v>46272</v>
      </c>
      <c r="N80" s="81" t="s">
        <v>290</v>
      </c>
      <c r="O80" s="82">
        <v>9000</v>
      </c>
      <c r="P80" s="83" t="s">
        <v>67</v>
      </c>
      <c r="Q80" s="82"/>
      <c r="R80" s="83" t="s">
        <v>67</v>
      </c>
      <c r="S80" s="82"/>
      <c r="T80" s="83" t="s">
        <v>67</v>
      </c>
      <c r="U80" s="82"/>
      <c r="V80" s="83" t="s">
        <v>67</v>
      </c>
      <c r="W80" s="82"/>
      <c r="X80" s="46">
        <f t="shared" si="3"/>
        <v>9000</v>
      </c>
      <c r="Y80" s="58" t="s">
        <v>67</v>
      </c>
      <c r="Z80" s="65" t="s">
        <v>228</v>
      </c>
      <c r="AA80" s="52" t="s">
        <v>291</v>
      </c>
      <c r="AB80" s="59" t="s">
        <v>97</v>
      </c>
      <c r="AC80" s="84" t="s">
        <v>363</v>
      </c>
      <c r="AD80" s="60" t="s">
        <v>224</v>
      </c>
      <c r="AE80" s="85">
        <v>11634</v>
      </c>
    </row>
    <row r="81" spans="1:30" ht="37.5" customHeight="1" x14ac:dyDescent="0.3">
      <c r="A81" s="63">
        <v>73</v>
      </c>
      <c r="B81" s="64" t="s">
        <v>284</v>
      </c>
      <c r="C81" s="63" t="s">
        <v>364</v>
      </c>
      <c r="D81" s="51" t="s">
        <v>365</v>
      </c>
      <c r="E81" s="63" t="s">
        <v>3</v>
      </c>
      <c r="F81" s="51" t="s">
        <v>3</v>
      </c>
      <c r="G81" s="51" t="s">
        <v>138</v>
      </c>
      <c r="H81" s="53" t="s">
        <v>366</v>
      </c>
      <c r="I81" s="54" t="s">
        <v>102</v>
      </c>
      <c r="J81" s="53"/>
      <c r="K81" s="55" t="s">
        <v>102</v>
      </c>
      <c r="L81" s="62" t="s">
        <v>290</v>
      </c>
      <c r="M81" s="55">
        <v>46272</v>
      </c>
      <c r="N81" s="55"/>
      <c r="O81" s="56"/>
      <c r="P81" s="54"/>
      <c r="Q81" s="57"/>
      <c r="R81" s="54"/>
      <c r="S81" s="57"/>
      <c r="T81" s="54"/>
      <c r="U81" s="57"/>
      <c r="V81" s="53"/>
      <c r="W81" s="56"/>
      <c r="X81" s="46">
        <f t="shared" si="3"/>
        <v>0</v>
      </c>
      <c r="Y81" s="58" t="s">
        <v>67</v>
      </c>
      <c r="Z81" s="65" t="s">
        <v>228</v>
      </c>
      <c r="AA81" s="52" t="s">
        <v>291</v>
      </c>
      <c r="AB81" s="59" t="s">
        <v>97</v>
      </c>
      <c r="AC81" s="59"/>
      <c r="AD81" s="60" t="s">
        <v>3</v>
      </c>
    </row>
    <row r="82" spans="1:30" ht="37.5" customHeight="1" x14ac:dyDescent="0.3">
      <c r="A82" s="51">
        <v>74</v>
      </c>
      <c r="B82" s="52" t="s">
        <v>284</v>
      </c>
      <c r="C82" s="51" t="s">
        <v>367</v>
      </c>
      <c r="D82" s="51" t="s">
        <v>368</v>
      </c>
      <c r="E82" s="51" t="s">
        <v>3</v>
      </c>
      <c r="F82" s="51" t="s">
        <v>3</v>
      </c>
      <c r="G82" s="51" t="s">
        <v>74</v>
      </c>
      <c r="H82" s="53" t="s">
        <v>369</v>
      </c>
      <c r="I82" s="54" t="s">
        <v>81</v>
      </c>
      <c r="J82" s="53"/>
      <c r="K82" s="55">
        <v>46265</v>
      </c>
      <c r="L82" s="62">
        <v>46265</v>
      </c>
      <c r="M82" s="55">
        <v>46272</v>
      </c>
      <c r="N82" s="55"/>
      <c r="O82" s="56"/>
      <c r="P82" s="54"/>
      <c r="Q82" s="57"/>
      <c r="R82" s="54"/>
      <c r="S82" s="57"/>
      <c r="T82" s="54"/>
      <c r="U82" s="57"/>
      <c r="V82" s="53" t="s">
        <v>66</v>
      </c>
      <c r="W82" s="56"/>
      <c r="X82" s="46">
        <f t="shared" si="3"/>
        <v>0</v>
      </c>
      <c r="Y82" s="58" t="s">
        <v>67</v>
      </c>
      <c r="Z82" s="53" t="s">
        <v>66</v>
      </c>
      <c r="AA82" s="52" t="s">
        <v>291</v>
      </c>
      <c r="AB82" s="59" t="s">
        <v>97</v>
      </c>
      <c r="AC82" s="59" t="s">
        <v>370</v>
      </c>
      <c r="AD82" s="60" t="s">
        <v>3</v>
      </c>
    </row>
    <row r="83" spans="1:30" ht="37.5" customHeight="1" x14ac:dyDescent="0.3">
      <c r="A83" s="106">
        <v>165</v>
      </c>
      <c r="B83" s="107" t="s">
        <v>284</v>
      </c>
      <c r="C83" s="106">
        <v>77</v>
      </c>
      <c r="D83" s="51" t="s">
        <v>371</v>
      </c>
      <c r="E83" s="51" t="s">
        <v>3</v>
      </c>
      <c r="F83" s="51" t="s">
        <v>3</v>
      </c>
      <c r="G83" s="51" t="s">
        <v>74</v>
      </c>
      <c r="H83" s="53">
        <v>16927</v>
      </c>
      <c r="I83" s="54"/>
      <c r="J83" s="53"/>
      <c r="K83" s="55">
        <v>46265</v>
      </c>
      <c r="L83" s="62"/>
      <c r="M83" s="55">
        <v>46272</v>
      </c>
      <c r="N83" s="55"/>
      <c r="O83" s="56"/>
      <c r="P83" s="54"/>
      <c r="Q83" s="57"/>
      <c r="R83" s="54"/>
      <c r="S83" s="57"/>
      <c r="T83" s="54"/>
      <c r="U83" s="57"/>
      <c r="V83" s="53" t="s">
        <v>66</v>
      </c>
      <c r="W83" s="56"/>
      <c r="X83" s="46">
        <f t="shared" si="3"/>
        <v>0</v>
      </c>
      <c r="Y83" s="58" t="s">
        <v>67</v>
      </c>
      <c r="Z83" s="53" t="s">
        <v>67</v>
      </c>
      <c r="AA83" s="52"/>
      <c r="AB83" s="59"/>
      <c r="AC83" s="59"/>
      <c r="AD83" s="60"/>
    </row>
    <row r="84" spans="1:30" ht="37.5" customHeight="1" x14ac:dyDescent="0.3">
      <c r="A84" s="106">
        <v>166</v>
      </c>
      <c r="B84" s="107" t="s">
        <v>284</v>
      </c>
      <c r="C84" s="106">
        <v>58</v>
      </c>
      <c r="D84" s="51" t="s">
        <v>372</v>
      </c>
      <c r="E84" s="51" t="s">
        <v>3</v>
      </c>
      <c r="F84" s="51" t="s">
        <v>3</v>
      </c>
      <c r="G84" s="51" t="s">
        <v>74</v>
      </c>
      <c r="H84" s="53">
        <v>16928</v>
      </c>
      <c r="I84" s="54"/>
      <c r="J84" s="53"/>
      <c r="K84" s="55">
        <v>46265</v>
      </c>
      <c r="L84" s="62"/>
      <c r="M84" s="55">
        <v>46272</v>
      </c>
      <c r="N84" s="55"/>
      <c r="O84" s="56"/>
      <c r="P84" s="54"/>
      <c r="Q84" s="57"/>
      <c r="R84" s="54"/>
      <c r="S84" s="57"/>
      <c r="T84" s="54"/>
      <c r="U84" s="57"/>
      <c r="V84" s="53" t="s">
        <v>66</v>
      </c>
      <c r="W84" s="56"/>
      <c r="X84" s="46">
        <f t="shared" si="3"/>
        <v>0</v>
      </c>
      <c r="Y84" s="58" t="s">
        <v>67</v>
      </c>
      <c r="Z84" s="53" t="s">
        <v>67</v>
      </c>
      <c r="AA84" s="52"/>
      <c r="AB84" s="59"/>
      <c r="AC84" s="59"/>
      <c r="AD84" s="60"/>
    </row>
    <row r="85" spans="1:30" ht="37.5" customHeight="1" x14ac:dyDescent="0.3">
      <c r="A85" s="106">
        <v>167</v>
      </c>
      <c r="B85" s="107" t="s">
        <v>284</v>
      </c>
      <c r="C85" s="106">
        <v>37</v>
      </c>
      <c r="D85" s="51" t="s">
        <v>373</v>
      </c>
      <c r="E85" s="51" t="s">
        <v>3</v>
      </c>
      <c r="F85" s="51" t="s">
        <v>3</v>
      </c>
      <c r="G85" s="51" t="s">
        <v>74</v>
      </c>
      <c r="H85" s="53">
        <v>16929</v>
      </c>
      <c r="I85" s="54"/>
      <c r="J85" s="53"/>
      <c r="K85" s="55">
        <v>46265</v>
      </c>
      <c r="L85" s="62"/>
      <c r="M85" s="55">
        <v>46272</v>
      </c>
      <c r="N85" s="55"/>
      <c r="O85" s="56"/>
      <c r="P85" s="54"/>
      <c r="Q85" s="57"/>
      <c r="R85" s="54"/>
      <c r="S85" s="57"/>
      <c r="T85" s="54"/>
      <c r="U85" s="57"/>
      <c r="V85" s="53" t="s">
        <v>66</v>
      </c>
      <c r="W85" s="56"/>
      <c r="X85" s="46">
        <f t="shared" si="3"/>
        <v>0</v>
      </c>
      <c r="Y85" s="58" t="s">
        <v>67</v>
      </c>
      <c r="Z85" s="53" t="s">
        <v>67</v>
      </c>
      <c r="AA85" s="52"/>
      <c r="AB85" s="59"/>
      <c r="AC85" s="59"/>
      <c r="AD85" s="60"/>
    </row>
    <row r="86" spans="1:30" ht="37.5" customHeight="1" x14ac:dyDescent="0.3">
      <c r="A86" s="51">
        <v>75</v>
      </c>
      <c r="B86" s="52" t="s">
        <v>374</v>
      </c>
      <c r="C86" s="51" t="s">
        <v>375</v>
      </c>
      <c r="D86" s="51" t="s">
        <v>376</v>
      </c>
      <c r="E86" s="51" t="s">
        <v>101</v>
      </c>
      <c r="F86" s="51" t="s">
        <v>3</v>
      </c>
      <c r="G86" s="51" t="s">
        <v>138</v>
      </c>
      <c r="H86" s="53" t="s">
        <v>377</v>
      </c>
      <c r="I86" s="54"/>
      <c r="J86" s="53"/>
      <c r="K86" s="55">
        <v>46280</v>
      </c>
      <c r="L86" s="62" t="s">
        <v>290</v>
      </c>
      <c r="M86" s="55">
        <v>46272</v>
      </c>
      <c r="N86" s="55"/>
      <c r="O86" s="56"/>
      <c r="P86" s="54"/>
      <c r="Q86" s="57"/>
      <c r="R86" s="54"/>
      <c r="S86" s="57"/>
      <c r="T86" s="54"/>
      <c r="U86" s="57"/>
      <c r="V86" s="53"/>
      <c r="W86" s="56"/>
      <c r="X86" s="46">
        <f t="shared" si="3"/>
        <v>0</v>
      </c>
      <c r="Y86" s="58" t="s">
        <v>67</v>
      </c>
      <c r="Z86" s="53" t="s">
        <v>67</v>
      </c>
      <c r="AA86" s="52" t="s">
        <v>68</v>
      </c>
      <c r="AB86" s="69" t="s">
        <v>69</v>
      </c>
      <c r="AC86" s="59"/>
      <c r="AD86" s="60" t="s">
        <v>71</v>
      </c>
    </row>
    <row r="87" spans="1:30" ht="37.5" customHeight="1" x14ac:dyDescent="0.3">
      <c r="A87" s="63">
        <v>76</v>
      </c>
      <c r="B87" s="64" t="s">
        <v>378</v>
      </c>
      <c r="C87" s="63" t="s">
        <v>233</v>
      </c>
      <c r="D87" s="51" t="s">
        <v>379</v>
      </c>
      <c r="E87" s="63" t="s">
        <v>3</v>
      </c>
      <c r="F87" s="51" t="s">
        <v>3</v>
      </c>
      <c r="G87" s="51" t="s">
        <v>63</v>
      </c>
      <c r="H87" s="53" t="s">
        <v>380</v>
      </c>
      <c r="I87" s="54" t="s">
        <v>102</v>
      </c>
      <c r="J87" s="53"/>
      <c r="K87" s="55" t="s">
        <v>102</v>
      </c>
      <c r="L87" s="55"/>
      <c r="M87" s="70"/>
      <c r="N87" s="70"/>
      <c r="O87" s="57"/>
      <c r="P87" s="54"/>
      <c r="Q87" s="57"/>
      <c r="R87" s="54"/>
      <c r="S87" s="57"/>
      <c r="T87" s="54"/>
      <c r="U87" s="57"/>
      <c r="V87" s="53"/>
      <c r="W87" s="56"/>
      <c r="X87" s="46">
        <f t="shared" ref="X87:X153" si="4">SUM(O87, Q87, S87, U87, W87)</f>
        <v>0</v>
      </c>
      <c r="Y87" s="58" t="s">
        <v>67</v>
      </c>
      <c r="Z87" s="53" t="s">
        <v>67</v>
      </c>
      <c r="AA87" s="52"/>
      <c r="AB87" s="69" t="s">
        <v>69</v>
      </c>
      <c r="AC87" s="59"/>
      <c r="AD87" s="60" t="s">
        <v>71</v>
      </c>
    </row>
    <row r="88" spans="1:30" ht="37.5" customHeight="1" x14ac:dyDescent="0.3">
      <c r="A88" s="63">
        <v>77</v>
      </c>
      <c r="B88" s="64" t="s">
        <v>378</v>
      </c>
      <c r="C88" s="63" t="s">
        <v>236</v>
      </c>
      <c r="D88" s="51" t="s">
        <v>381</v>
      </c>
      <c r="E88" s="63" t="s">
        <v>3</v>
      </c>
      <c r="F88" s="51" t="s">
        <v>3</v>
      </c>
      <c r="G88" s="51" t="s">
        <v>63</v>
      </c>
      <c r="H88" s="53" t="s">
        <v>382</v>
      </c>
      <c r="I88" s="54" t="s">
        <v>102</v>
      </c>
      <c r="J88" s="53"/>
      <c r="K88" s="55" t="s">
        <v>102</v>
      </c>
      <c r="L88" s="55"/>
      <c r="M88" s="70"/>
      <c r="N88" s="70"/>
      <c r="O88" s="57"/>
      <c r="P88" s="54"/>
      <c r="Q88" s="57"/>
      <c r="R88" s="54"/>
      <c r="S88" s="57"/>
      <c r="T88" s="54"/>
      <c r="U88" s="57"/>
      <c r="V88" s="53"/>
      <c r="W88" s="56"/>
      <c r="X88" s="46">
        <f t="shared" si="4"/>
        <v>0</v>
      </c>
      <c r="Y88" s="58" t="s">
        <v>67</v>
      </c>
      <c r="Z88" s="65" t="s">
        <v>383</v>
      </c>
      <c r="AA88" s="52" t="s">
        <v>76</v>
      </c>
      <c r="AB88" s="59" t="s">
        <v>77</v>
      </c>
      <c r="AC88" s="59"/>
      <c r="AD88" s="60" t="s">
        <v>3</v>
      </c>
    </row>
    <row r="89" spans="1:30" ht="37.5" customHeight="1" x14ac:dyDescent="0.3">
      <c r="A89" s="63">
        <v>78</v>
      </c>
      <c r="B89" s="64" t="s">
        <v>378</v>
      </c>
      <c r="C89" s="63" t="s">
        <v>384</v>
      </c>
      <c r="D89" s="51" t="s">
        <v>385</v>
      </c>
      <c r="E89" s="63" t="s">
        <v>3</v>
      </c>
      <c r="F89" s="51" t="s">
        <v>3</v>
      </c>
      <c r="G89" s="51" t="s">
        <v>63</v>
      </c>
      <c r="H89" s="53" t="s">
        <v>386</v>
      </c>
      <c r="I89" s="54" t="s">
        <v>102</v>
      </c>
      <c r="J89" s="53"/>
      <c r="K89" s="55" t="s">
        <v>102</v>
      </c>
      <c r="L89" s="55"/>
      <c r="M89" s="70"/>
      <c r="N89" s="70"/>
      <c r="O89" s="57"/>
      <c r="P89" s="54"/>
      <c r="Q89" s="57"/>
      <c r="R89" s="54"/>
      <c r="S89" s="57"/>
      <c r="T89" s="54"/>
      <c r="U89" s="57"/>
      <c r="V89" s="53"/>
      <c r="W89" s="56"/>
      <c r="X89" s="46">
        <f t="shared" si="4"/>
        <v>0</v>
      </c>
      <c r="Y89" s="58" t="s">
        <v>67</v>
      </c>
      <c r="Z89" s="65" t="s">
        <v>387</v>
      </c>
      <c r="AA89" s="52"/>
      <c r="AB89" s="69" t="s">
        <v>69</v>
      </c>
      <c r="AC89" s="59"/>
      <c r="AD89" s="60" t="s">
        <v>71</v>
      </c>
    </row>
    <row r="90" spans="1:30" ht="37.5" customHeight="1" x14ac:dyDescent="0.3">
      <c r="A90" s="63">
        <v>79</v>
      </c>
      <c r="B90" s="64" t="s">
        <v>378</v>
      </c>
      <c r="C90" s="63" t="s">
        <v>242</v>
      </c>
      <c r="D90" s="51" t="s">
        <v>388</v>
      </c>
      <c r="E90" s="63" t="s">
        <v>3</v>
      </c>
      <c r="F90" s="51" t="s">
        <v>3</v>
      </c>
      <c r="G90" s="51" t="s">
        <v>63</v>
      </c>
      <c r="H90" s="80">
        <v>16848</v>
      </c>
      <c r="I90" s="54" t="s">
        <v>104</v>
      </c>
      <c r="J90" s="53"/>
      <c r="K90" s="55" t="s">
        <v>102</v>
      </c>
      <c r="L90" s="55"/>
      <c r="M90" s="70"/>
      <c r="N90" s="70"/>
      <c r="O90" s="57"/>
      <c r="P90" s="54"/>
      <c r="Q90" s="57"/>
      <c r="R90" s="54"/>
      <c r="S90" s="57"/>
      <c r="T90" s="54"/>
      <c r="U90" s="57"/>
      <c r="V90" s="53"/>
      <c r="W90" s="56"/>
      <c r="X90" s="46">
        <f t="shared" si="4"/>
        <v>0</v>
      </c>
      <c r="Y90" s="58" t="s">
        <v>67</v>
      </c>
      <c r="Z90" s="53" t="s">
        <v>67</v>
      </c>
      <c r="AA90" s="52"/>
      <c r="AB90" s="69" t="s">
        <v>69</v>
      </c>
      <c r="AC90" s="59"/>
      <c r="AD90" s="60" t="s">
        <v>389</v>
      </c>
    </row>
    <row r="91" spans="1:30" ht="37.5" customHeight="1" x14ac:dyDescent="0.3">
      <c r="A91" s="107"/>
      <c r="B91" s="107" t="s">
        <v>378</v>
      </c>
      <c r="C91" s="107">
        <v>4</v>
      </c>
      <c r="D91" s="107"/>
      <c r="E91" s="107"/>
      <c r="F91" s="107"/>
      <c r="G91" s="107"/>
      <c r="H91" s="38">
        <v>16979</v>
      </c>
      <c r="I91" s="38" t="s">
        <v>104</v>
      </c>
    </row>
    <row r="92" spans="1:30" ht="37.5" customHeight="1" x14ac:dyDescent="0.3">
      <c r="A92" s="63">
        <v>80</v>
      </c>
      <c r="B92" s="64" t="s">
        <v>390</v>
      </c>
      <c r="C92" s="63" t="s">
        <v>391</v>
      </c>
      <c r="D92" s="51" t="s">
        <v>392</v>
      </c>
      <c r="E92" s="63" t="s">
        <v>101</v>
      </c>
      <c r="F92" s="51" t="s">
        <v>3</v>
      </c>
      <c r="G92" s="51" t="s">
        <v>138</v>
      </c>
      <c r="H92" s="71" t="s">
        <v>393</v>
      </c>
      <c r="I92" s="54"/>
      <c r="J92" s="53"/>
      <c r="K92" s="55">
        <v>46216</v>
      </c>
      <c r="L92" s="62">
        <v>46234</v>
      </c>
      <c r="M92" s="55"/>
      <c r="N92" s="55"/>
      <c r="O92" s="56"/>
      <c r="P92" s="54"/>
      <c r="Q92" s="57"/>
      <c r="R92" s="54"/>
      <c r="S92" s="57"/>
      <c r="T92" s="54"/>
      <c r="U92" s="57"/>
      <c r="V92" s="53"/>
      <c r="W92" s="56"/>
      <c r="X92" s="46">
        <f t="shared" si="4"/>
        <v>0</v>
      </c>
      <c r="Y92" s="58" t="s">
        <v>67</v>
      </c>
      <c r="Z92" s="53" t="s">
        <v>67</v>
      </c>
      <c r="AA92" s="52" t="s">
        <v>68</v>
      </c>
      <c r="AB92" s="69" t="s">
        <v>69</v>
      </c>
      <c r="AC92" s="59"/>
      <c r="AD92" s="60" t="s">
        <v>71</v>
      </c>
    </row>
    <row r="93" spans="1:30" ht="37.5" customHeight="1" x14ac:dyDescent="0.3">
      <c r="A93" s="51">
        <v>81</v>
      </c>
      <c r="B93" s="52" t="s">
        <v>394</v>
      </c>
      <c r="C93" s="51" t="s">
        <v>395</v>
      </c>
      <c r="D93" s="51" t="s">
        <v>396</v>
      </c>
      <c r="E93" s="51" t="s">
        <v>3</v>
      </c>
      <c r="F93" s="51" t="s">
        <v>3</v>
      </c>
      <c r="G93" s="51" t="s">
        <v>261</v>
      </c>
      <c r="H93" s="80">
        <v>16578</v>
      </c>
      <c r="I93" s="54" t="s">
        <v>177</v>
      </c>
      <c r="J93" s="53"/>
      <c r="K93" s="55">
        <v>46234</v>
      </c>
      <c r="L93" s="62">
        <v>46265</v>
      </c>
      <c r="M93" s="55"/>
      <c r="N93" s="55"/>
      <c r="O93" s="56"/>
      <c r="P93" s="54"/>
      <c r="Q93" s="57"/>
      <c r="R93" s="54"/>
      <c r="S93" s="57"/>
      <c r="T93" s="54"/>
      <c r="U93" s="57"/>
      <c r="V93" s="53"/>
      <c r="W93" s="56"/>
      <c r="X93" s="46">
        <f t="shared" si="4"/>
        <v>0</v>
      </c>
      <c r="Y93" s="58" t="s">
        <v>67</v>
      </c>
      <c r="Z93" s="53" t="s">
        <v>66</v>
      </c>
      <c r="AA93" s="52"/>
      <c r="AB93" s="69" t="s">
        <v>69</v>
      </c>
      <c r="AC93" s="59"/>
      <c r="AD93" s="60" t="s">
        <v>389</v>
      </c>
    </row>
    <row r="94" spans="1:30" ht="37.5" customHeight="1" x14ac:dyDescent="0.3">
      <c r="A94" s="63">
        <v>82</v>
      </c>
      <c r="B94" s="64" t="s">
        <v>394</v>
      </c>
      <c r="C94" s="63" t="s">
        <v>397</v>
      </c>
      <c r="D94" s="51" t="s">
        <v>398</v>
      </c>
      <c r="E94" s="63" t="s">
        <v>3</v>
      </c>
      <c r="F94" s="51" t="s">
        <v>3</v>
      </c>
      <c r="G94" s="51" t="s">
        <v>102</v>
      </c>
      <c r="H94" s="71" t="s">
        <v>399</v>
      </c>
      <c r="I94" s="54" t="s">
        <v>177</v>
      </c>
      <c r="J94" s="53"/>
      <c r="K94" s="55">
        <v>46234</v>
      </c>
      <c r="L94" s="62" t="s">
        <v>400</v>
      </c>
      <c r="M94" s="55"/>
      <c r="N94" s="55"/>
      <c r="O94" s="56"/>
      <c r="P94" s="54"/>
      <c r="Q94" s="57"/>
      <c r="R94" s="54"/>
      <c r="S94" s="57"/>
      <c r="T94" s="54"/>
      <c r="U94" s="57"/>
      <c r="V94" s="53"/>
      <c r="W94" s="56"/>
      <c r="X94" s="46">
        <f t="shared" si="4"/>
        <v>0</v>
      </c>
      <c r="Y94" s="58" t="s">
        <v>67</v>
      </c>
      <c r="Z94" s="53" t="s">
        <v>66</v>
      </c>
      <c r="AA94" s="52" t="s">
        <v>76</v>
      </c>
      <c r="AB94" s="59" t="s">
        <v>77</v>
      </c>
      <c r="AC94" s="59"/>
      <c r="AD94" s="60" t="s">
        <v>3</v>
      </c>
    </row>
    <row r="95" spans="1:30" ht="37.5" customHeight="1" x14ac:dyDescent="0.3">
      <c r="A95" s="51">
        <v>83</v>
      </c>
      <c r="B95" s="52" t="s">
        <v>394</v>
      </c>
      <c r="C95" s="51" t="s">
        <v>152</v>
      </c>
      <c r="D95" s="51" t="s">
        <v>401</v>
      </c>
      <c r="E95" s="51" t="s">
        <v>3</v>
      </c>
      <c r="F95" s="51" t="s">
        <v>3</v>
      </c>
      <c r="G95" s="51" t="s">
        <v>261</v>
      </c>
      <c r="H95" s="80">
        <v>16898</v>
      </c>
      <c r="I95" s="54" t="s">
        <v>177</v>
      </c>
      <c r="J95" s="53"/>
      <c r="K95" s="70">
        <v>46234</v>
      </c>
      <c r="L95" s="70">
        <v>46265</v>
      </c>
      <c r="M95" s="55"/>
      <c r="N95" s="55"/>
      <c r="O95" s="56"/>
      <c r="P95" s="54"/>
      <c r="Q95" s="57"/>
      <c r="R95" s="54"/>
      <c r="S95" s="57"/>
      <c r="T95" s="54"/>
      <c r="U95" s="57"/>
      <c r="V95" s="53"/>
      <c r="W95" s="56"/>
      <c r="X95" s="46">
        <f t="shared" si="4"/>
        <v>0</v>
      </c>
      <c r="Y95" s="58" t="s">
        <v>67</v>
      </c>
      <c r="Z95" s="54" t="s">
        <v>67</v>
      </c>
      <c r="AA95" s="52"/>
      <c r="AB95" s="69" t="s">
        <v>69</v>
      </c>
      <c r="AC95" s="59"/>
      <c r="AD95" s="60" t="s">
        <v>389</v>
      </c>
    </row>
    <row r="96" spans="1:30" ht="37.5" customHeight="1" x14ac:dyDescent="0.3">
      <c r="A96" s="51">
        <v>84</v>
      </c>
      <c r="B96" s="52" t="s">
        <v>394</v>
      </c>
      <c r="C96" s="51" t="s">
        <v>402</v>
      </c>
      <c r="D96" s="51" t="s">
        <v>403</v>
      </c>
      <c r="E96" s="51" t="s">
        <v>3</v>
      </c>
      <c r="F96" s="51" t="s">
        <v>3</v>
      </c>
      <c r="G96" s="51" t="s">
        <v>261</v>
      </c>
      <c r="H96" s="71" t="s">
        <v>404</v>
      </c>
      <c r="I96" s="54" t="s">
        <v>177</v>
      </c>
      <c r="J96" s="53"/>
      <c r="K96" s="55">
        <v>46234</v>
      </c>
      <c r="L96" s="62">
        <v>46265</v>
      </c>
      <c r="M96" s="55"/>
      <c r="N96" s="55"/>
      <c r="O96" s="56"/>
      <c r="P96" s="54"/>
      <c r="Q96" s="57"/>
      <c r="R96" s="54"/>
      <c r="S96" s="57"/>
      <c r="T96" s="54"/>
      <c r="U96" s="57"/>
      <c r="V96" s="53"/>
      <c r="W96" s="56"/>
      <c r="X96" s="46">
        <f t="shared" si="4"/>
        <v>0</v>
      </c>
      <c r="Y96" s="58" t="s">
        <v>67</v>
      </c>
      <c r="Z96" s="53" t="s">
        <v>66</v>
      </c>
      <c r="AA96" s="52"/>
      <c r="AB96" s="69" t="s">
        <v>69</v>
      </c>
      <c r="AC96" s="59"/>
      <c r="AD96" s="60" t="s">
        <v>71</v>
      </c>
    </row>
    <row r="97" spans="1:30" ht="37.5" customHeight="1" x14ac:dyDescent="0.3">
      <c r="A97" s="51">
        <v>85</v>
      </c>
      <c r="B97" s="52" t="s">
        <v>394</v>
      </c>
      <c r="C97" s="51" t="s">
        <v>236</v>
      </c>
      <c r="D97" s="51" t="s">
        <v>405</v>
      </c>
      <c r="E97" s="51" t="s">
        <v>3</v>
      </c>
      <c r="F97" s="51" t="s">
        <v>3</v>
      </c>
      <c r="G97" s="51" t="s">
        <v>261</v>
      </c>
      <c r="H97" s="71" t="s">
        <v>406</v>
      </c>
      <c r="I97" s="54" t="s">
        <v>177</v>
      </c>
      <c r="J97" s="53"/>
      <c r="K97" s="55">
        <v>46234</v>
      </c>
      <c r="L97" s="62">
        <v>46265</v>
      </c>
      <c r="M97" s="55"/>
      <c r="N97" s="55"/>
      <c r="O97" s="56"/>
      <c r="P97" s="54"/>
      <c r="Q97" s="57"/>
      <c r="R97" s="54"/>
      <c r="S97" s="57"/>
      <c r="T97" s="54"/>
      <c r="U97" s="57"/>
      <c r="V97" s="53"/>
      <c r="W97" s="56"/>
      <c r="X97" s="46">
        <f t="shared" si="4"/>
        <v>0</v>
      </c>
      <c r="Y97" s="58" t="s">
        <v>67</v>
      </c>
      <c r="Z97" s="53" t="s">
        <v>66</v>
      </c>
      <c r="AA97" s="52" t="s">
        <v>76</v>
      </c>
      <c r="AB97" s="59" t="s">
        <v>77</v>
      </c>
      <c r="AC97" s="59"/>
      <c r="AD97" s="60" t="s">
        <v>3</v>
      </c>
    </row>
    <row r="98" spans="1:30" ht="37.5" customHeight="1" x14ac:dyDescent="0.3">
      <c r="A98" s="51">
        <v>86</v>
      </c>
      <c r="B98" s="52" t="s">
        <v>394</v>
      </c>
      <c r="C98" s="51" t="s">
        <v>123</v>
      </c>
      <c r="D98" s="51" t="s">
        <v>407</v>
      </c>
      <c r="E98" s="51" t="s">
        <v>3</v>
      </c>
      <c r="F98" s="51" t="s">
        <v>3</v>
      </c>
      <c r="G98" s="51" t="s">
        <v>261</v>
      </c>
      <c r="H98" s="71" t="s">
        <v>408</v>
      </c>
      <c r="I98" s="54" t="s">
        <v>177</v>
      </c>
      <c r="J98" s="53"/>
      <c r="K98" s="55">
        <v>46234</v>
      </c>
      <c r="L98" s="62">
        <v>46265</v>
      </c>
      <c r="M98" s="55"/>
      <c r="N98" s="55"/>
      <c r="O98" s="56"/>
      <c r="P98" s="54"/>
      <c r="Q98" s="57"/>
      <c r="R98" s="54"/>
      <c r="S98" s="57"/>
      <c r="T98" s="54"/>
      <c r="U98" s="57"/>
      <c r="V98" s="53"/>
      <c r="W98" s="56"/>
      <c r="X98" s="46">
        <f t="shared" si="4"/>
        <v>0</v>
      </c>
      <c r="Y98" s="58" t="s">
        <v>67</v>
      </c>
      <c r="Z98" s="53" t="s">
        <v>66</v>
      </c>
      <c r="AA98" s="52"/>
      <c r="AB98" s="69" t="s">
        <v>69</v>
      </c>
      <c r="AC98" s="59"/>
      <c r="AD98" s="60" t="s">
        <v>71</v>
      </c>
    </row>
    <row r="99" spans="1:30" ht="37.5" customHeight="1" x14ac:dyDescent="0.3">
      <c r="A99" s="51">
        <v>87</v>
      </c>
      <c r="B99" s="52" t="s">
        <v>394</v>
      </c>
      <c r="C99" s="51" t="s">
        <v>358</v>
      </c>
      <c r="D99" s="51" t="s">
        <v>409</v>
      </c>
      <c r="E99" s="51" t="s">
        <v>3</v>
      </c>
      <c r="F99" s="51" t="s">
        <v>3</v>
      </c>
      <c r="G99" s="51" t="s">
        <v>261</v>
      </c>
      <c r="H99" s="71" t="s">
        <v>410</v>
      </c>
      <c r="I99" s="54" t="s">
        <v>177</v>
      </c>
      <c r="J99" s="53"/>
      <c r="K99" s="55">
        <v>46234</v>
      </c>
      <c r="L99" s="62">
        <v>46265</v>
      </c>
      <c r="M99" s="55"/>
      <c r="N99" s="55"/>
      <c r="O99" s="56"/>
      <c r="P99" s="54"/>
      <c r="Q99" s="57"/>
      <c r="R99" s="54"/>
      <c r="S99" s="57"/>
      <c r="T99" s="54"/>
      <c r="U99" s="57"/>
      <c r="V99" s="53"/>
      <c r="W99" s="56"/>
      <c r="X99" s="46">
        <f t="shared" si="4"/>
        <v>0</v>
      </c>
      <c r="Y99" s="58" t="s">
        <v>67</v>
      </c>
      <c r="Z99" s="53" t="s">
        <v>66</v>
      </c>
      <c r="AA99" s="52" t="s">
        <v>68</v>
      </c>
      <c r="AB99" s="69" t="s">
        <v>69</v>
      </c>
      <c r="AC99" s="59"/>
      <c r="AD99" s="60" t="s">
        <v>71</v>
      </c>
    </row>
    <row r="100" spans="1:30" ht="37.5" customHeight="1" x14ac:dyDescent="0.3">
      <c r="A100" s="51">
        <v>88</v>
      </c>
      <c r="B100" s="52" t="s">
        <v>411</v>
      </c>
      <c r="C100" s="51" t="s">
        <v>412</v>
      </c>
      <c r="D100" s="51" t="s">
        <v>413</v>
      </c>
      <c r="E100" s="51" t="s">
        <v>3</v>
      </c>
      <c r="F100" s="51" t="s">
        <v>3</v>
      </c>
      <c r="G100" s="51" t="s">
        <v>74</v>
      </c>
      <c r="H100" s="80">
        <v>16849</v>
      </c>
      <c r="I100" s="54" t="s">
        <v>117</v>
      </c>
      <c r="J100" s="53"/>
      <c r="K100" s="55">
        <v>46286</v>
      </c>
      <c r="L100" s="55">
        <v>46318</v>
      </c>
      <c r="M100" s="55"/>
      <c r="N100" s="55"/>
      <c r="O100" s="56"/>
      <c r="P100" s="54"/>
      <c r="Q100" s="57"/>
      <c r="R100" s="54"/>
      <c r="S100" s="57"/>
      <c r="T100" s="54"/>
      <c r="U100" s="57"/>
      <c r="V100" s="53"/>
      <c r="W100" s="56"/>
      <c r="X100" s="46">
        <f t="shared" si="4"/>
        <v>0</v>
      </c>
      <c r="Y100" s="58" t="s">
        <v>67</v>
      </c>
      <c r="Z100" s="53" t="s">
        <v>67</v>
      </c>
      <c r="AA100" s="52"/>
      <c r="AB100" s="69" t="s">
        <v>69</v>
      </c>
      <c r="AC100" s="59"/>
      <c r="AD100" s="60" t="s">
        <v>389</v>
      </c>
    </row>
    <row r="101" spans="1:30" ht="37.5" customHeight="1" x14ac:dyDescent="0.3">
      <c r="A101" s="51">
        <v>89</v>
      </c>
      <c r="B101" s="52" t="s">
        <v>411</v>
      </c>
      <c r="C101" s="51" t="s">
        <v>146</v>
      </c>
      <c r="D101" s="51" t="s">
        <v>414</v>
      </c>
      <c r="E101" s="51" t="s">
        <v>3</v>
      </c>
      <c r="F101" s="51" t="s">
        <v>3</v>
      </c>
      <c r="G101" s="51" t="s">
        <v>74</v>
      </c>
      <c r="H101" s="80">
        <v>16674</v>
      </c>
      <c r="I101" s="54" t="s">
        <v>81</v>
      </c>
      <c r="J101" s="53"/>
      <c r="K101" s="55">
        <v>46286</v>
      </c>
      <c r="L101" s="55">
        <v>46318</v>
      </c>
      <c r="M101" s="55"/>
      <c r="N101" s="55"/>
      <c r="O101" s="56"/>
      <c r="P101" s="54"/>
      <c r="Q101" s="57"/>
      <c r="R101" s="54"/>
      <c r="S101" s="57"/>
      <c r="T101" s="54"/>
      <c r="U101" s="57"/>
      <c r="V101" s="53"/>
      <c r="W101" s="56"/>
      <c r="X101" s="46">
        <f t="shared" si="4"/>
        <v>0</v>
      </c>
      <c r="Y101" s="58" t="s">
        <v>67</v>
      </c>
      <c r="Z101" s="53" t="s">
        <v>66</v>
      </c>
      <c r="AA101" s="52"/>
      <c r="AB101" s="69" t="s">
        <v>69</v>
      </c>
      <c r="AC101" s="59"/>
      <c r="AD101" s="60" t="s">
        <v>389</v>
      </c>
    </row>
    <row r="102" spans="1:30" ht="37.5" customHeight="1" x14ac:dyDescent="0.3">
      <c r="A102" s="51">
        <v>90</v>
      </c>
      <c r="B102" s="52" t="s">
        <v>411</v>
      </c>
      <c r="C102" s="51" t="s">
        <v>402</v>
      </c>
      <c r="D102" s="51" t="s">
        <v>415</v>
      </c>
      <c r="E102" s="51" t="s">
        <v>3</v>
      </c>
      <c r="F102" s="51" t="s">
        <v>3</v>
      </c>
      <c r="G102" s="51" t="s">
        <v>74</v>
      </c>
      <c r="H102" s="71" t="s">
        <v>416</v>
      </c>
      <c r="I102" s="54" t="s">
        <v>65</v>
      </c>
      <c r="J102" s="53"/>
      <c r="K102" s="55">
        <v>46286</v>
      </c>
      <c r="L102" s="55">
        <v>46318</v>
      </c>
      <c r="M102" s="55"/>
      <c r="N102" s="55"/>
      <c r="O102" s="56"/>
      <c r="P102" s="54"/>
      <c r="Q102" s="57"/>
      <c r="R102" s="54"/>
      <c r="S102" s="57"/>
      <c r="T102" s="54"/>
      <c r="U102" s="57"/>
      <c r="V102" s="53"/>
      <c r="W102" s="56"/>
      <c r="X102" s="46">
        <f t="shared" si="4"/>
        <v>0</v>
      </c>
      <c r="Y102" s="58" t="s">
        <v>67</v>
      </c>
      <c r="Z102" s="53" t="s">
        <v>66</v>
      </c>
      <c r="AA102" s="52" t="s">
        <v>68</v>
      </c>
      <c r="AB102" s="69" t="s">
        <v>69</v>
      </c>
      <c r="AC102" s="59"/>
      <c r="AD102" s="60" t="s">
        <v>71</v>
      </c>
    </row>
    <row r="103" spans="1:30" ht="37.5" customHeight="1" x14ac:dyDescent="0.3">
      <c r="A103" s="51">
        <v>91</v>
      </c>
      <c r="B103" s="52" t="s">
        <v>411</v>
      </c>
      <c r="C103" s="51" t="s">
        <v>417</v>
      </c>
      <c r="D103" s="51" t="s">
        <v>418</v>
      </c>
      <c r="E103" s="51" t="s">
        <v>3</v>
      </c>
      <c r="F103" s="51" t="s">
        <v>3</v>
      </c>
      <c r="G103" s="51" t="s">
        <v>74</v>
      </c>
      <c r="H103" s="80">
        <v>16582</v>
      </c>
      <c r="I103" s="54" t="s">
        <v>419</v>
      </c>
      <c r="J103" s="53"/>
      <c r="K103" s="55">
        <v>46286</v>
      </c>
      <c r="L103" s="55">
        <v>46318</v>
      </c>
      <c r="M103" s="55"/>
      <c r="N103" s="55"/>
      <c r="O103" s="56"/>
      <c r="P103" s="54"/>
      <c r="Q103" s="57"/>
      <c r="R103" s="54"/>
      <c r="S103" s="57"/>
      <c r="T103" s="54"/>
      <c r="U103" s="57"/>
      <c r="V103" s="53"/>
      <c r="W103" s="56"/>
      <c r="X103" s="46">
        <f t="shared" si="4"/>
        <v>0</v>
      </c>
      <c r="Y103" s="58" t="s">
        <v>67</v>
      </c>
      <c r="Z103" s="53" t="s">
        <v>66</v>
      </c>
      <c r="AA103" s="52" t="s">
        <v>68</v>
      </c>
      <c r="AB103" s="69" t="s">
        <v>69</v>
      </c>
      <c r="AC103" s="59"/>
      <c r="AD103" s="60" t="s">
        <v>389</v>
      </c>
    </row>
    <row r="104" spans="1:30" ht="37.5" customHeight="1" x14ac:dyDescent="0.3">
      <c r="A104" s="51">
        <v>92</v>
      </c>
      <c r="B104" s="52" t="s">
        <v>411</v>
      </c>
      <c r="C104" s="51" t="s">
        <v>420</v>
      </c>
      <c r="D104" s="51" t="s">
        <v>421</v>
      </c>
      <c r="E104" s="51" t="s">
        <v>3</v>
      </c>
      <c r="F104" s="51" t="s">
        <v>3</v>
      </c>
      <c r="G104" s="51" t="s">
        <v>74</v>
      </c>
      <c r="H104" s="80">
        <v>16587</v>
      </c>
      <c r="I104" s="54" t="s">
        <v>81</v>
      </c>
      <c r="J104" s="53"/>
      <c r="K104" s="55">
        <v>46286</v>
      </c>
      <c r="L104" s="55">
        <v>46318</v>
      </c>
      <c r="M104" s="55"/>
      <c r="N104" s="55"/>
      <c r="O104" s="56"/>
      <c r="P104" s="54"/>
      <c r="Q104" s="57"/>
      <c r="R104" s="54"/>
      <c r="S104" s="57"/>
      <c r="T104" s="54"/>
      <c r="U104" s="57"/>
      <c r="V104" s="53"/>
      <c r="W104" s="56"/>
      <c r="X104" s="46">
        <f t="shared" si="4"/>
        <v>0</v>
      </c>
      <c r="Y104" s="58" t="s">
        <v>67</v>
      </c>
      <c r="Z104" s="53" t="s">
        <v>66</v>
      </c>
      <c r="AA104" s="52" t="s">
        <v>68</v>
      </c>
      <c r="AB104" s="69" t="s">
        <v>69</v>
      </c>
      <c r="AC104" s="59"/>
      <c r="AD104" s="60" t="s">
        <v>389</v>
      </c>
    </row>
    <row r="105" spans="1:30" ht="37.5" customHeight="1" x14ac:dyDescent="0.3">
      <c r="A105" s="51">
        <v>93</v>
      </c>
      <c r="B105" s="52" t="s">
        <v>411</v>
      </c>
      <c r="C105" s="51" t="s">
        <v>303</v>
      </c>
      <c r="D105" s="51" t="s">
        <v>422</v>
      </c>
      <c r="E105" s="51" t="s">
        <v>3</v>
      </c>
      <c r="F105" s="51" t="s">
        <v>3</v>
      </c>
      <c r="G105" s="51" t="s">
        <v>74</v>
      </c>
      <c r="H105" s="80">
        <v>16586</v>
      </c>
      <c r="I105" s="54" t="s">
        <v>177</v>
      </c>
      <c r="J105" s="53"/>
      <c r="K105" s="55">
        <v>46286</v>
      </c>
      <c r="L105" s="55">
        <v>46318</v>
      </c>
      <c r="M105" s="55"/>
      <c r="N105" s="55"/>
      <c r="O105" s="56"/>
      <c r="P105" s="54"/>
      <c r="Q105" s="57"/>
      <c r="R105" s="54"/>
      <c r="S105" s="57"/>
      <c r="T105" s="54"/>
      <c r="U105" s="57"/>
      <c r="V105" s="53"/>
      <c r="W105" s="56"/>
      <c r="X105" s="46">
        <f t="shared" si="4"/>
        <v>0</v>
      </c>
      <c r="Y105" s="58" t="s">
        <v>67</v>
      </c>
      <c r="Z105" s="53" t="s">
        <v>66</v>
      </c>
      <c r="AA105" s="52" t="s">
        <v>76</v>
      </c>
      <c r="AB105" s="59" t="s">
        <v>77</v>
      </c>
      <c r="AC105" s="59"/>
      <c r="AD105" s="60" t="s">
        <v>224</v>
      </c>
    </row>
    <row r="106" spans="1:30" ht="37.5" customHeight="1" x14ac:dyDescent="0.3">
      <c r="A106" s="51">
        <v>94</v>
      </c>
      <c r="B106" s="52" t="s">
        <v>411</v>
      </c>
      <c r="C106" s="51" t="s">
        <v>423</v>
      </c>
      <c r="D106" s="51" t="s">
        <v>424</v>
      </c>
      <c r="E106" s="51" t="s">
        <v>3</v>
      </c>
      <c r="F106" s="51" t="s">
        <v>3</v>
      </c>
      <c r="G106" s="51" t="s">
        <v>74</v>
      </c>
      <c r="H106" s="80">
        <v>16585</v>
      </c>
      <c r="I106" s="54" t="s">
        <v>81</v>
      </c>
      <c r="J106" s="53"/>
      <c r="K106" s="55">
        <v>46286</v>
      </c>
      <c r="L106" s="55">
        <v>46318</v>
      </c>
      <c r="M106" s="55"/>
      <c r="N106" s="55"/>
      <c r="O106" s="56"/>
      <c r="P106" s="54"/>
      <c r="Q106" s="57"/>
      <c r="R106" s="54"/>
      <c r="S106" s="57"/>
      <c r="T106" s="54"/>
      <c r="U106" s="57"/>
      <c r="V106" s="53"/>
      <c r="W106" s="56"/>
      <c r="X106" s="46">
        <f t="shared" si="4"/>
        <v>0</v>
      </c>
      <c r="Y106" s="58" t="s">
        <v>67</v>
      </c>
      <c r="Z106" s="53" t="s">
        <v>66</v>
      </c>
      <c r="AA106" s="52" t="s">
        <v>269</v>
      </c>
      <c r="AB106" s="69" t="s">
        <v>69</v>
      </c>
      <c r="AC106" s="59"/>
      <c r="AD106" s="60" t="s">
        <v>389</v>
      </c>
    </row>
    <row r="107" spans="1:30" ht="37.5" customHeight="1" x14ac:dyDescent="0.3">
      <c r="A107" s="51">
        <v>95</v>
      </c>
      <c r="B107" s="52" t="s">
        <v>411</v>
      </c>
      <c r="C107" s="51" t="s">
        <v>425</v>
      </c>
      <c r="D107" s="51" t="s">
        <v>426</v>
      </c>
      <c r="E107" s="51" t="s">
        <v>3</v>
      </c>
      <c r="F107" s="51" t="s">
        <v>3</v>
      </c>
      <c r="G107" s="51" t="s">
        <v>74</v>
      </c>
      <c r="H107" s="80">
        <v>16584</v>
      </c>
      <c r="I107" s="54" t="s">
        <v>81</v>
      </c>
      <c r="J107" s="53"/>
      <c r="K107" s="55">
        <v>46286</v>
      </c>
      <c r="L107" s="55">
        <v>46265</v>
      </c>
      <c r="M107" s="55"/>
      <c r="N107" s="55"/>
      <c r="O107" s="56"/>
      <c r="P107" s="54"/>
      <c r="Q107" s="57"/>
      <c r="R107" s="54"/>
      <c r="S107" s="57"/>
      <c r="T107" s="54"/>
      <c r="U107" s="57"/>
      <c r="V107" s="53"/>
      <c r="W107" s="56"/>
      <c r="X107" s="46">
        <f t="shared" si="4"/>
        <v>0</v>
      </c>
      <c r="Y107" s="58" t="s">
        <v>67</v>
      </c>
      <c r="Z107" s="53" t="s">
        <v>66</v>
      </c>
      <c r="AA107" s="52" t="s">
        <v>68</v>
      </c>
      <c r="AB107" s="69" t="s">
        <v>69</v>
      </c>
      <c r="AC107" s="59"/>
      <c r="AD107" s="60" t="s">
        <v>389</v>
      </c>
    </row>
    <row r="108" spans="1:30" ht="37.5" customHeight="1" x14ac:dyDescent="0.3">
      <c r="A108" s="51">
        <v>96</v>
      </c>
      <c r="B108" s="52" t="s">
        <v>411</v>
      </c>
      <c r="C108" s="51" t="s">
        <v>336</v>
      </c>
      <c r="D108" s="51" t="s">
        <v>427</v>
      </c>
      <c r="E108" s="51" t="s">
        <v>3</v>
      </c>
      <c r="F108" s="51" t="s">
        <v>3</v>
      </c>
      <c r="G108" s="51" t="s">
        <v>74</v>
      </c>
      <c r="H108" s="80">
        <v>16583</v>
      </c>
      <c r="I108" s="54" t="s">
        <v>65</v>
      </c>
      <c r="J108" s="53"/>
      <c r="K108" s="55">
        <v>46286</v>
      </c>
      <c r="L108" s="55">
        <v>46265</v>
      </c>
      <c r="M108" s="55"/>
      <c r="N108" s="55"/>
      <c r="O108" s="56"/>
      <c r="P108" s="54"/>
      <c r="Q108" s="57"/>
      <c r="R108" s="54"/>
      <c r="S108" s="57"/>
      <c r="T108" s="54"/>
      <c r="U108" s="57"/>
      <c r="V108" s="53"/>
      <c r="W108" s="56"/>
      <c r="X108" s="46">
        <f t="shared" si="4"/>
        <v>0</v>
      </c>
      <c r="Y108" s="58" t="s">
        <v>67</v>
      </c>
      <c r="Z108" s="53" t="s">
        <v>66</v>
      </c>
      <c r="AA108" s="52" t="s">
        <v>76</v>
      </c>
      <c r="AB108" s="59" t="s">
        <v>77</v>
      </c>
      <c r="AC108" s="59"/>
      <c r="AD108" s="60" t="s">
        <v>224</v>
      </c>
    </row>
    <row r="109" spans="1:30" ht="37.5" customHeight="1" x14ac:dyDescent="0.3">
      <c r="A109" s="63">
        <v>97</v>
      </c>
      <c r="B109" s="64" t="s">
        <v>428</v>
      </c>
      <c r="C109" s="63" t="s">
        <v>429</v>
      </c>
      <c r="D109" s="91" t="s">
        <v>430</v>
      </c>
      <c r="E109" s="51" t="s">
        <v>3</v>
      </c>
      <c r="F109" s="51" t="s">
        <v>3</v>
      </c>
      <c r="G109" s="51" t="s">
        <v>138</v>
      </c>
      <c r="H109" s="71" t="s">
        <v>431</v>
      </c>
      <c r="I109" s="53" t="s">
        <v>196</v>
      </c>
      <c r="J109" s="53"/>
      <c r="K109" s="55" t="s">
        <v>432</v>
      </c>
      <c r="L109" s="55" t="s">
        <v>433</v>
      </c>
      <c r="M109" s="55"/>
      <c r="N109" s="55"/>
      <c r="O109" s="56"/>
      <c r="P109" s="54"/>
      <c r="Q109" s="57"/>
      <c r="R109" s="54"/>
      <c r="S109" s="57"/>
      <c r="T109" s="54"/>
      <c r="U109" s="57"/>
      <c r="V109" s="53"/>
      <c r="W109" s="56"/>
      <c r="X109" s="46">
        <f t="shared" si="4"/>
        <v>0</v>
      </c>
      <c r="Y109" s="58" t="s">
        <v>67</v>
      </c>
      <c r="Z109" s="53" t="s">
        <v>66</v>
      </c>
      <c r="AA109" s="52" t="s">
        <v>76</v>
      </c>
      <c r="AB109" s="59" t="s">
        <v>77</v>
      </c>
      <c r="AC109" s="59" t="s">
        <v>434</v>
      </c>
      <c r="AD109" s="60" t="s">
        <v>3</v>
      </c>
    </row>
    <row r="110" spans="1:30" ht="37.5" customHeight="1" x14ac:dyDescent="0.3">
      <c r="A110" s="51">
        <v>98</v>
      </c>
      <c r="B110" s="52" t="s">
        <v>428</v>
      </c>
      <c r="C110" s="51" t="s">
        <v>270</v>
      </c>
      <c r="D110" s="51" t="s">
        <v>435</v>
      </c>
      <c r="E110" s="51" t="s">
        <v>3</v>
      </c>
      <c r="F110" s="51" t="s">
        <v>3</v>
      </c>
      <c r="G110" s="51" t="s">
        <v>138</v>
      </c>
      <c r="H110" s="71" t="s">
        <v>436</v>
      </c>
      <c r="I110" s="54" t="s">
        <v>104</v>
      </c>
      <c r="J110" s="53"/>
      <c r="K110" s="55">
        <v>46265</v>
      </c>
      <c r="L110" s="55" t="s">
        <v>433</v>
      </c>
      <c r="M110" s="55"/>
      <c r="N110" s="55"/>
      <c r="O110" s="56"/>
      <c r="P110" s="54"/>
      <c r="Q110" s="57"/>
      <c r="R110" s="54"/>
      <c r="S110" s="57"/>
      <c r="T110" s="54"/>
      <c r="U110" s="57"/>
      <c r="V110" s="53"/>
      <c r="W110" s="56"/>
      <c r="X110" s="46">
        <f t="shared" si="4"/>
        <v>0</v>
      </c>
      <c r="Y110" s="58" t="s">
        <v>67</v>
      </c>
      <c r="Z110" s="92" t="s">
        <v>66</v>
      </c>
      <c r="AA110" s="52"/>
      <c r="AB110" s="69" t="s">
        <v>69</v>
      </c>
      <c r="AC110" s="59"/>
      <c r="AD110" s="60" t="s">
        <v>71</v>
      </c>
    </row>
    <row r="111" spans="1:30" ht="37.5" customHeight="1" x14ac:dyDescent="0.3">
      <c r="A111" s="107"/>
      <c r="B111" s="107" t="s">
        <v>437</v>
      </c>
      <c r="C111" s="107" t="s">
        <v>438</v>
      </c>
      <c r="D111" s="107"/>
      <c r="E111" s="107"/>
      <c r="F111" s="107"/>
      <c r="G111" s="107"/>
      <c r="H111" s="38">
        <v>16980</v>
      </c>
    </row>
    <row r="112" spans="1:30" ht="37.5" customHeight="1" x14ac:dyDescent="0.3">
      <c r="A112" s="63">
        <v>99</v>
      </c>
      <c r="B112" s="64" t="s">
        <v>439</v>
      </c>
      <c r="C112" s="63" t="s">
        <v>395</v>
      </c>
      <c r="D112" s="51" t="s">
        <v>440</v>
      </c>
      <c r="E112" s="51" t="s">
        <v>3</v>
      </c>
      <c r="F112" s="51" t="s">
        <v>3</v>
      </c>
      <c r="G112" s="51" t="s">
        <v>138</v>
      </c>
      <c r="H112" s="80">
        <v>16899</v>
      </c>
      <c r="I112" s="54" t="s">
        <v>102</v>
      </c>
      <c r="J112" s="53"/>
      <c r="K112" s="70">
        <v>46237</v>
      </c>
      <c r="L112" s="70">
        <v>46262</v>
      </c>
      <c r="M112" s="55"/>
      <c r="N112" s="55"/>
      <c r="O112" s="56"/>
      <c r="P112" s="54"/>
      <c r="Q112" s="57"/>
      <c r="R112" s="54"/>
      <c r="S112" s="57"/>
      <c r="T112" s="54"/>
      <c r="U112" s="57"/>
      <c r="V112" s="53"/>
      <c r="W112" s="56"/>
      <c r="X112" s="46">
        <f t="shared" si="4"/>
        <v>0</v>
      </c>
      <c r="Y112" s="58" t="s">
        <v>67</v>
      </c>
      <c r="Z112" s="54" t="s">
        <v>67</v>
      </c>
      <c r="AA112" s="52" t="s">
        <v>76</v>
      </c>
      <c r="AB112" s="59" t="s">
        <v>77</v>
      </c>
      <c r="AC112" s="59"/>
      <c r="AD112" s="60" t="s">
        <v>224</v>
      </c>
    </row>
    <row r="113" spans="1:30" ht="37.5" customHeight="1" x14ac:dyDescent="0.3">
      <c r="A113" s="51">
        <v>100</v>
      </c>
      <c r="B113" s="52" t="s">
        <v>439</v>
      </c>
      <c r="C113" s="51" t="s">
        <v>441</v>
      </c>
      <c r="D113" s="51" t="s">
        <v>442</v>
      </c>
      <c r="E113" s="51" t="s">
        <v>3</v>
      </c>
      <c r="F113" s="51" t="s">
        <v>3</v>
      </c>
      <c r="G113" s="51" t="s">
        <v>138</v>
      </c>
      <c r="H113" s="53" t="s">
        <v>443</v>
      </c>
      <c r="I113" s="54" t="s">
        <v>104</v>
      </c>
      <c r="J113" s="53"/>
      <c r="K113" s="70">
        <v>46266</v>
      </c>
      <c r="L113" s="70">
        <v>46262</v>
      </c>
      <c r="M113" s="55"/>
      <c r="N113" s="55"/>
      <c r="O113" s="56"/>
      <c r="P113" s="54"/>
      <c r="Q113" s="57"/>
      <c r="R113" s="54"/>
      <c r="S113" s="57"/>
      <c r="T113" s="54"/>
      <c r="U113" s="57"/>
      <c r="V113" s="53"/>
      <c r="W113" s="56"/>
      <c r="X113" s="46">
        <f t="shared" si="4"/>
        <v>0</v>
      </c>
      <c r="Y113" s="58" t="s">
        <v>67</v>
      </c>
      <c r="Z113" s="53" t="s">
        <v>67</v>
      </c>
      <c r="AA113" s="52" t="s">
        <v>76</v>
      </c>
      <c r="AB113" s="59" t="s">
        <v>77</v>
      </c>
      <c r="AC113" s="59"/>
      <c r="AD113" s="60" t="s">
        <v>3</v>
      </c>
    </row>
    <row r="114" spans="1:30" ht="37.5" customHeight="1" x14ac:dyDescent="0.3">
      <c r="A114" s="51">
        <v>101</v>
      </c>
      <c r="B114" s="52" t="s">
        <v>439</v>
      </c>
      <c r="C114" s="51" t="s">
        <v>444</v>
      </c>
      <c r="D114" s="51" t="s">
        <v>445</v>
      </c>
      <c r="E114" s="51" t="s">
        <v>3</v>
      </c>
      <c r="F114" s="51" t="s">
        <v>3</v>
      </c>
      <c r="G114" s="51" t="s">
        <v>138</v>
      </c>
      <c r="H114" s="53" t="s">
        <v>446</v>
      </c>
      <c r="I114" s="54" t="s">
        <v>104</v>
      </c>
      <c r="J114" s="53"/>
      <c r="K114" s="70">
        <v>46266</v>
      </c>
      <c r="L114" s="70">
        <v>46262</v>
      </c>
      <c r="M114" s="55"/>
      <c r="N114" s="55"/>
      <c r="O114" s="56"/>
      <c r="P114" s="54"/>
      <c r="Q114" s="57"/>
      <c r="R114" s="54"/>
      <c r="S114" s="57"/>
      <c r="T114" s="54"/>
      <c r="U114" s="57"/>
      <c r="V114" s="53"/>
      <c r="W114" s="56"/>
      <c r="X114" s="46">
        <f t="shared" si="4"/>
        <v>0</v>
      </c>
      <c r="Y114" s="58" t="s">
        <v>67</v>
      </c>
      <c r="Z114" s="53" t="s">
        <v>67</v>
      </c>
      <c r="AA114" s="52"/>
      <c r="AB114" s="69" t="s">
        <v>69</v>
      </c>
      <c r="AC114" s="59"/>
      <c r="AD114" s="60" t="s">
        <v>71</v>
      </c>
    </row>
    <row r="115" spans="1:30" ht="37.5" customHeight="1" x14ac:dyDescent="0.3">
      <c r="A115" s="51">
        <v>160</v>
      </c>
      <c r="B115" s="52" t="s">
        <v>439</v>
      </c>
      <c r="C115" s="51">
        <v>95</v>
      </c>
      <c r="D115" s="51" t="s">
        <v>447</v>
      </c>
      <c r="E115" s="51" t="s">
        <v>3</v>
      </c>
      <c r="F115" s="51" t="s">
        <v>3</v>
      </c>
      <c r="G115" s="51" t="s">
        <v>138</v>
      </c>
      <c r="H115" s="38">
        <v>16908</v>
      </c>
      <c r="I115" s="54" t="s">
        <v>104</v>
      </c>
      <c r="K115" s="73">
        <v>46266</v>
      </c>
      <c r="X115" s="46">
        <f t="shared" si="4"/>
        <v>0</v>
      </c>
      <c r="Y115" s="58" t="s">
        <v>67</v>
      </c>
      <c r="Z115" s="53" t="s">
        <v>66</v>
      </c>
    </row>
    <row r="116" spans="1:30" ht="37.5" customHeight="1" x14ac:dyDescent="0.3">
      <c r="A116" s="51">
        <v>102</v>
      </c>
      <c r="B116" s="52" t="s">
        <v>448</v>
      </c>
      <c r="C116" s="51">
        <v>30</v>
      </c>
      <c r="D116" s="51" t="s">
        <v>449</v>
      </c>
      <c r="E116" s="51" t="s">
        <v>3</v>
      </c>
      <c r="F116" s="51" t="s">
        <v>3</v>
      </c>
      <c r="G116" s="51" t="s">
        <v>138</v>
      </c>
      <c r="H116" s="80">
        <v>16900</v>
      </c>
      <c r="I116" s="54" t="s">
        <v>104</v>
      </c>
      <c r="J116" s="53"/>
      <c r="K116" s="70">
        <v>46258</v>
      </c>
      <c r="L116" s="70">
        <v>46224</v>
      </c>
      <c r="M116" s="55"/>
      <c r="N116" s="55"/>
      <c r="O116" s="56"/>
      <c r="P116" s="54"/>
      <c r="Q116" s="57"/>
      <c r="R116" s="54"/>
      <c r="S116" s="57"/>
      <c r="T116" s="54"/>
      <c r="U116" s="57"/>
      <c r="V116" s="53"/>
      <c r="W116" s="56"/>
      <c r="X116" s="46">
        <f t="shared" si="4"/>
        <v>0</v>
      </c>
      <c r="Y116" s="58" t="s">
        <v>67</v>
      </c>
      <c r="Z116" s="54" t="s">
        <v>66</v>
      </c>
      <c r="AA116" s="52" t="s">
        <v>68</v>
      </c>
      <c r="AB116" s="69" t="s">
        <v>69</v>
      </c>
      <c r="AC116" s="59"/>
      <c r="AD116" s="60" t="s">
        <v>389</v>
      </c>
    </row>
    <row r="117" spans="1:30" ht="37.5" customHeight="1" x14ac:dyDescent="0.3">
      <c r="A117" s="63">
        <v>103</v>
      </c>
      <c r="B117" s="64" t="s">
        <v>448</v>
      </c>
      <c r="C117" s="63" t="s">
        <v>317</v>
      </c>
      <c r="D117" s="51" t="s">
        <v>450</v>
      </c>
      <c r="E117" s="51" t="s">
        <v>3</v>
      </c>
      <c r="F117" s="51" t="s">
        <v>3</v>
      </c>
      <c r="G117" s="51" t="s">
        <v>138</v>
      </c>
      <c r="H117" s="53" t="s">
        <v>451</v>
      </c>
      <c r="I117" s="54" t="s">
        <v>102</v>
      </c>
      <c r="J117" s="53"/>
      <c r="K117" s="55">
        <v>46209</v>
      </c>
      <c r="L117" s="55">
        <v>46224</v>
      </c>
      <c r="M117" s="55"/>
      <c r="N117" s="55"/>
      <c r="O117" s="56"/>
      <c r="P117" s="54"/>
      <c r="Q117" s="57"/>
      <c r="R117" s="54"/>
      <c r="S117" s="57"/>
      <c r="T117" s="54"/>
      <c r="U117" s="57"/>
      <c r="V117" s="53"/>
      <c r="W117" s="56"/>
      <c r="X117" s="46">
        <f t="shared" si="4"/>
        <v>0</v>
      </c>
      <c r="Y117" s="58" t="s">
        <v>67</v>
      </c>
      <c r="Z117" s="53" t="s">
        <v>67</v>
      </c>
      <c r="AA117" s="52" t="s">
        <v>76</v>
      </c>
      <c r="AB117" s="59" t="s">
        <v>77</v>
      </c>
      <c r="AC117" s="59"/>
      <c r="AD117" s="60" t="s">
        <v>3</v>
      </c>
    </row>
    <row r="118" spans="1:30" ht="37.5" customHeight="1" x14ac:dyDescent="0.3">
      <c r="A118" s="63">
        <v>104</v>
      </c>
      <c r="B118" s="64" t="s">
        <v>448</v>
      </c>
      <c r="C118" s="63" t="s">
        <v>205</v>
      </c>
      <c r="D118" s="51" t="s">
        <v>452</v>
      </c>
      <c r="E118" s="51" t="s">
        <v>3</v>
      </c>
      <c r="F118" s="51" t="s">
        <v>3</v>
      </c>
      <c r="G118" s="51" t="s">
        <v>138</v>
      </c>
      <c r="H118" s="53" t="s">
        <v>453</v>
      </c>
      <c r="I118" s="54" t="s">
        <v>177</v>
      </c>
      <c r="J118" s="53"/>
      <c r="K118" s="55">
        <v>46209</v>
      </c>
      <c r="L118" s="55">
        <v>46224</v>
      </c>
      <c r="M118" s="55"/>
      <c r="N118" s="55"/>
      <c r="O118" s="56"/>
      <c r="P118" s="54"/>
      <c r="Q118" s="57"/>
      <c r="R118" s="54"/>
      <c r="S118" s="57"/>
      <c r="T118" s="54"/>
      <c r="U118" s="57"/>
      <c r="V118" s="53"/>
      <c r="W118" s="56"/>
      <c r="X118" s="46">
        <f t="shared" si="4"/>
        <v>0</v>
      </c>
      <c r="Y118" s="58" t="s">
        <v>67</v>
      </c>
      <c r="Z118" s="53" t="s">
        <v>66</v>
      </c>
      <c r="AA118" s="52" t="s">
        <v>76</v>
      </c>
      <c r="AB118" s="59" t="s">
        <v>77</v>
      </c>
      <c r="AC118" s="59" t="s">
        <v>454</v>
      </c>
      <c r="AD118" s="60" t="s">
        <v>3</v>
      </c>
    </row>
    <row r="119" spans="1:30" ht="37.5" customHeight="1" x14ac:dyDescent="0.3">
      <c r="A119" s="63">
        <v>105</v>
      </c>
      <c r="B119" s="64" t="s">
        <v>448</v>
      </c>
      <c r="C119" s="63" t="s">
        <v>455</v>
      </c>
      <c r="D119" s="51" t="s">
        <v>456</v>
      </c>
      <c r="E119" s="51" t="s">
        <v>3</v>
      </c>
      <c r="F119" s="51" t="s">
        <v>3</v>
      </c>
      <c r="G119" s="51" t="s">
        <v>138</v>
      </c>
      <c r="H119" s="53" t="s">
        <v>457</v>
      </c>
      <c r="I119" s="54" t="s">
        <v>102</v>
      </c>
      <c r="J119" s="53"/>
      <c r="K119" s="55">
        <v>46209</v>
      </c>
      <c r="L119" s="55">
        <v>46224</v>
      </c>
      <c r="M119" s="55"/>
      <c r="N119" s="55"/>
      <c r="O119" s="56"/>
      <c r="P119" s="54"/>
      <c r="Q119" s="57"/>
      <c r="R119" s="54"/>
      <c r="S119" s="57"/>
      <c r="T119" s="54"/>
      <c r="U119" s="57"/>
      <c r="V119" s="53"/>
      <c r="W119" s="56"/>
      <c r="X119" s="46">
        <f t="shared" si="4"/>
        <v>0</v>
      </c>
      <c r="Y119" s="58" t="s">
        <v>67</v>
      </c>
      <c r="Z119" s="53" t="s">
        <v>67</v>
      </c>
      <c r="AA119" s="52" t="s">
        <v>458</v>
      </c>
      <c r="AB119" s="59" t="s">
        <v>97</v>
      </c>
      <c r="AC119" s="59"/>
      <c r="AD119" s="60" t="s">
        <v>3</v>
      </c>
    </row>
    <row r="120" spans="1:30" ht="37.5" customHeight="1" x14ac:dyDescent="0.3">
      <c r="A120" s="51">
        <v>106</v>
      </c>
      <c r="B120" s="52" t="s">
        <v>459</v>
      </c>
      <c r="C120" s="51" t="s">
        <v>429</v>
      </c>
      <c r="D120" s="51" t="s">
        <v>460</v>
      </c>
      <c r="E120" s="51" t="s">
        <v>3</v>
      </c>
      <c r="F120" s="51" t="s">
        <v>3</v>
      </c>
      <c r="G120" s="51" t="s">
        <v>138</v>
      </c>
      <c r="H120" s="53" t="s">
        <v>461</v>
      </c>
      <c r="I120" s="54" t="s">
        <v>104</v>
      </c>
      <c r="J120" s="53"/>
      <c r="K120" s="55" t="s">
        <v>462</v>
      </c>
      <c r="L120" s="62" t="s">
        <v>463</v>
      </c>
      <c r="M120" s="55"/>
      <c r="N120" s="55"/>
      <c r="O120" s="56"/>
      <c r="P120" s="54"/>
      <c r="Q120" s="57"/>
      <c r="R120" s="54"/>
      <c r="S120" s="57"/>
      <c r="T120" s="54"/>
      <c r="U120" s="57"/>
      <c r="V120" s="53"/>
      <c r="W120" s="56"/>
      <c r="X120" s="46">
        <f t="shared" si="4"/>
        <v>0</v>
      </c>
      <c r="Y120" s="58" t="s">
        <v>67</v>
      </c>
      <c r="Z120" s="53" t="s">
        <v>67</v>
      </c>
      <c r="AA120" s="52" t="s">
        <v>76</v>
      </c>
      <c r="AB120" s="59" t="s">
        <v>77</v>
      </c>
      <c r="AC120" s="59"/>
      <c r="AD120" s="60" t="s">
        <v>3</v>
      </c>
    </row>
    <row r="121" spans="1:30" ht="37.5" customHeight="1" x14ac:dyDescent="0.3">
      <c r="A121" s="51">
        <v>107</v>
      </c>
      <c r="B121" s="52" t="s">
        <v>459</v>
      </c>
      <c r="C121" s="51" t="s">
        <v>464</v>
      </c>
      <c r="D121" s="51" t="s">
        <v>465</v>
      </c>
      <c r="E121" s="51" t="s">
        <v>3</v>
      </c>
      <c r="F121" s="51" t="s">
        <v>3</v>
      </c>
      <c r="G121" s="51" t="s">
        <v>138</v>
      </c>
      <c r="H121" s="53" t="s">
        <v>466</v>
      </c>
      <c r="I121" s="54" t="s">
        <v>104</v>
      </c>
      <c r="J121" s="53"/>
      <c r="K121" s="55" t="s">
        <v>462</v>
      </c>
      <c r="L121" s="62" t="s">
        <v>463</v>
      </c>
      <c r="M121" s="55"/>
      <c r="N121" s="55"/>
      <c r="O121" s="56"/>
      <c r="P121" s="54"/>
      <c r="Q121" s="57"/>
      <c r="R121" s="54"/>
      <c r="S121" s="57"/>
      <c r="T121" s="54"/>
      <c r="U121" s="57"/>
      <c r="V121" s="53"/>
      <c r="W121" s="56"/>
      <c r="X121" s="46">
        <f t="shared" si="4"/>
        <v>0</v>
      </c>
      <c r="Y121" s="58" t="s">
        <v>67</v>
      </c>
      <c r="Z121" s="53" t="s">
        <v>67</v>
      </c>
      <c r="AA121" s="52" t="s">
        <v>76</v>
      </c>
      <c r="AB121" s="59" t="s">
        <v>77</v>
      </c>
      <c r="AC121" s="59"/>
      <c r="AD121" s="60" t="s">
        <v>3</v>
      </c>
    </row>
    <row r="122" spans="1:30" ht="37.5" customHeight="1" x14ac:dyDescent="0.3">
      <c r="A122" s="51">
        <v>108</v>
      </c>
      <c r="B122" s="52" t="s">
        <v>459</v>
      </c>
      <c r="C122" s="51" t="s">
        <v>205</v>
      </c>
      <c r="D122" s="51" t="s">
        <v>467</v>
      </c>
      <c r="E122" s="51" t="s">
        <v>3</v>
      </c>
      <c r="F122" s="51" t="s">
        <v>3</v>
      </c>
      <c r="G122" s="51" t="s">
        <v>138</v>
      </c>
      <c r="H122" s="80">
        <v>16851</v>
      </c>
      <c r="I122" s="54" t="s">
        <v>104</v>
      </c>
      <c r="J122" s="53"/>
      <c r="K122" s="55" t="s">
        <v>462</v>
      </c>
      <c r="L122" s="62" t="s">
        <v>463</v>
      </c>
      <c r="M122" s="55"/>
      <c r="N122" s="55"/>
      <c r="O122" s="56"/>
      <c r="P122" s="54"/>
      <c r="Q122" s="57"/>
      <c r="R122" s="54"/>
      <c r="S122" s="57"/>
      <c r="T122" s="54"/>
      <c r="U122" s="57"/>
      <c r="V122" s="53"/>
      <c r="W122" s="56"/>
      <c r="X122" s="46">
        <f t="shared" si="4"/>
        <v>0</v>
      </c>
      <c r="Y122" s="58" t="s">
        <v>67</v>
      </c>
      <c r="Z122" s="53" t="s">
        <v>67</v>
      </c>
      <c r="AA122" s="52"/>
      <c r="AB122" s="69" t="s">
        <v>69</v>
      </c>
      <c r="AC122" s="59"/>
      <c r="AD122" s="60" t="s">
        <v>389</v>
      </c>
    </row>
    <row r="123" spans="1:30" ht="37.5" customHeight="1" x14ac:dyDescent="0.3">
      <c r="A123" s="51">
        <v>109</v>
      </c>
      <c r="B123" s="52" t="s">
        <v>468</v>
      </c>
      <c r="C123" s="51" t="s">
        <v>469</v>
      </c>
      <c r="D123" s="51" t="s">
        <v>470</v>
      </c>
      <c r="E123" s="51" t="s">
        <v>3</v>
      </c>
      <c r="F123" s="51" t="s">
        <v>3</v>
      </c>
      <c r="G123" s="51" t="s">
        <v>74</v>
      </c>
      <c r="H123" s="53" t="s">
        <v>471</v>
      </c>
      <c r="I123" s="54" t="s">
        <v>117</v>
      </c>
      <c r="J123" s="53"/>
      <c r="K123" s="55">
        <v>46265</v>
      </c>
      <c r="L123" s="62" t="s">
        <v>472</v>
      </c>
      <c r="M123" s="55">
        <v>46267</v>
      </c>
      <c r="N123" s="55"/>
      <c r="O123" s="56"/>
      <c r="P123" s="54"/>
      <c r="Q123" s="57"/>
      <c r="R123" s="54"/>
      <c r="S123" s="57"/>
      <c r="T123" s="54"/>
      <c r="U123" s="57"/>
      <c r="V123" s="53" t="s">
        <v>66</v>
      </c>
      <c r="W123" s="56"/>
      <c r="X123" s="46">
        <f t="shared" si="4"/>
        <v>0</v>
      </c>
      <c r="Y123" s="58" t="s">
        <v>67</v>
      </c>
      <c r="Z123" s="53" t="s">
        <v>66</v>
      </c>
      <c r="AA123" s="52" t="s">
        <v>96</v>
      </c>
      <c r="AB123" s="59" t="s">
        <v>97</v>
      </c>
      <c r="AC123" s="59" t="s">
        <v>473</v>
      </c>
      <c r="AD123" s="60" t="s">
        <v>3</v>
      </c>
    </row>
    <row r="124" spans="1:30" ht="37.5" customHeight="1" x14ac:dyDescent="0.3">
      <c r="A124" s="51">
        <v>110</v>
      </c>
      <c r="B124" s="52" t="s">
        <v>468</v>
      </c>
      <c r="C124" s="51" t="s">
        <v>397</v>
      </c>
      <c r="D124" s="51" t="s">
        <v>474</v>
      </c>
      <c r="E124" s="51" t="s">
        <v>3</v>
      </c>
      <c r="F124" s="51" t="s">
        <v>3</v>
      </c>
      <c r="G124" s="51" t="s">
        <v>74</v>
      </c>
      <c r="H124" s="53" t="s">
        <v>475</v>
      </c>
      <c r="I124" s="54" t="s">
        <v>85</v>
      </c>
      <c r="J124" s="53"/>
      <c r="K124" s="55">
        <v>46265</v>
      </c>
      <c r="L124" s="62" t="s">
        <v>472</v>
      </c>
      <c r="M124" s="55">
        <v>46267</v>
      </c>
      <c r="N124" s="55"/>
      <c r="O124" s="56"/>
      <c r="P124" s="54"/>
      <c r="Q124" s="57"/>
      <c r="R124" s="54"/>
      <c r="S124" s="57"/>
      <c r="T124" s="54"/>
      <c r="U124" s="57"/>
      <c r="V124" s="53" t="s">
        <v>66</v>
      </c>
      <c r="W124" s="56"/>
      <c r="X124" s="46">
        <f t="shared" si="4"/>
        <v>0</v>
      </c>
      <c r="Y124" s="58" t="s">
        <v>67</v>
      </c>
      <c r="Z124" s="53" t="s">
        <v>66</v>
      </c>
      <c r="AA124" s="52" t="s">
        <v>96</v>
      </c>
      <c r="AB124" s="59" t="s">
        <v>97</v>
      </c>
      <c r="AC124" s="59" t="s">
        <v>476</v>
      </c>
      <c r="AD124" s="60" t="s">
        <v>3</v>
      </c>
    </row>
    <row r="125" spans="1:30" ht="37.5" customHeight="1" x14ac:dyDescent="0.3">
      <c r="A125" s="51">
        <v>111</v>
      </c>
      <c r="B125" s="52" t="s">
        <v>468</v>
      </c>
      <c r="C125" s="51" t="s">
        <v>313</v>
      </c>
      <c r="D125" s="51" t="s">
        <v>477</v>
      </c>
      <c r="E125" s="51" t="s">
        <v>3</v>
      </c>
      <c r="F125" s="51" t="s">
        <v>3</v>
      </c>
      <c r="G125" s="51" t="s">
        <v>74</v>
      </c>
      <c r="H125" s="53" t="s">
        <v>478</v>
      </c>
      <c r="I125" s="54" t="s">
        <v>117</v>
      </c>
      <c r="J125" s="53"/>
      <c r="K125" s="55">
        <v>46265</v>
      </c>
      <c r="L125" s="62" t="s">
        <v>472</v>
      </c>
      <c r="M125" s="55">
        <v>46267</v>
      </c>
      <c r="N125" s="55"/>
      <c r="O125" s="56"/>
      <c r="P125" s="54"/>
      <c r="Q125" s="57"/>
      <c r="R125" s="54"/>
      <c r="S125" s="57"/>
      <c r="T125" s="54"/>
      <c r="U125" s="57"/>
      <c r="V125" s="53" t="s">
        <v>66</v>
      </c>
      <c r="W125" s="56"/>
      <c r="X125" s="46">
        <f t="shared" si="4"/>
        <v>0</v>
      </c>
      <c r="Y125" s="58" t="s">
        <v>67</v>
      </c>
      <c r="Z125" s="53" t="s">
        <v>66</v>
      </c>
      <c r="AA125" s="52" t="s">
        <v>96</v>
      </c>
      <c r="AB125" s="59" t="s">
        <v>97</v>
      </c>
      <c r="AC125" s="59" t="s">
        <v>479</v>
      </c>
      <c r="AD125" s="60" t="s">
        <v>3</v>
      </c>
    </row>
    <row r="126" spans="1:30" ht="37.5" customHeight="1" x14ac:dyDescent="0.3">
      <c r="A126" s="51">
        <v>112</v>
      </c>
      <c r="B126" s="52" t="s">
        <v>468</v>
      </c>
      <c r="C126" s="51" t="s">
        <v>245</v>
      </c>
      <c r="D126" s="51" t="s">
        <v>480</v>
      </c>
      <c r="E126" s="51" t="s">
        <v>3</v>
      </c>
      <c r="F126" s="51" t="s">
        <v>3</v>
      </c>
      <c r="G126" s="51" t="s">
        <v>74</v>
      </c>
      <c r="H126" s="53" t="s">
        <v>481</v>
      </c>
      <c r="I126" s="54" t="s">
        <v>482</v>
      </c>
      <c r="J126" s="53"/>
      <c r="K126" s="55">
        <v>46265</v>
      </c>
      <c r="L126" s="62" t="s">
        <v>472</v>
      </c>
      <c r="M126" s="55">
        <v>46267</v>
      </c>
      <c r="N126" s="55"/>
      <c r="O126" s="56"/>
      <c r="P126" s="54"/>
      <c r="Q126" s="57"/>
      <c r="R126" s="54"/>
      <c r="S126" s="57"/>
      <c r="T126" s="54"/>
      <c r="U126" s="57"/>
      <c r="V126" s="53"/>
      <c r="W126" s="56"/>
      <c r="X126" s="46">
        <f t="shared" si="4"/>
        <v>0</v>
      </c>
      <c r="Y126" s="58" t="s">
        <v>67</v>
      </c>
      <c r="Z126" s="53" t="s">
        <v>66</v>
      </c>
      <c r="AA126" s="52" t="s">
        <v>96</v>
      </c>
      <c r="AB126" s="59" t="s">
        <v>97</v>
      </c>
      <c r="AC126" s="59" t="s">
        <v>483</v>
      </c>
      <c r="AD126" s="60" t="s">
        <v>3</v>
      </c>
    </row>
    <row r="127" spans="1:30" ht="37.5" customHeight="1" x14ac:dyDescent="0.3">
      <c r="A127" s="51">
        <v>113</v>
      </c>
      <c r="B127" s="52" t="s">
        <v>468</v>
      </c>
      <c r="C127" s="51" t="s">
        <v>277</v>
      </c>
      <c r="D127" s="51" t="s">
        <v>484</v>
      </c>
      <c r="E127" s="51" t="s">
        <v>3</v>
      </c>
      <c r="F127" s="51" t="s">
        <v>3</v>
      </c>
      <c r="G127" s="51" t="s">
        <v>74</v>
      </c>
      <c r="H127" s="53" t="s">
        <v>485</v>
      </c>
      <c r="I127" s="54" t="s">
        <v>85</v>
      </c>
      <c r="J127" s="53"/>
      <c r="K127" s="55">
        <v>46265</v>
      </c>
      <c r="L127" s="62" t="s">
        <v>472</v>
      </c>
      <c r="M127" s="55">
        <v>46267</v>
      </c>
      <c r="N127" s="55"/>
      <c r="O127" s="56"/>
      <c r="P127" s="54"/>
      <c r="Q127" s="57"/>
      <c r="R127" s="54"/>
      <c r="S127" s="57"/>
      <c r="T127" s="54"/>
      <c r="U127" s="57"/>
      <c r="V127" s="53" t="s">
        <v>66</v>
      </c>
      <c r="W127" s="56"/>
      <c r="X127" s="46">
        <f t="shared" si="4"/>
        <v>0</v>
      </c>
      <c r="Y127" s="58" t="s">
        <v>67</v>
      </c>
      <c r="Z127" s="53" t="s">
        <v>66</v>
      </c>
      <c r="AA127" s="52" t="s">
        <v>96</v>
      </c>
      <c r="AB127" s="59" t="s">
        <v>97</v>
      </c>
      <c r="AC127" s="59" t="s">
        <v>486</v>
      </c>
      <c r="AD127" s="60" t="s">
        <v>3</v>
      </c>
    </row>
    <row r="128" spans="1:30" ht="37.5" customHeight="1" x14ac:dyDescent="0.3">
      <c r="A128" s="51">
        <v>114</v>
      </c>
      <c r="B128" s="52" t="s">
        <v>468</v>
      </c>
      <c r="C128" s="51" t="s">
        <v>487</v>
      </c>
      <c r="D128" s="51" t="s">
        <v>488</v>
      </c>
      <c r="E128" s="51" t="s">
        <v>3</v>
      </c>
      <c r="F128" s="51" t="s">
        <v>3</v>
      </c>
      <c r="G128" s="51" t="s">
        <v>74</v>
      </c>
      <c r="H128" s="53" t="s">
        <v>489</v>
      </c>
      <c r="I128" s="54" t="s">
        <v>419</v>
      </c>
      <c r="J128" s="53"/>
      <c r="K128" s="55">
        <v>46265</v>
      </c>
      <c r="L128" s="62" t="s">
        <v>472</v>
      </c>
      <c r="M128" s="55">
        <v>46267</v>
      </c>
      <c r="N128" s="55"/>
      <c r="O128" s="56"/>
      <c r="P128" s="54"/>
      <c r="Q128" s="57"/>
      <c r="R128" s="54"/>
      <c r="S128" s="57"/>
      <c r="T128" s="54"/>
      <c r="U128" s="57"/>
      <c r="V128" s="53" t="s">
        <v>66</v>
      </c>
      <c r="W128" s="56"/>
      <c r="X128" s="46">
        <f t="shared" si="4"/>
        <v>0</v>
      </c>
      <c r="Y128" s="58" t="s">
        <v>67</v>
      </c>
      <c r="Z128" s="53" t="s">
        <v>66</v>
      </c>
      <c r="AA128" s="52" t="s">
        <v>96</v>
      </c>
      <c r="AB128" s="59" t="s">
        <v>97</v>
      </c>
      <c r="AC128" s="59" t="s">
        <v>490</v>
      </c>
      <c r="AD128" s="60" t="s">
        <v>3</v>
      </c>
    </row>
    <row r="129" spans="1:30" ht="37.5" customHeight="1" x14ac:dyDescent="0.3">
      <c r="A129" s="51">
        <v>115</v>
      </c>
      <c r="B129" s="52" t="s">
        <v>468</v>
      </c>
      <c r="C129" s="51" t="s">
        <v>336</v>
      </c>
      <c r="D129" s="51" t="s">
        <v>491</v>
      </c>
      <c r="E129" s="51" t="s">
        <v>3</v>
      </c>
      <c r="F129" s="51" t="s">
        <v>3</v>
      </c>
      <c r="G129" s="51" t="s">
        <v>74</v>
      </c>
      <c r="H129" s="53" t="s">
        <v>492</v>
      </c>
      <c r="I129" s="54" t="s">
        <v>482</v>
      </c>
      <c r="J129" s="53"/>
      <c r="K129" s="55">
        <v>46265</v>
      </c>
      <c r="L129" s="62" t="s">
        <v>472</v>
      </c>
      <c r="M129" s="55">
        <v>46267</v>
      </c>
      <c r="N129" s="55"/>
      <c r="O129" s="56"/>
      <c r="P129" s="54"/>
      <c r="Q129" s="57"/>
      <c r="R129" s="54"/>
      <c r="S129" s="57"/>
      <c r="T129" s="54"/>
      <c r="U129" s="57"/>
      <c r="V129" s="53"/>
      <c r="W129" s="56"/>
      <c r="X129" s="46">
        <f t="shared" si="4"/>
        <v>0</v>
      </c>
      <c r="Y129" s="58" t="s">
        <v>67</v>
      </c>
      <c r="Z129" s="53" t="s">
        <v>66</v>
      </c>
      <c r="AA129" s="52" t="s">
        <v>96</v>
      </c>
      <c r="AB129" s="59" t="s">
        <v>97</v>
      </c>
      <c r="AC129" s="59" t="s">
        <v>493</v>
      </c>
      <c r="AD129" s="60" t="s">
        <v>3</v>
      </c>
    </row>
    <row r="130" spans="1:30" ht="37.5" customHeight="1" x14ac:dyDescent="0.3">
      <c r="A130" s="51">
        <v>116</v>
      </c>
      <c r="B130" s="52" t="s">
        <v>468</v>
      </c>
      <c r="C130" s="51" t="s">
        <v>205</v>
      </c>
      <c r="D130" s="51" t="s">
        <v>494</v>
      </c>
      <c r="E130" s="51" t="s">
        <v>3</v>
      </c>
      <c r="F130" s="51" t="s">
        <v>3</v>
      </c>
      <c r="G130" s="51" t="s">
        <v>74</v>
      </c>
      <c r="H130" s="53" t="s">
        <v>495</v>
      </c>
      <c r="I130" s="54" t="s">
        <v>117</v>
      </c>
      <c r="J130" s="53"/>
      <c r="K130" s="55">
        <v>46265</v>
      </c>
      <c r="L130" s="62" t="s">
        <v>472</v>
      </c>
      <c r="M130" s="55">
        <v>46267</v>
      </c>
      <c r="N130" s="55"/>
      <c r="O130" s="56"/>
      <c r="P130" s="54"/>
      <c r="Q130" s="57"/>
      <c r="R130" s="54"/>
      <c r="S130" s="57"/>
      <c r="T130" s="54"/>
      <c r="U130" s="57"/>
      <c r="V130" s="53" t="s">
        <v>66</v>
      </c>
      <c r="W130" s="56"/>
      <c r="X130" s="46">
        <f t="shared" si="4"/>
        <v>0</v>
      </c>
      <c r="Y130" s="58" t="s">
        <v>67</v>
      </c>
      <c r="Z130" s="53" t="s">
        <v>66</v>
      </c>
      <c r="AA130" s="52" t="s">
        <v>96</v>
      </c>
      <c r="AB130" s="59" t="s">
        <v>97</v>
      </c>
      <c r="AC130" s="59" t="s">
        <v>496</v>
      </c>
      <c r="AD130" s="60" t="s">
        <v>3</v>
      </c>
    </row>
    <row r="131" spans="1:30" ht="37.5" customHeight="1" x14ac:dyDescent="0.3">
      <c r="A131" s="51">
        <v>117</v>
      </c>
      <c r="B131" s="52" t="s">
        <v>468</v>
      </c>
      <c r="C131" s="51" t="s">
        <v>441</v>
      </c>
      <c r="D131" s="51" t="s">
        <v>497</v>
      </c>
      <c r="E131" s="51" t="s">
        <v>3</v>
      </c>
      <c r="F131" s="51" t="s">
        <v>3</v>
      </c>
      <c r="G131" s="51" t="s">
        <v>74</v>
      </c>
      <c r="H131" s="53" t="s">
        <v>498</v>
      </c>
      <c r="I131" s="54" t="s">
        <v>112</v>
      </c>
      <c r="J131" s="53"/>
      <c r="K131" s="55">
        <v>46265</v>
      </c>
      <c r="L131" s="62" t="s">
        <v>472</v>
      </c>
      <c r="M131" s="55">
        <v>46267</v>
      </c>
      <c r="N131" s="55"/>
      <c r="O131" s="56"/>
      <c r="P131" s="54"/>
      <c r="Q131" s="57"/>
      <c r="R131" s="54"/>
      <c r="S131" s="57"/>
      <c r="T131" s="54"/>
      <c r="U131" s="57"/>
      <c r="V131" s="53" t="s">
        <v>67</v>
      </c>
      <c r="W131" s="56"/>
      <c r="X131" s="46">
        <f t="shared" si="4"/>
        <v>0</v>
      </c>
      <c r="Y131" s="58" t="s">
        <v>67</v>
      </c>
      <c r="Z131" s="53" t="s">
        <v>66</v>
      </c>
      <c r="AA131" s="52" t="s">
        <v>96</v>
      </c>
      <c r="AB131" s="59" t="s">
        <v>97</v>
      </c>
      <c r="AC131" s="59" t="s">
        <v>499</v>
      </c>
      <c r="AD131" s="60" t="s">
        <v>3</v>
      </c>
    </row>
    <row r="132" spans="1:30" ht="37.5" customHeight="1" x14ac:dyDescent="0.3">
      <c r="A132" s="51">
        <v>118</v>
      </c>
      <c r="B132" s="52" t="s">
        <v>468</v>
      </c>
      <c r="C132" s="51" t="s">
        <v>500</v>
      </c>
      <c r="D132" s="51" t="s">
        <v>501</v>
      </c>
      <c r="E132" s="51" t="s">
        <v>3</v>
      </c>
      <c r="F132" s="51" t="s">
        <v>3</v>
      </c>
      <c r="G132" s="51" t="s">
        <v>74</v>
      </c>
      <c r="H132" s="53" t="s">
        <v>502</v>
      </c>
      <c r="I132" s="54" t="s">
        <v>117</v>
      </c>
      <c r="J132" s="53"/>
      <c r="K132" s="55">
        <v>46265</v>
      </c>
      <c r="L132" s="62" t="s">
        <v>472</v>
      </c>
      <c r="M132" s="55">
        <v>46267</v>
      </c>
      <c r="N132" s="55"/>
      <c r="O132" s="56"/>
      <c r="P132" s="54"/>
      <c r="Q132" s="57"/>
      <c r="R132" s="54"/>
      <c r="S132" s="57"/>
      <c r="T132" s="54"/>
      <c r="U132" s="57"/>
      <c r="V132" s="53" t="s">
        <v>67</v>
      </c>
      <c r="W132" s="56"/>
      <c r="X132" s="46">
        <f t="shared" si="4"/>
        <v>0</v>
      </c>
      <c r="Y132" s="58" t="s">
        <v>67</v>
      </c>
      <c r="Z132" s="53" t="s">
        <v>66</v>
      </c>
      <c r="AA132" s="52" t="s">
        <v>96</v>
      </c>
      <c r="AB132" s="59" t="s">
        <v>97</v>
      </c>
      <c r="AC132" s="59" t="s">
        <v>503</v>
      </c>
      <c r="AD132" s="60" t="s">
        <v>3</v>
      </c>
    </row>
    <row r="133" spans="1:30" ht="37.5" customHeight="1" x14ac:dyDescent="0.3">
      <c r="A133" s="51">
        <v>119</v>
      </c>
      <c r="B133" s="52" t="s">
        <v>468</v>
      </c>
      <c r="C133" s="51" t="s">
        <v>504</v>
      </c>
      <c r="D133" s="51" t="s">
        <v>505</v>
      </c>
      <c r="E133" s="51" t="s">
        <v>3</v>
      </c>
      <c r="F133" s="51" t="s">
        <v>3</v>
      </c>
      <c r="G133" s="51" t="s">
        <v>74</v>
      </c>
      <c r="H133" s="53" t="s">
        <v>506</v>
      </c>
      <c r="I133" s="54" t="s">
        <v>117</v>
      </c>
      <c r="J133" s="53"/>
      <c r="K133" s="55">
        <v>46265</v>
      </c>
      <c r="L133" s="62" t="s">
        <v>472</v>
      </c>
      <c r="M133" s="55">
        <v>46267</v>
      </c>
      <c r="N133" s="55"/>
      <c r="O133" s="56"/>
      <c r="P133" s="54"/>
      <c r="Q133" s="57"/>
      <c r="R133" s="54"/>
      <c r="S133" s="57"/>
      <c r="T133" s="54"/>
      <c r="U133" s="57"/>
      <c r="V133" s="53" t="s">
        <v>66</v>
      </c>
      <c r="W133" s="56"/>
      <c r="X133" s="46">
        <f t="shared" si="4"/>
        <v>0</v>
      </c>
      <c r="Y133" s="58" t="s">
        <v>67</v>
      </c>
      <c r="Z133" s="53" t="s">
        <v>66</v>
      </c>
      <c r="AA133" s="52" t="s">
        <v>96</v>
      </c>
      <c r="AB133" s="59" t="s">
        <v>97</v>
      </c>
      <c r="AC133" s="59" t="s">
        <v>507</v>
      </c>
      <c r="AD133" s="60" t="s">
        <v>3</v>
      </c>
    </row>
    <row r="134" spans="1:30" ht="37.5" customHeight="1" x14ac:dyDescent="0.3">
      <c r="A134" s="51">
        <v>120</v>
      </c>
      <c r="B134" s="52" t="s">
        <v>468</v>
      </c>
      <c r="C134" s="51" t="s">
        <v>346</v>
      </c>
      <c r="D134" s="51" t="s">
        <v>508</v>
      </c>
      <c r="E134" s="51" t="s">
        <v>3</v>
      </c>
      <c r="F134" s="51" t="s">
        <v>3</v>
      </c>
      <c r="G134" s="51" t="s">
        <v>74</v>
      </c>
      <c r="H134" s="53" t="s">
        <v>509</v>
      </c>
      <c r="I134" s="54" t="s">
        <v>112</v>
      </c>
      <c r="J134" s="53"/>
      <c r="K134" s="55">
        <v>46265</v>
      </c>
      <c r="L134" s="62" t="s">
        <v>472</v>
      </c>
      <c r="M134" s="55">
        <v>46267</v>
      </c>
      <c r="N134" s="55"/>
      <c r="O134" s="56"/>
      <c r="P134" s="54"/>
      <c r="Q134" s="57"/>
      <c r="R134" s="54"/>
      <c r="S134" s="57"/>
      <c r="T134" s="54"/>
      <c r="U134" s="57"/>
      <c r="V134" s="53" t="s">
        <v>67</v>
      </c>
      <c r="W134" s="56"/>
      <c r="X134" s="46">
        <f t="shared" si="4"/>
        <v>0</v>
      </c>
      <c r="Y134" s="58" t="s">
        <v>67</v>
      </c>
      <c r="Z134" s="53" t="s">
        <v>66</v>
      </c>
      <c r="AA134" s="52" t="s">
        <v>96</v>
      </c>
      <c r="AB134" s="59" t="s">
        <v>97</v>
      </c>
      <c r="AC134" s="59" t="s">
        <v>499</v>
      </c>
      <c r="AD134" s="60" t="s">
        <v>3</v>
      </c>
    </row>
    <row r="135" spans="1:30" ht="37.5" customHeight="1" x14ac:dyDescent="0.3">
      <c r="A135" s="51">
        <v>121</v>
      </c>
      <c r="B135" s="52" t="s">
        <v>468</v>
      </c>
      <c r="C135" s="51" t="s">
        <v>354</v>
      </c>
      <c r="D135" s="51" t="s">
        <v>510</v>
      </c>
      <c r="E135" s="51" t="s">
        <v>3</v>
      </c>
      <c r="F135" s="51" t="s">
        <v>3</v>
      </c>
      <c r="G135" s="51" t="s">
        <v>74</v>
      </c>
      <c r="H135" s="53" t="s">
        <v>511</v>
      </c>
      <c r="I135" s="54" t="s">
        <v>65</v>
      </c>
      <c r="J135" s="53"/>
      <c r="K135" s="55">
        <v>46265</v>
      </c>
      <c r="L135" s="62" t="s">
        <v>472</v>
      </c>
      <c r="M135" s="55">
        <v>46267</v>
      </c>
      <c r="N135" s="55"/>
      <c r="O135" s="56"/>
      <c r="P135" s="54"/>
      <c r="Q135" s="57"/>
      <c r="R135" s="54"/>
      <c r="S135" s="57"/>
      <c r="T135" s="54"/>
      <c r="U135" s="57"/>
      <c r="V135" s="53" t="s">
        <v>66</v>
      </c>
      <c r="W135" s="56"/>
      <c r="X135" s="46">
        <f t="shared" si="4"/>
        <v>0</v>
      </c>
      <c r="Y135" s="58" t="s">
        <v>67</v>
      </c>
      <c r="Z135" s="53" t="s">
        <v>66</v>
      </c>
      <c r="AA135" s="52" t="s">
        <v>96</v>
      </c>
      <c r="AB135" s="59" t="s">
        <v>97</v>
      </c>
      <c r="AC135" s="59" t="s">
        <v>512</v>
      </c>
      <c r="AD135" s="60" t="s">
        <v>3</v>
      </c>
    </row>
    <row r="136" spans="1:30" ht="37.5" customHeight="1" x14ac:dyDescent="0.3">
      <c r="A136" s="51">
        <v>122</v>
      </c>
      <c r="B136" s="52" t="s">
        <v>468</v>
      </c>
      <c r="C136" s="51" t="s">
        <v>513</v>
      </c>
      <c r="D136" s="51" t="s">
        <v>514</v>
      </c>
      <c r="E136" s="51" t="s">
        <v>3</v>
      </c>
      <c r="F136" s="51" t="s">
        <v>3</v>
      </c>
      <c r="G136" s="51" t="s">
        <v>74</v>
      </c>
      <c r="H136" s="53" t="s">
        <v>515</v>
      </c>
      <c r="I136" s="54" t="s">
        <v>85</v>
      </c>
      <c r="J136" s="53"/>
      <c r="K136" s="55">
        <v>46265</v>
      </c>
      <c r="L136" s="62" t="s">
        <v>472</v>
      </c>
      <c r="M136" s="55">
        <v>46294</v>
      </c>
      <c r="N136" s="55"/>
      <c r="O136" s="56"/>
      <c r="P136" s="54"/>
      <c r="Q136" s="57"/>
      <c r="R136" s="54"/>
      <c r="S136" s="57"/>
      <c r="T136" s="54"/>
      <c r="U136" s="57"/>
      <c r="V136" s="53" t="s">
        <v>67</v>
      </c>
      <c r="W136" s="56"/>
      <c r="X136" s="46">
        <f t="shared" si="4"/>
        <v>0</v>
      </c>
      <c r="Y136" s="58" t="s">
        <v>67</v>
      </c>
      <c r="Z136" s="53" t="s">
        <v>66</v>
      </c>
      <c r="AA136" s="52" t="s">
        <v>96</v>
      </c>
      <c r="AB136" s="59" t="s">
        <v>97</v>
      </c>
      <c r="AC136" s="59" t="s">
        <v>516</v>
      </c>
      <c r="AD136" s="60" t="s">
        <v>3</v>
      </c>
    </row>
    <row r="137" spans="1:30" ht="37.5" customHeight="1" x14ac:dyDescent="0.3">
      <c r="A137" s="106">
        <v>162</v>
      </c>
      <c r="B137" s="107" t="s">
        <v>468</v>
      </c>
      <c r="C137" s="106">
        <v>44</v>
      </c>
      <c r="D137" s="91" t="s">
        <v>517</v>
      </c>
      <c r="E137" s="51" t="s">
        <v>3</v>
      </c>
      <c r="F137" s="51" t="s">
        <v>3</v>
      </c>
      <c r="G137" s="51" t="s">
        <v>74</v>
      </c>
      <c r="H137" s="53">
        <v>16930</v>
      </c>
      <c r="I137" s="54" t="s">
        <v>117</v>
      </c>
      <c r="J137" s="53"/>
      <c r="K137" s="55">
        <v>46265</v>
      </c>
      <c r="L137" s="62"/>
      <c r="M137" s="55">
        <v>46267</v>
      </c>
      <c r="N137" s="55"/>
      <c r="O137" s="56"/>
      <c r="P137" s="54"/>
      <c r="Q137" s="57"/>
      <c r="R137" s="54"/>
      <c r="S137" s="57"/>
      <c r="T137" s="54"/>
      <c r="U137" s="57"/>
      <c r="V137" s="53" t="s">
        <v>66</v>
      </c>
      <c r="W137" s="56"/>
      <c r="X137" s="46">
        <f t="shared" si="4"/>
        <v>0</v>
      </c>
      <c r="Y137" s="58" t="s">
        <v>67</v>
      </c>
      <c r="Z137" s="53" t="s">
        <v>67</v>
      </c>
      <c r="AA137" s="52"/>
      <c r="AB137" s="59"/>
      <c r="AC137" s="59"/>
      <c r="AD137" s="60"/>
    </row>
    <row r="138" spans="1:30" ht="37.5" customHeight="1" x14ac:dyDescent="0.3">
      <c r="A138" s="107"/>
      <c r="B138" s="107" t="s">
        <v>468</v>
      </c>
      <c r="C138" s="107">
        <v>66</v>
      </c>
      <c r="D138" s="107"/>
      <c r="E138" s="107"/>
      <c r="F138" s="107"/>
      <c r="G138" s="107"/>
      <c r="H138" s="72">
        <v>16967</v>
      </c>
      <c r="K138" s="77">
        <v>46265</v>
      </c>
      <c r="M138" s="77">
        <v>46267</v>
      </c>
      <c r="X138" s="46">
        <f t="shared" si="4"/>
        <v>0</v>
      </c>
      <c r="Y138" s="53" t="s">
        <v>67</v>
      </c>
      <c r="Z138" s="53" t="s">
        <v>67</v>
      </c>
    </row>
    <row r="139" spans="1:30" ht="37.5" customHeight="1" x14ac:dyDescent="0.3">
      <c r="A139" s="107"/>
      <c r="B139" s="107" t="s">
        <v>468</v>
      </c>
      <c r="C139" s="107">
        <v>87</v>
      </c>
      <c r="D139" s="107"/>
      <c r="E139" s="107"/>
      <c r="F139" s="107"/>
      <c r="G139" s="107"/>
      <c r="H139" s="72">
        <v>16968</v>
      </c>
      <c r="K139" s="77">
        <v>46265</v>
      </c>
      <c r="M139" s="77">
        <v>46267</v>
      </c>
      <c r="X139" s="46">
        <f t="shared" si="4"/>
        <v>0</v>
      </c>
      <c r="Y139" s="53" t="s">
        <v>67</v>
      </c>
      <c r="Z139" s="53" t="s">
        <v>67</v>
      </c>
    </row>
    <row r="140" spans="1:30" ht="37.5" customHeight="1" x14ac:dyDescent="0.3">
      <c r="A140" s="63">
        <v>123</v>
      </c>
      <c r="B140" s="64" t="s">
        <v>518</v>
      </c>
      <c r="C140" s="63" t="s">
        <v>519</v>
      </c>
      <c r="D140" s="51" t="s">
        <v>520</v>
      </c>
      <c r="E140" s="51" t="s">
        <v>3</v>
      </c>
      <c r="F140" s="51" t="s">
        <v>3</v>
      </c>
      <c r="G140" s="51" t="s">
        <v>138</v>
      </c>
      <c r="H140" s="80">
        <v>16982</v>
      </c>
      <c r="I140" s="54" t="s">
        <v>104</v>
      </c>
      <c r="J140" s="53"/>
      <c r="K140" s="55" t="s">
        <v>521</v>
      </c>
      <c r="L140" s="62" t="s">
        <v>522</v>
      </c>
      <c r="M140" s="55"/>
      <c r="N140" s="55"/>
      <c r="O140" s="56"/>
      <c r="P140" s="54"/>
      <c r="Q140" s="57"/>
      <c r="R140" s="54"/>
      <c r="S140" s="57"/>
      <c r="T140" s="54"/>
      <c r="U140" s="57"/>
      <c r="V140" s="53"/>
      <c r="W140" s="56"/>
      <c r="X140" s="46">
        <f t="shared" si="4"/>
        <v>0</v>
      </c>
      <c r="Y140" s="58" t="s">
        <v>67</v>
      </c>
      <c r="Z140" s="53" t="s">
        <v>67</v>
      </c>
      <c r="AA140" s="52" t="s">
        <v>96</v>
      </c>
      <c r="AB140" s="59" t="s">
        <v>97</v>
      </c>
      <c r="AC140" s="59"/>
      <c r="AD140" s="60" t="s">
        <v>224</v>
      </c>
    </row>
    <row r="141" spans="1:30" ht="37.5" customHeight="1" x14ac:dyDescent="0.3">
      <c r="A141" s="51">
        <v>124</v>
      </c>
      <c r="B141" s="52" t="s">
        <v>518</v>
      </c>
      <c r="C141" s="51" t="s">
        <v>523</v>
      </c>
      <c r="D141" s="51" t="s">
        <v>524</v>
      </c>
      <c r="E141" s="51" t="s">
        <v>3</v>
      </c>
      <c r="F141" s="51" t="s">
        <v>3</v>
      </c>
      <c r="G141" s="51" t="s">
        <v>138</v>
      </c>
      <c r="H141" s="53" t="s">
        <v>525</v>
      </c>
      <c r="I141" s="54" t="s">
        <v>104</v>
      </c>
      <c r="J141" s="53"/>
      <c r="K141" s="55" t="s">
        <v>521</v>
      </c>
      <c r="L141" s="62" t="s">
        <v>522</v>
      </c>
      <c r="M141" s="55"/>
      <c r="N141" s="55"/>
      <c r="O141" s="56"/>
      <c r="P141" s="54"/>
      <c r="Q141" s="57"/>
      <c r="R141" s="54"/>
      <c r="S141" s="57"/>
      <c r="T141" s="54"/>
      <c r="U141" s="57"/>
      <c r="V141" s="53"/>
      <c r="W141" s="56"/>
      <c r="X141" s="46">
        <f t="shared" si="4"/>
        <v>0</v>
      </c>
      <c r="Y141" s="58" t="s">
        <v>67</v>
      </c>
      <c r="Z141" s="53" t="s">
        <v>67</v>
      </c>
      <c r="AA141" s="52" t="s">
        <v>96</v>
      </c>
      <c r="AB141" s="59" t="s">
        <v>97</v>
      </c>
      <c r="AC141" s="59"/>
      <c r="AD141" s="60" t="s">
        <v>3</v>
      </c>
    </row>
    <row r="142" spans="1:30" ht="37.5" customHeight="1" x14ac:dyDescent="0.3">
      <c r="A142" s="107"/>
      <c r="B142" s="107" t="s">
        <v>518</v>
      </c>
      <c r="C142" s="107">
        <v>35</v>
      </c>
      <c r="D142" s="107"/>
      <c r="E142" s="107"/>
      <c r="F142" s="107"/>
      <c r="G142" s="107"/>
      <c r="H142" s="38">
        <v>16981</v>
      </c>
    </row>
    <row r="143" spans="1:30" ht="37.5" customHeight="1" x14ac:dyDescent="0.3">
      <c r="A143" s="63">
        <v>125</v>
      </c>
      <c r="B143" s="64" t="s">
        <v>526</v>
      </c>
      <c r="C143" s="63" t="s">
        <v>527</v>
      </c>
      <c r="D143" s="51" t="s">
        <v>528</v>
      </c>
      <c r="E143" s="51" t="s">
        <v>3</v>
      </c>
      <c r="F143" s="51" t="s">
        <v>3</v>
      </c>
      <c r="G143" s="51" t="s">
        <v>138</v>
      </c>
      <c r="H143" s="53" t="s">
        <v>529</v>
      </c>
      <c r="I143" s="54" t="s">
        <v>102</v>
      </c>
      <c r="J143" s="53"/>
      <c r="K143" s="55" t="s">
        <v>530</v>
      </c>
      <c r="L143" s="62" t="s">
        <v>531</v>
      </c>
      <c r="M143" s="55"/>
      <c r="N143" s="55"/>
      <c r="O143" s="56"/>
      <c r="P143" s="54"/>
      <c r="Q143" s="57"/>
      <c r="R143" s="54"/>
      <c r="S143" s="57"/>
      <c r="T143" s="54"/>
      <c r="U143" s="57"/>
      <c r="V143" s="53"/>
      <c r="W143" s="56"/>
      <c r="X143" s="46">
        <f t="shared" si="4"/>
        <v>0</v>
      </c>
      <c r="Y143" s="58" t="s">
        <v>67</v>
      </c>
      <c r="Z143" s="65" t="s">
        <v>532</v>
      </c>
      <c r="AA143" s="52" t="s">
        <v>68</v>
      </c>
      <c r="AB143" s="69" t="s">
        <v>69</v>
      </c>
      <c r="AC143" s="59"/>
      <c r="AD143" s="60" t="s">
        <v>71</v>
      </c>
    </row>
    <row r="144" spans="1:30" ht="37.5" customHeight="1" x14ac:dyDescent="0.3">
      <c r="A144" s="106">
        <v>168</v>
      </c>
      <c r="B144" s="107" t="s">
        <v>526</v>
      </c>
      <c r="C144" s="108">
        <v>14</v>
      </c>
      <c r="D144" s="51" t="s">
        <v>533</v>
      </c>
      <c r="E144" s="51" t="s">
        <v>3</v>
      </c>
      <c r="F144" s="51" t="s">
        <v>3</v>
      </c>
      <c r="G144" s="51" t="s">
        <v>138</v>
      </c>
      <c r="H144" s="53">
        <v>16931</v>
      </c>
      <c r="I144" s="54" t="s">
        <v>104</v>
      </c>
      <c r="J144" s="53"/>
      <c r="K144" s="55"/>
      <c r="L144" s="62"/>
      <c r="M144" s="55"/>
      <c r="N144" s="55"/>
      <c r="O144" s="56"/>
      <c r="P144" s="54"/>
      <c r="Q144" s="57"/>
      <c r="R144" s="54"/>
      <c r="S144" s="57"/>
      <c r="T144" s="54"/>
      <c r="U144" s="57"/>
      <c r="V144" s="53"/>
      <c r="W144" s="56"/>
      <c r="X144" s="46">
        <f t="shared" si="4"/>
        <v>0</v>
      </c>
      <c r="Y144" s="58"/>
      <c r="Z144" s="71" t="s">
        <v>67</v>
      </c>
      <c r="AA144" s="52"/>
      <c r="AB144" s="69"/>
      <c r="AC144" s="59"/>
      <c r="AD144" s="60"/>
    </row>
    <row r="145" spans="1:30" s="89" customFormat="1" ht="37.5" customHeight="1" x14ac:dyDescent="0.3">
      <c r="A145" s="63">
        <v>126</v>
      </c>
      <c r="B145" s="64" t="s">
        <v>534</v>
      </c>
      <c r="C145" s="63" t="s">
        <v>535</v>
      </c>
      <c r="D145" s="63" t="s">
        <v>536</v>
      </c>
      <c r="E145" s="63" t="s">
        <v>3</v>
      </c>
      <c r="F145" s="63" t="s">
        <v>3</v>
      </c>
      <c r="G145" s="63" t="s">
        <v>138</v>
      </c>
      <c r="H145" s="65" t="s">
        <v>537</v>
      </c>
      <c r="I145" s="66" t="s">
        <v>104</v>
      </c>
      <c r="J145" s="65"/>
      <c r="K145" s="67">
        <v>46237</v>
      </c>
      <c r="L145" s="68" t="s">
        <v>531</v>
      </c>
      <c r="M145" s="67"/>
      <c r="N145" s="67"/>
      <c r="O145" s="87"/>
      <c r="P145" s="66"/>
      <c r="Q145" s="93"/>
      <c r="R145" s="66"/>
      <c r="S145" s="93"/>
      <c r="T145" s="66"/>
      <c r="U145" s="93"/>
      <c r="V145" s="65"/>
      <c r="W145" s="87"/>
      <c r="X145" s="46">
        <f t="shared" si="4"/>
        <v>0</v>
      </c>
      <c r="Y145" s="94" t="s">
        <v>67</v>
      </c>
      <c r="Z145" s="65" t="s">
        <v>66</v>
      </c>
      <c r="AA145" s="64"/>
      <c r="AB145" s="95" t="s">
        <v>69</v>
      </c>
      <c r="AC145" s="86"/>
      <c r="AD145" s="88" t="s">
        <v>71</v>
      </c>
    </row>
    <row r="146" spans="1:30" ht="37.5" customHeight="1" x14ac:dyDescent="0.3">
      <c r="A146" s="51">
        <v>127</v>
      </c>
      <c r="B146" s="52" t="s">
        <v>538</v>
      </c>
      <c r="C146" s="51" t="s">
        <v>539</v>
      </c>
      <c r="D146" s="51" t="s">
        <v>540</v>
      </c>
      <c r="E146" s="51" t="s">
        <v>3</v>
      </c>
      <c r="F146" s="51" t="s">
        <v>3</v>
      </c>
      <c r="G146" s="51" t="s">
        <v>74</v>
      </c>
      <c r="H146" s="53" t="s">
        <v>541</v>
      </c>
      <c r="I146" s="54" t="s">
        <v>85</v>
      </c>
      <c r="J146" s="53"/>
      <c r="K146" s="55">
        <v>46203</v>
      </c>
      <c r="L146" s="62">
        <v>46248</v>
      </c>
      <c r="M146" s="55"/>
      <c r="N146" s="55"/>
      <c r="O146" s="56"/>
      <c r="P146" s="54"/>
      <c r="Q146" s="57"/>
      <c r="R146" s="54"/>
      <c r="S146" s="57"/>
      <c r="T146" s="54"/>
      <c r="U146" s="57"/>
      <c r="V146" s="53" t="s">
        <v>66</v>
      </c>
      <c r="W146" s="56"/>
      <c r="X146" s="46">
        <f t="shared" si="4"/>
        <v>0</v>
      </c>
      <c r="Y146" s="58" t="s">
        <v>67</v>
      </c>
      <c r="Z146" s="53" t="s">
        <v>66</v>
      </c>
      <c r="AA146" s="52" t="s">
        <v>76</v>
      </c>
      <c r="AB146" s="59" t="s">
        <v>77</v>
      </c>
      <c r="AC146" s="59"/>
      <c r="AD146" s="60" t="s">
        <v>3</v>
      </c>
    </row>
    <row r="147" spans="1:30" ht="37.5" customHeight="1" x14ac:dyDescent="0.3">
      <c r="A147" s="51">
        <v>128</v>
      </c>
      <c r="B147" s="52" t="s">
        <v>538</v>
      </c>
      <c r="C147" s="51" t="s">
        <v>542</v>
      </c>
      <c r="D147" s="51" t="s">
        <v>543</v>
      </c>
      <c r="E147" s="51" t="s">
        <v>3</v>
      </c>
      <c r="F147" s="51" t="s">
        <v>3</v>
      </c>
      <c r="G147" s="51" t="s">
        <v>74</v>
      </c>
      <c r="H147" s="53" t="s">
        <v>544</v>
      </c>
      <c r="I147" s="54" t="s">
        <v>117</v>
      </c>
      <c r="J147" s="53"/>
      <c r="K147" s="55">
        <v>46203</v>
      </c>
      <c r="L147" s="62">
        <v>46248</v>
      </c>
      <c r="M147" s="55"/>
      <c r="N147" s="55"/>
      <c r="O147" s="56"/>
      <c r="P147" s="54"/>
      <c r="Q147" s="57"/>
      <c r="R147" s="54"/>
      <c r="S147" s="57"/>
      <c r="T147" s="54"/>
      <c r="U147" s="57"/>
      <c r="V147" s="53" t="s">
        <v>66</v>
      </c>
      <c r="W147" s="56"/>
      <c r="X147" s="46">
        <f t="shared" si="4"/>
        <v>0</v>
      </c>
      <c r="Y147" s="58" t="s">
        <v>67</v>
      </c>
      <c r="Z147" s="53" t="s">
        <v>66</v>
      </c>
      <c r="AA147" s="52" t="s">
        <v>68</v>
      </c>
      <c r="AB147" s="69" t="s">
        <v>69</v>
      </c>
      <c r="AC147" s="59"/>
      <c r="AD147" s="60" t="s">
        <v>71</v>
      </c>
    </row>
    <row r="148" spans="1:30" ht="37.5" customHeight="1" x14ac:dyDescent="0.3">
      <c r="A148" s="51">
        <v>129</v>
      </c>
      <c r="B148" s="52" t="s">
        <v>538</v>
      </c>
      <c r="C148" s="51" t="s">
        <v>270</v>
      </c>
      <c r="D148" s="51" t="s">
        <v>545</v>
      </c>
      <c r="E148" s="51" t="s">
        <v>3</v>
      </c>
      <c r="F148" s="51" t="s">
        <v>3</v>
      </c>
      <c r="G148" s="51" t="s">
        <v>74</v>
      </c>
      <c r="H148" s="53" t="s">
        <v>546</v>
      </c>
      <c r="I148" s="54" t="s">
        <v>85</v>
      </c>
      <c r="J148" s="53"/>
      <c r="K148" s="55">
        <v>46203</v>
      </c>
      <c r="L148" s="62">
        <v>46248</v>
      </c>
      <c r="M148" s="55"/>
      <c r="N148" s="55"/>
      <c r="O148" s="56"/>
      <c r="P148" s="54"/>
      <c r="Q148" s="57"/>
      <c r="R148" s="54"/>
      <c r="S148" s="57"/>
      <c r="T148" s="54"/>
      <c r="U148" s="57"/>
      <c r="V148" s="53" t="s">
        <v>66</v>
      </c>
      <c r="W148" s="56"/>
      <c r="X148" s="46">
        <f t="shared" si="4"/>
        <v>0</v>
      </c>
      <c r="Y148" s="58" t="s">
        <v>67</v>
      </c>
      <c r="Z148" s="53" t="s">
        <v>66</v>
      </c>
      <c r="AA148" s="52" t="s">
        <v>68</v>
      </c>
      <c r="AB148" s="69" t="s">
        <v>69</v>
      </c>
      <c r="AC148" s="59"/>
      <c r="AD148" s="60" t="s">
        <v>71</v>
      </c>
    </row>
    <row r="149" spans="1:30" ht="37.5" customHeight="1" x14ac:dyDescent="0.3">
      <c r="A149" s="51">
        <v>130</v>
      </c>
      <c r="B149" s="52" t="s">
        <v>547</v>
      </c>
      <c r="C149" s="51" t="s">
        <v>469</v>
      </c>
      <c r="D149" s="51" t="s">
        <v>548</v>
      </c>
      <c r="E149" s="51" t="s">
        <v>3</v>
      </c>
      <c r="F149" s="51" t="s">
        <v>3</v>
      </c>
      <c r="G149" s="51" t="s">
        <v>74</v>
      </c>
      <c r="H149" s="53" t="s">
        <v>549</v>
      </c>
      <c r="I149" s="53" t="s">
        <v>177</v>
      </c>
      <c r="J149" s="53"/>
      <c r="K149" s="55" t="s">
        <v>550</v>
      </c>
      <c r="L149" s="55">
        <v>46262</v>
      </c>
      <c r="M149" s="55" t="s">
        <v>550</v>
      </c>
      <c r="N149" s="55"/>
      <c r="O149" s="56"/>
      <c r="P149" s="54"/>
      <c r="Q149" s="57"/>
      <c r="R149" s="54"/>
      <c r="S149" s="57"/>
      <c r="T149" s="54"/>
      <c r="U149" s="57"/>
      <c r="V149" s="53" t="s">
        <v>66</v>
      </c>
      <c r="W149" s="56"/>
      <c r="X149" s="46">
        <f t="shared" si="4"/>
        <v>0</v>
      </c>
      <c r="Y149" s="58" t="s">
        <v>66</v>
      </c>
      <c r="Z149" s="53" t="s">
        <v>66</v>
      </c>
      <c r="AA149" s="52" t="s">
        <v>68</v>
      </c>
      <c r="AB149" s="69" t="s">
        <v>69</v>
      </c>
      <c r="AC149" s="59"/>
      <c r="AD149" s="60" t="s">
        <v>71</v>
      </c>
    </row>
    <row r="150" spans="1:30" s="61" customFormat="1" ht="37.5" customHeight="1" x14ac:dyDescent="0.3">
      <c r="A150" s="41">
        <v>131</v>
      </c>
      <c r="B150" s="49" t="s">
        <v>547</v>
      </c>
      <c r="C150" s="41" t="s">
        <v>236</v>
      </c>
      <c r="D150" s="41" t="s">
        <v>551</v>
      </c>
      <c r="E150" s="41" t="s">
        <v>3</v>
      </c>
      <c r="F150" s="41" t="s">
        <v>3</v>
      </c>
      <c r="G150" s="41" t="s">
        <v>552</v>
      </c>
      <c r="H150" s="41" t="s">
        <v>553</v>
      </c>
      <c r="I150" s="41" t="s">
        <v>177</v>
      </c>
      <c r="J150" s="41"/>
      <c r="K150" s="42" t="s">
        <v>550</v>
      </c>
      <c r="L150" s="42">
        <v>46262</v>
      </c>
      <c r="M150" s="42">
        <v>46204</v>
      </c>
      <c r="N150" s="42">
        <v>46265</v>
      </c>
      <c r="O150" s="43">
        <v>20222</v>
      </c>
      <c r="P150" s="41" t="s">
        <v>66</v>
      </c>
      <c r="Q150" s="43">
        <v>3200</v>
      </c>
      <c r="R150" s="41" t="s">
        <v>66</v>
      </c>
      <c r="S150" s="43">
        <v>1950</v>
      </c>
      <c r="T150" s="41" t="s">
        <v>67</v>
      </c>
      <c r="U150" s="43"/>
      <c r="V150" s="41" t="s">
        <v>66</v>
      </c>
      <c r="W150" s="43">
        <v>4900</v>
      </c>
      <c r="X150" s="46">
        <f t="shared" si="4"/>
        <v>30272</v>
      </c>
      <c r="Y150" s="41" t="s">
        <v>66</v>
      </c>
      <c r="Z150" s="41" t="s">
        <v>66</v>
      </c>
      <c r="AA150" s="49" t="s">
        <v>68</v>
      </c>
      <c r="AB150" s="49" t="s">
        <v>69</v>
      </c>
      <c r="AC150" s="104" t="s">
        <v>554</v>
      </c>
      <c r="AD150" s="50" t="s">
        <v>71</v>
      </c>
    </row>
    <row r="151" spans="1:30" s="61" customFormat="1" ht="37.5" customHeight="1" x14ac:dyDescent="0.3">
      <c r="A151" s="41">
        <v>132</v>
      </c>
      <c r="B151" s="49" t="s">
        <v>547</v>
      </c>
      <c r="C151" s="41" t="s">
        <v>384</v>
      </c>
      <c r="D151" s="41" t="s">
        <v>555</v>
      </c>
      <c r="E151" s="41" t="s">
        <v>3</v>
      </c>
      <c r="F151" s="41" t="s">
        <v>3</v>
      </c>
      <c r="G151" s="41" t="s">
        <v>552</v>
      </c>
      <c r="H151" s="41" t="s">
        <v>556</v>
      </c>
      <c r="I151" s="41" t="s">
        <v>177</v>
      </c>
      <c r="J151" s="41"/>
      <c r="K151" s="42" t="s">
        <v>550</v>
      </c>
      <c r="L151" s="42">
        <v>46227</v>
      </c>
      <c r="M151" s="42">
        <v>46188</v>
      </c>
      <c r="N151" s="42">
        <v>46205</v>
      </c>
      <c r="O151" s="43">
        <v>18232.400000000001</v>
      </c>
      <c r="P151" s="41" t="s">
        <v>66</v>
      </c>
      <c r="Q151" s="43">
        <v>1600</v>
      </c>
      <c r="R151" s="41" t="s">
        <v>66</v>
      </c>
      <c r="S151" s="43">
        <v>1950</v>
      </c>
      <c r="T151" s="41" t="s">
        <v>66</v>
      </c>
      <c r="U151" s="43">
        <v>1500</v>
      </c>
      <c r="V151" s="41" t="s">
        <v>66</v>
      </c>
      <c r="W151" s="43">
        <v>4900</v>
      </c>
      <c r="X151" s="46">
        <f t="shared" si="4"/>
        <v>28182.400000000001</v>
      </c>
      <c r="Y151" s="41" t="s">
        <v>66</v>
      </c>
      <c r="Z151" s="41" t="s">
        <v>66</v>
      </c>
      <c r="AA151" s="49" t="s">
        <v>76</v>
      </c>
      <c r="AB151" s="49" t="s">
        <v>77</v>
      </c>
      <c r="AC151" s="49" t="s">
        <v>554</v>
      </c>
      <c r="AD151" s="50" t="s">
        <v>3</v>
      </c>
    </row>
    <row r="152" spans="1:30" ht="37.5" customHeight="1" x14ac:dyDescent="0.3">
      <c r="A152" s="51">
        <v>133</v>
      </c>
      <c r="B152" s="52" t="s">
        <v>547</v>
      </c>
      <c r="C152" s="51" t="s">
        <v>239</v>
      </c>
      <c r="D152" s="51" t="s">
        <v>557</v>
      </c>
      <c r="E152" s="51" t="s">
        <v>3</v>
      </c>
      <c r="F152" s="51" t="s">
        <v>3</v>
      </c>
      <c r="G152" s="51" t="s">
        <v>74</v>
      </c>
      <c r="H152" s="53" t="s">
        <v>558</v>
      </c>
      <c r="I152" s="53" t="s">
        <v>177</v>
      </c>
      <c r="J152" s="53"/>
      <c r="K152" s="55" t="s">
        <v>550</v>
      </c>
      <c r="L152" s="55">
        <v>46262</v>
      </c>
      <c r="M152" s="55" t="s">
        <v>550</v>
      </c>
      <c r="N152" s="55"/>
      <c r="O152" s="56"/>
      <c r="P152" s="54"/>
      <c r="Q152" s="57"/>
      <c r="R152" s="54"/>
      <c r="S152" s="57"/>
      <c r="T152" s="54"/>
      <c r="U152" s="57"/>
      <c r="V152" s="53" t="s">
        <v>66</v>
      </c>
      <c r="W152" s="56"/>
      <c r="X152" s="46">
        <f t="shared" si="4"/>
        <v>0</v>
      </c>
      <c r="Y152" s="58" t="s">
        <v>66</v>
      </c>
      <c r="Z152" s="53" t="s">
        <v>66</v>
      </c>
      <c r="AA152" s="52" t="s">
        <v>76</v>
      </c>
      <c r="AB152" s="59" t="s">
        <v>77</v>
      </c>
      <c r="AC152" s="59"/>
      <c r="AD152" s="60" t="s">
        <v>3</v>
      </c>
    </row>
    <row r="153" spans="1:30" ht="37.5" customHeight="1" x14ac:dyDescent="0.3">
      <c r="A153" s="51">
        <v>134</v>
      </c>
      <c r="B153" s="52" t="s">
        <v>547</v>
      </c>
      <c r="C153" s="51" t="s">
        <v>420</v>
      </c>
      <c r="D153" s="51" t="s">
        <v>559</v>
      </c>
      <c r="E153" s="51" t="s">
        <v>3</v>
      </c>
      <c r="F153" s="51" t="s">
        <v>3</v>
      </c>
      <c r="G153" s="51" t="s">
        <v>74</v>
      </c>
      <c r="H153" s="53" t="s">
        <v>560</v>
      </c>
      <c r="I153" s="53" t="s">
        <v>177</v>
      </c>
      <c r="J153" s="53"/>
      <c r="K153" s="55" t="s">
        <v>550</v>
      </c>
      <c r="L153" s="55">
        <v>46262</v>
      </c>
      <c r="M153" s="55" t="s">
        <v>550</v>
      </c>
      <c r="N153" s="55"/>
      <c r="O153" s="56"/>
      <c r="P153" s="54"/>
      <c r="Q153" s="57"/>
      <c r="R153" s="54"/>
      <c r="S153" s="57"/>
      <c r="T153" s="54"/>
      <c r="U153" s="57"/>
      <c r="V153" s="53" t="s">
        <v>66</v>
      </c>
      <c r="W153" s="56"/>
      <c r="X153" s="46">
        <f t="shared" si="4"/>
        <v>0</v>
      </c>
      <c r="Y153" s="58" t="s">
        <v>66</v>
      </c>
      <c r="Z153" s="53" t="s">
        <v>66</v>
      </c>
      <c r="AA153" s="52" t="s">
        <v>76</v>
      </c>
      <c r="AB153" s="59" t="s">
        <v>77</v>
      </c>
      <c r="AC153" s="59"/>
      <c r="AD153" s="60" t="s">
        <v>3</v>
      </c>
    </row>
    <row r="154" spans="1:30" ht="37.5" customHeight="1" x14ac:dyDescent="0.3">
      <c r="A154" s="51">
        <v>135</v>
      </c>
      <c r="B154" s="52" t="s">
        <v>547</v>
      </c>
      <c r="C154" s="51" t="s">
        <v>164</v>
      </c>
      <c r="D154" s="51" t="s">
        <v>561</v>
      </c>
      <c r="E154" s="51" t="s">
        <v>3</v>
      </c>
      <c r="F154" s="51" t="s">
        <v>3</v>
      </c>
      <c r="G154" s="51" t="s">
        <v>74</v>
      </c>
      <c r="H154" s="53" t="s">
        <v>562</v>
      </c>
      <c r="I154" s="53" t="s">
        <v>177</v>
      </c>
      <c r="J154" s="53"/>
      <c r="K154" s="55" t="s">
        <v>550</v>
      </c>
      <c r="L154" s="55">
        <v>46262</v>
      </c>
      <c r="M154" s="55" t="s">
        <v>550</v>
      </c>
      <c r="N154" s="55"/>
      <c r="O154" s="56"/>
      <c r="P154" s="54"/>
      <c r="Q154" s="57"/>
      <c r="R154" s="54"/>
      <c r="S154" s="57"/>
      <c r="T154" s="54"/>
      <c r="U154" s="57"/>
      <c r="V154" s="53" t="s">
        <v>66</v>
      </c>
      <c r="W154" s="56"/>
      <c r="X154" s="46">
        <f t="shared" ref="X154:X188" si="5">SUM(O154, Q154, S154, U154, W154)</f>
        <v>0</v>
      </c>
      <c r="Y154" s="58" t="s">
        <v>66</v>
      </c>
      <c r="Z154" s="53" t="s">
        <v>66</v>
      </c>
      <c r="AA154" s="52" t="s">
        <v>68</v>
      </c>
      <c r="AB154" s="69" t="s">
        <v>69</v>
      </c>
      <c r="AC154" s="59"/>
      <c r="AD154" s="60" t="s">
        <v>71</v>
      </c>
    </row>
    <row r="155" spans="1:30" ht="37.5" customHeight="1" x14ac:dyDescent="0.3">
      <c r="A155" s="51">
        <v>136</v>
      </c>
      <c r="B155" s="52" t="s">
        <v>547</v>
      </c>
      <c r="C155" s="51" t="s">
        <v>270</v>
      </c>
      <c r="D155" s="51" t="s">
        <v>563</v>
      </c>
      <c r="E155" s="51" t="s">
        <v>3</v>
      </c>
      <c r="F155" s="51" t="s">
        <v>3</v>
      </c>
      <c r="G155" s="51" t="s">
        <v>74</v>
      </c>
      <c r="H155" s="53" t="s">
        <v>564</v>
      </c>
      <c r="I155" s="53" t="s">
        <v>177</v>
      </c>
      <c r="J155" s="53"/>
      <c r="K155" s="55" t="s">
        <v>550</v>
      </c>
      <c r="L155" s="55">
        <v>46262</v>
      </c>
      <c r="M155" s="55" t="s">
        <v>550</v>
      </c>
      <c r="N155" s="55"/>
      <c r="O155" s="56"/>
      <c r="P155" s="54"/>
      <c r="Q155" s="57"/>
      <c r="R155" s="54"/>
      <c r="S155" s="57"/>
      <c r="T155" s="54"/>
      <c r="U155" s="57"/>
      <c r="V155" s="53" t="s">
        <v>66</v>
      </c>
      <c r="W155" s="56"/>
      <c r="X155" s="46">
        <f t="shared" si="5"/>
        <v>0</v>
      </c>
      <c r="Y155" s="58" t="s">
        <v>66</v>
      </c>
      <c r="Z155" s="53" t="s">
        <v>66</v>
      </c>
      <c r="AA155" s="52" t="s">
        <v>76</v>
      </c>
      <c r="AB155" s="59" t="s">
        <v>77</v>
      </c>
      <c r="AC155" s="59"/>
      <c r="AD155" s="60" t="s">
        <v>3</v>
      </c>
    </row>
    <row r="156" spans="1:30" ht="37.5" customHeight="1" x14ac:dyDescent="0.3">
      <c r="A156" s="51">
        <v>137</v>
      </c>
      <c r="B156" s="52" t="s">
        <v>547</v>
      </c>
      <c r="C156" s="51" t="s">
        <v>273</v>
      </c>
      <c r="D156" s="51" t="s">
        <v>565</v>
      </c>
      <c r="E156" s="51" t="s">
        <v>3</v>
      </c>
      <c r="F156" s="51" t="s">
        <v>3</v>
      </c>
      <c r="G156" s="51" t="s">
        <v>74</v>
      </c>
      <c r="H156" s="53" t="s">
        <v>566</v>
      </c>
      <c r="I156" s="53" t="s">
        <v>177</v>
      </c>
      <c r="J156" s="53"/>
      <c r="K156" s="55" t="s">
        <v>550</v>
      </c>
      <c r="L156" s="55">
        <v>46262</v>
      </c>
      <c r="M156" s="55" t="s">
        <v>550</v>
      </c>
      <c r="N156" s="55"/>
      <c r="O156" s="56"/>
      <c r="P156" s="54"/>
      <c r="Q156" s="57"/>
      <c r="R156" s="54"/>
      <c r="S156" s="57"/>
      <c r="T156" s="54"/>
      <c r="U156" s="57"/>
      <c r="V156" s="53" t="s">
        <v>66</v>
      </c>
      <c r="W156" s="56"/>
      <c r="X156" s="46">
        <f t="shared" si="5"/>
        <v>0</v>
      </c>
      <c r="Y156" s="58" t="s">
        <v>66</v>
      </c>
      <c r="Z156" s="53" t="s">
        <v>66</v>
      </c>
      <c r="AA156" s="52" t="s">
        <v>76</v>
      </c>
      <c r="AB156" s="59" t="s">
        <v>77</v>
      </c>
      <c r="AC156" s="59"/>
      <c r="AD156" s="60" t="s">
        <v>3</v>
      </c>
    </row>
    <row r="157" spans="1:30" ht="37.5" customHeight="1" x14ac:dyDescent="0.3">
      <c r="A157" s="51">
        <v>138</v>
      </c>
      <c r="B157" s="52" t="s">
        <v>547</v>
      </c>
      <c r="C157" s="51" t="s">
        <v>310</v>
      </c>
      <c r="D157" s="51" t="s">
        <v>567</v>
      </c>
      <c r="E157" s="51" t="s">
        <v>3</v>
      </c>
      <c r="F157" s="51" t="s">
        <v>3</v>
      </c>
      <c r="G157" s="51" t="s">
        <v>74</v>
      </c>
      <c r="H157" s="53" t="s">
        <v>568</v>
      </c>
      <c r="I157" s="53" t="s">
        <v>177</v>
      </c>
      <c r="J157" s="53"/>
      <c r="K157" s="55" t="s">
        <v>550</v>
      </c>
      <c r="L157" s="55">
        <v>46262</v>
      </c>
      <c r="M157" s="55" t="s">
        <v>550</v>
      </c>
      <c r="N157" s="55"/>
      <c r="O157" s="56"/>
      <c r="P157" s="54"/>
      <c r="Q157" s="57"/>
      <c r="R157" s="54"/>
      <c r="S157" s="57"/>
      <c r="T157" s="54"/>
      <c r="U157" s="57"/>
      <c r="V157" s="53" t="s">
        <v>66</v>
      </c>
      <c r="W157" s="56"/>
      <c r="X157" s="46">
        <f t="shared" si="5"/>
        <v>0</v>
      </c>
      <c r="Y157" s="58" t="s">
        <v>66</v>
      </c>
      <c r="Z157" s="53" t="s">
        <v>66</v>
      </c>
      <c r="AA157" s="52" t="s">
        <v>76</v>
      </c>
      <c r="AB157" s="59" t="s">
        <v>77</v>
      </c>
      <c r="AC157" s="59"/>
      <c r="AD157" s="60" t="s">
        <v>3</v>
      </c>
    </row>
    <row r="158" spans="1:30" ht="37.5" customHeight="1" x14ac:dyDescent="0.3">
      <c r="A158" s="51">
        <v>139</v>
      </c>
      <c r="B158" s="52" t="s">
        <v>547</v>
      </c>
      <c r="C158" s="51" t="s">
        <v>245</v>
      </c>
      <c r="D158" s="51" t="s">
        <v>569</v>
      </c>
      <c r="E158" s="51" t="s">
        <v>3</v>
      </c>
      <c r="F158" s="51" t="s">
        <v>3</v>
      </c>
      <c r="G158" s="51" t="s">
        <v>74</v>
      </c>
      <c r="H158" s="53" t="s">
        <v>570</v>
      </c>
      <c r="I158" s="53" t="s">
        <v>177</v>
      </c>
      <c r="J158" s="53"/>
      <c r="K158" s="55" t="s">
        <v>550</v>
      </c>
      <c r="L158" s="55">
        <v>46262</v>
      </c>
      <c r="M158" s="55" t="s">
        <v>550</v>
      </c>
      <c r="N158" s="55"/>
      <c r="O158" s="56"/>
      <c r="P158" s="54"/>
      <c r="Q158" s="57"/>
      <c r="R158" s="54"/>
      <c r="S158" s="57"/>
      <c r="T158" s="54"/>
      <c r="U158" s="57"/>
      <c r="V158" s="53" t="s">
        <v>66</v>
      </c>
      <c r="W158" s="56"/>
      <c r="X158" s="46">
        <f t="shared" si="5"/>
        <v>0</v>
      </c>
      <c r="Y158" s="58" t="s">
        <v>66</v>
      </c>
      <c r="Z158" s="53" t="s">
        <v>66</v>
      </c>
      <c r="AA158" s="52" t="s">
        <v>68</v>
      </c>
      <c r="AB158" s="69" t="s">
        <v>69</v>
      </c>
      <c r="AC158" s="59"/>
      <c r="AD158" s="60" t="s">
        <v>71</v>
      </c>
    </row>
    <row r="159" spans="1:30" s="61" customFormat="1" ht="37.5" customHeight="1" x14ac:dyDescent="0.3">
      <c r="A159" s="41">
        <v>140</v>
      </c>
      <c r="B159" s="49" t="s">
        <v>547</v>
      </c>
      <c r="C159" s="41" t="s">
        <v>189</v>
      </c>
      <c r="D159" s="41" t="s">
        <v>571</v>
      </c>
      <c r="E159" s="41" t="s">
        <v>3</v>
      </c>
      <c r="F159" s="41" t="s">
        <v>3</v>
      </c>
      <c r="G159" s="41" t="s">
        <v>552</v>
      </c>
      <c r="H159" s="41" t="s">
        <v>572</v>
      </c>
      <c r="I159" s="41" t="s">
        <v>177</v>
      </c>
      <c r="J159" s="41"/>
      <c r="K159" s="42" t="s">
        <v>550</v>
      </c>
      <c r="L159" s="42">
        <v>46262</v>
      </c>
      <c r="M159" s="42">
        <v>46204</v>
      </c>
      <c r="N159" s="42">
        <v>46265</v>
      </c>
      <c r="O159" s="43">
        <v>19554</v>
      </c>
      <c r="P159" s="41" t="s">
        <v>66</v>
      </c>
      <c r="Q159" s="43">
        <v>3200</v>
      </c>
      <c r="R159" s="41" t="s">
        <v>66</v>
      </c>
      <c r="S159" s="43">
        <v>1950</v>
      </c>
      <c r="T159" s="41" t="s">
        <v>67</v>
      </c>
      <c r="U159" s="43"/>
      <c r="V159" s="41" t="s">
        <v>66</v>
      </c>
      <c r="W159" s="43">
        <v>4900</v>
      </c>
      <c r="X159" s="46">
        <f t="shared" si="5"/>
        <v>29604</v>
      </c>
      <c r="Y159" s="41" t="s">
        <v>66</v>
      </c>
      <c r="Z159" s="41" t="s">
        <v>66</v>
      </c>
      <c r="AA159" s="49" t="s">
        <v>68</v>
      </c>
      <c r="AB159" s="49" t="s">
        <v>69</v>
      </c>
      <c r="AC159" s="104" t="s">
        <v>554</v>
      </c>
      <c r="AD159" s="50" t="s">
        <v>71</v>
      </c>
    </row>
    <row r="160" spans="1:30" ht="37.5" customHeight="1" x14ac:dyDescent="0.3">
      <c r="A160" s="51">
        <v>141</v>
      </c>
      <c r="B160" s="52" t="s">
        <v>547</v>
      </c>
      <c r="C160" s="51" t="s">
        <v>123</v>
      </c>
      <c r="D160" s="51" t="s">
        <v>573</v>
      </c>
      <c r="E160" s="38" t="s">
        <v>3</v>
      </c>
      <c r="F160" s="51" t="s">
        <v>3</v>
      </c>
      <c r="G160" s="51" t="s">
        <v>74</v>
      </c>
      <c r="H160" s="53" t="s">
        <v>574</v>
      </c>
      <c r="I160" s="53" t="s">
        <v>177</v>
      </c>
      <c r="J160" s="53"/>
      <c r="K160" s="55" t="s">
        <v>550</v>
      </c>
      <c r="L160" s="55">
        <v>46262</v>
      </c>
      <c r="M160" s="55" t="s">
        <v>550</v>
      </c>
      <c r="N160" s="55"/>
      <c r="O160" s="56"/>
      <c r="P160" s="54"/>
      <c r="Q160" s="57"/>
      <c r="R160" s="54"/>
      <c r="S160" s="57"/>
      <c r="T160" s="54"/>
      <c r="U160" s="57"/>
      <c r="V160" s="53" t="s">
        <v>66</v>
      </c>
      <c r="W160" s="56"/>
      <c r="X160" s="46">
        <f t="shared" si="5"/>
        <v>0</v>
      </c>
      <c r="Y160" s="58" t="s">
        <v>66</v>
      </c>
      <c r="Z160" s="53" t="s">
        <v>66</v>
      </c>
      <c r="AA160" s="52" t="s">
        <v>76</v>
      </c>
      <c r="AB160" s="59" t="s">
        <v>77</v>
      </c>
      <c r="AC160" s="59"/>
      <c r="AD160" s="60" t="s">
        <v>3</v>
      </c>
    </row>
    <row r="161" spans="1:31" s="61" customFormat="1" ht="37.5" customHeight="1" x14ac:dyDescent="0.35">
      <c r="A161" s="101"/>
      <c r="B161" s="61" t="s">
        <v>547</v>
      </c>
      <c r="C161" s="41">
        <v>11</v>
      </c>
      <c r="D161" s="101"/>
      <c r="E161" s="41" t="s">
        <v>3</v>
      </c>
      <c r="F161" s="101" t="s">
        <v>3</v>
      </c>
      <c r="G161" s="101" t="s">
        <v>552</v>
      </c>
      <c r="H161" s="61">
        <v>16866</v>
      </c>
      <c r="I161" s="101" t="s">
        <v>177</v>
      </c>
      <c r="J161" s="101"/>
      <c r="K161" s="101"/>
      <c r="L161" s="101"/>
      <c r="M161" s="102">
        <v>46204</v>
      </c>
      <c r="N161" s="102">
        <v>46265</v>
      </c>
      <c r="O161" s="103">
        <v>18219.900000000001</v>
      </c>
      <c r="P161" s="101" t="s">
        <v>66</v>
      </c>
      <c r="Q161" s="103">
        <v>3200</v>
      </c>
      <c r="R161" s="101" t="s">
        <v>66</v>
      </c>
      <c r="S161" s="103">
        <v>1950</v>
      </c>
      <c r="T161" s="101" t="s">
        <v>67</v>
      </c>
      <c r="U161" s="103"/>
      <c r="V161" s="101" t="s">
        <v>575</v>
      </c>
      <c r="W161" s="103">
        <v>4900</v>
      </c>
      <c r="X161" s="46">
        <f t="shared" si="5"/>
        <v>28269.9</v>
      </c>
      <c r="Y161" s="101"/>
      <c r="Z161" s="101"/>
      <c r="AA161" s="101"/>
      <c r="AB161" s="101"/>
      <c r="AC161" s="104" t="s">
        <v>554</v>
      </c>
      <c r="AD161" s="101"/>
      <c r="AE161" s="101"/>
    </row>
    <row r="162" spans="1:31" ht="37.5" customHeight="1" x14ac:dyDescent="0.3">
      <c r="A162" s="51">
        <v>142</v>
      </c>
      <c r="B162" s="52" t="s">
        <v>576</v>
      </c>
      <c r="C162" s="51" t="s">
        <v>577</v>
      </c>
      <c r="D162" s="51" t="s">
        <v>578</v>
      </c>
      <c r="E162" s="51" t="s">
        <v>3</v>
      </c>
      <c r="F162" s="51" t="s">
        <v>3</v>
      </c>
      <c r="G162" s="51" t="s">
        <v>74</v>
      </c>
      <c r="H162" s="53" t="s">
        <v>579</v>
      </c>
      <c r="I162" s="54" t="s">
        <v>85</v>
      </c>
      <c r="J162" s="53"/>
      <c r="K162" s="70">
        <v>46223</v>
      </c>
      <c r="L162" s="70">
        <v>46265</v>
      </c>
      <c r="M162" s="55">
        <v>46266</v>
      </c>
      <c r="N162" s="55"/>
      <c r="O162" s="56"/>
      <c r="P162" s="54"/>
      <c r="Q162" s="57"/>
      <c r="R162" s="54"/>
      <c r="S162" s="57"/>
      <c r="T162" s="54"/>
      <c r="U162" s="57"/>
      <c r="V162" s="53"/>
      <c r="W162" s="56"/>
      <c r="X162" s="46">
        <f t="shared" si="5"/>
        <v>0</v>
      </c>
      <c r="Y162" s="58" t="s">
        <v>67</v>
      </c>
      <c r="Z162" s="53" t="s">
        <v>67</v>
      </c>
      <c r="AA162" s="52" t="s">
        <v>76</v>
      </c>
      <c r="AB162" s="59" t="s">
        <v>77</v>
      </c>
      <c r="AC162" s="59"/>
      <c r="AD162" s="60" t="s">
        <v>3</v>
      </c>
    </row>
    <row r="163" spans="1:31" ht="37.5" customHeight="1" x14ac:dyDescent="0.3">
      <c r="A163" s="106">
        <v>163</v>
      </c>
      <c r="B163" s="107" t="s">
        <v>576</v>
      </c>
      <c r="C163" s="106">
        <v>73</v>
      </c>
      <c r="D163" s="107" t="s">
        <v>580</v>
      </c>
      <c r="E163" s="107" t="s">
        <v>3</v>
      </c>
      <c r="F163" s="107" t="s">
        <v>3</v>
      </c>
      <c r="G163" s="107" t="s">
        <v>74</v>
      </c>
      <c r="H163" s="38">
        <v>16932</v>
      </c>
      <c r="I163" s="38" t="s">
        <v>85</v>
      </c>
      <c r="K163" s="77">
        <v>46235</v>
      </c>
      <c r="M163" s="77">
        <v>46266</v>
      </c>
      <c r="X163" s="46">
        <f t="shared" si="5"/>
        <v>0</v>
      </c>
      <c r="Y163" s="38" t="s">
        <v>67</v>
      </c>
      <c r="Z163" s="38" t="s">
        <v>67</v>
      </c>
    </row>
    <row r="164" spans="1:31" ht="37.5" customHeight="1" x14ac:dyDescent="0.3">
      <c r="A164" s="51">
        <v>143</v>
      </c>
      <c r="B164" s="52" t="s">
        <v>581</v>
      </c>
      <c r="C164" s="96" t="s">
        <v>225</v>
      </c>
      <c r="D164" s="51" t="s">
        <v>582</v>
      </c>
      <c r="E164" s="51" t="s">
        <v>3</v>
      </c>
      <c r="F164" s="51" t="s">
        <v>3</v>
      </c>
      <c r="G164" s="51" t="s">
        <v>74</v>
      </c>
      <c r="H164" s="53" t="s">
        <v>583</v>
      </c>
      <c r="I164" s="53" t="s">
        <v>584</v>
      </c>
      <c r="J164" s="53"/>
      <c r="K164" s="55">
        <v>46216</v>
      </c>
      <c r="L164" s="62">
        <v>46232</v>
      </c>
      <c r="M164" s="55"/>
      <c r="N164" s="55"/>
      <c r="O164" s="56"/>
      <c r="P164" s="54"/>
      <c r="Q164" s="57"/>
      <c r="R164" s="54"/>
      <c r="S164" s="57"/>
      <c r="T164" s="54"/>
      <c r="U164" s="57"/>
      <c r="V164" s="53"/>
      <c r="W164" s="56"/>
      <c r="X164" s="46">
        <f t="shared" si="5"/>
        <v>0</v>
      </c>
      <c r="Y164" s="58" t="s">
        <v>67</v>
      </c>
      <c r="Z164" s="53" t="s">
        <v>66</v>
      </c>
      <c r="AA164" s="52" t="s">
        <v>76</v>
      </c>
      <c r="AB164" s="59" t="s">
        <v>77</v>
      </c>
      <c r="AC164" s="59" t="s">
        <v>585</v>
      </c>
      <c r="AD164" s="60" t="s">
        <v>3</v>
      </c>
    </row>
    <row r="165" spans="1:31" ht="37.5" customHeight="1" x14ac:dyDescent="0.3">
      <c r="A165" s="51">
        <v>144</v>
      </c>
      <c r="B165" s="52" t="s">
        <v>586</v>
      </c>
      <c r="C165" s="51" t="s">
        <v>146</v>
      </c>
      <c r="D165" s="51" t="s">
        <v>587</v>
      </c>
      <c r="E165" s="51" t="s">
        <v>3</v>
      </c>
      <c r="F165" s="51" t="s">
        <v>3</v>
      </c>
      <c r="G165" s="51" t="s">
        <v>138</v>
      </c>
      <c r="H165" s="53" t="s">
        <v>588</v>
      </c>
      <c r="I165" s="54" t="s">
        <v>104</v>
      </c>
      <c r="J165" s="53"/>
      <c r="K165" s="55" t="s">
        <v>589</v>
      </c>
      <c r="L165" s="62" t="s">
        <v>590</v>
      </c>
      <c r="M165" s="55"/>
      <c r="N165" s="55"/>
      <c r="O165" s="56"/>
      <c r="P165" s="54"/>
      <c r="Q165" s="57"/>
      <c r="R165" s="54"/>
      <c r="S165" s="57"/>
      <c r="T165" s="54"/>
      <c r="U165" s="57"/>
      <c r="V165" s="53"/>
      <c r="W165" s="56"/>
      <c r="X165" s="46">
        <f t="shared" si="5"/>
        <v>0</v>
      </c>
      <c r="Y165" s="58" t="s">
        <v>67</v>
      </c>
      <c r="Z165" s="92" t="s">
        <v>66</v>
      </c>
      <c r="AA165" s="52" t="s">
        <v>76</v>
      </c>
      <c r="AB165" s="59" t="s">
        <v>77</v>
      </c>
      <c r="AC165" s="59"/>
      <c r="AD165" s="60" t="s">
        <v>3</v>
      </c>
    </row>
    <row r="166" spans="1:31" ht="37.5" customHeight="1" x14ac:dyDescent="0.3">
      <c r="A166" s="51">
        <v>145</v>
      </c>
      <c r="B166" s="52" t="s">
        <v>586</v>
      </c>
      <c r="C166" s="51" t="s">
        <v>591</v>
      </c>
      <c r="D166" s="51" t="s">
        <v>592</v>
      </c>
      <c r="E166" s="51" t="s">
        <v>3</v>
      </c>
      <c r="F166" s="51" t="s">
        <v>3</v>
      </c>
      <c r="G166" s="51" t="s">
        <v>138</v>
      </c>
      <c r="H166" s="53" t="s">
        <v>593</v>
      </c>
      <c r="I166" s="54" t="s">
        <v>104</v>
      </c>
      <c r="J166" s="53"/>
      <c r="K166" s="55" t="s">
        <v>589</v>
      </c>
      <c r="L166" s="62" t="s">
        <v>590</v>
      </c>
      <c r="M166" s="55"/>
      <c r="N166" s="55"/>
      <c r="O166" s="56"/>
      <c r="P166" s="54"/>
      <c r="Q166" s="57"/>
      <c r="R166" s="54"/>
      <c r="S166" s="57"/>
      <c r="T166" s="54"/>
      <c r="U166" s="57"/>
      <c r="V166" s="53"/>
      <c r="W166" s="56"/>
      <c r="X166" s="46">
        <f t="shared" si="5"/>
        <v>0</v>
      </c>
      <c r="Y166" s="58" t="s">
        <v>67</v>
      </c>
      <c r="Z166" s="53" t="s">
        <v>66</v>
      </c>
      <c r="AA166" s="52" t="s">
        <v>76</v>
      </c>
      <c r="AB166" s="59" t="s">
        <v>77</v>
      </c>
      <c r="AC166" s="59"/>
      <c r="AD166" s="60" t="s">
        <v>3</v>
      </c>
    </row>
    <row r="167" spans="1:31" ht="37.5" customHeight="1" x14ac:dyDescent="0.3">
      <c r="A167" s="65">
        <v>164</v>
      </c>
      <c r="B167" s="89" t="s">
        <v>586</v>
      </c>
      <c r="C167" s="65">
        <v>79</v>
      </c>
      <c r="D167" s="51" t="s">
        <v>594</v>
      </c>
      <c r="E167" s="51" t="s">
        <v>3</v>
      </c>
      <c r="F167" s="51" t="s">
        <v>3</v>
      </c>
      <c r="G167" s="51" t="s">
        <v>138</v>
      </c>
      <c r="H167" s="53">
        <v>16933</v>
      </c>
      <c r="I167" s="54" t="s">
        <v>104</v>
      </c>
      <c r="J167" s="53"/>
      <c r="K167" s="55"/>
      <c r="L167" s="62"/>
      <c r="M167" s="55"/>
      <c r="N167" s="55"/>
      <c r="O167" s="56"/>
      <c r="P167" s="54"/>
      <c r="Q167" s="57"/>
      <c r="R167" s="54"/>
      <c r="S167" s="57"/>
      <c r="T167" s="54"/>
      <c r="U167" s="57"/>
      <c r="V167" s="53"/>
      <c r="W167" s="56"/>
      <c r="X167" s="46">
        <f t="shared" si="5"/>
        <v>0</v>
      </c>
      <c r="Y167" s="58" t="s">
        <v>67</v>
      </c>
      <c r="Z167" s="53" t="s">
        <v>67</v>
      </c>
      <c r="AA167" s="52"/>
      <c r="AB167" s="59"/>
      <c r="AC167" s="59"/>
      <c r="AD167" s="60"/>
    </row>
    <row r="168" spans="1:31" ht="37.5" customHeight="1" x14ac:dyDescent="0.3">
      <c r="A168" s="106">
        <v>169</v>
      </c>
      <c r="B168" s="107" t="s">
        <v>586</v>
      </c>
      <c r="C168" s="108">
        <v>71</v>
      </c>
      <c r="D168" s="91" t="s">
        <v>595</v>
      </c>
      <c r="E168" s="91" t="s">
        <v>3</v>
      </c>
      <c r="F168" s="91" t="s">
        <v>3</v>
      </c>
      <c r="G168" s="91" t="s">
        <v>138</v>
      </c>
      <c r="H168" s="53">
        <v>16934</v>
      </c>
      <c r="I168" s="54" t="s">
        <v>104</v>
      </c>
      <c r="J168" s="53"/>
      <c r="K168" s="55"/>
      <c r="L168" s="62"/>
      <c r="M168" s="55"/>
      <c r="N168" s="55"/>
      <c r="O168" s="56"/>
      <c r="P168" s="54"/>
      <c r="Q168" s="57"/>
      <c r="R168" s="54"/>
      <c r="S168" s="57"/>
      <c r="T168" s="54"/>
      <c r="U168" s="57"/>
      <c r="V168" s="53"/>
      <c r="W168" s="56"/>
      <c r="X168" s="46">
        <f t="shared" si="5"/>
        <v>0</v>
      </c>
      <c r="Y168" s="58" t="s">
        <v>67</v>
      </c>
      <c r="Z168" s="53" t="s">
        <v>67</v>
      </c>
      <c r="AA168" s="52"/>
      <c r="AB168" s="59"/>
      <c r="AC168" s="59"/>
      <c r="AD168" s="60"/>
    </row>
    <row r="169" spans="1:31" ht="37.5" customHeight="1" x14ac:dyDescent="0.3">
      <c r="A169" s="107"/>
      <c r="B169" s="107" t="s">
        <v>596</v>
      </c>
      <c r="C169" s="106" t="s">
        <v>597</v>
      </c>
      <c r="D169" s="107"/>
      <c r="E169" s="107"/>
      <c r="F169" s="107" t="s">
        <v>3</v>
      </c>
      <c r="G169" s="107" t="s">
        <v>74</v>
      </c>
      <c r="H169" s="71">
        <v>16969</v>
      </c>
      <c r="I169" s="53" t="s">
        <v>65</v>
      </c>
      <c r="K169" s="77">
        <v>46258</v>
      </c>
      <c r="M169" s="77">
        <v>46262</v>
      </c>
      <c r="X169" s="46">
        <f t="shared" si="5"/>
        <v>0</v>
      </c>
      <c r="Y169" s="53" t="s">
        <v>67</v>
      </c>
      <c r="Z169" s="53" t="s">
        <v>67</v>
      </c>
      <c r="AC169" s="59" t="s">
        <v>598</v>
      </c>
    </row>
    <row r="170" spans="1:31" ht="37.5" customHeight="1" x14ac:dyDescent="0.3">
      <c r="A170" s="63">
        <v>146</v>
      </c>
      <c r="B170" s="64" t="s">
        <v>596</v>
      </c>
      <c r="C170" s="63" t="s">
        <v>599</v>
      </c>
      <c r="D170" s="51" t="s">
        <v>600</v>
      </c>
      <c r="E170" s="51" t="s">
        <v>3</v>
      </c>
      <c r="F170" s="51" t="s">
        <v>3</v>
      </c>
      <c r="G170" s="51" t="s">
        <v>138</v>
      </c>
      <c r="H170" s="53" t="s">
        <v>601</v>
      </c>
      <c r="I170" s="54" t="s">
        <v>102</v>
      </c>
      <c r="J170" s="53"/>
      <c r="K170" s="70"/>
      <c r="L170" s="70"/>
      <c r="M170" s="55"/>
      <c r="N170" s="55"/>
      <c r="O170" s="56"/>
      <c r="P170" s="54"/>
      <c r="Q170" s="57"/>
      <c r="R170" s="54"/>
      <c r="S170" s="57"/>
      <c r="T170" s="54"/>
      <c r="U170" s="57"/>
      <c r="V170" s="53"/>
      <c r="W170" s="56"/>
      <c r="X170" s="46">
        <f t="shared" si="5"/>
        <v>0</v>
      </c>
      <c r="Y170" s="58" t="s">
        <v>67</v>
      </c>
      <c r="Z170" s="65" t="s">
        <v>602</v>
      </c>
      <c r="AA170" s="52" t="s">
        <v>96</v>
      </c>
      <c r="AB170" s="59" t="s">
        <v>97</v>
      </c>
      <c r="AC170" s="59"/>
      <c r="AD170" s="60" t="s">
        <v>3</v>
      </c>
    </row>
    <row r="171" spans="1:31" ht="37.5" customHeight="1" x14ac:dyDescent="0.3">
      <c r="A171" s="63">
        <v>147</v>
      </c>
      <c r="B171" s="64" t="s">
        <v>596</v>
      </c>
      <c r="C171" s="63" t="s">
        <v>603</v>
      </c>
      <c r="D171" s="51" t="s">
        <v>604</v>
      </c>
      <c r="E171" s="51" t="s">
        <v>3</v>
      </c>
      <c r="F171" s="51" t="s">
        <v>3</v>
      </c>
      <c r="G171" s="51" t="s">
        <v>138</v>
      </c>
      <c r="H171" s="53" t="s">
        <v>605</v>
      </c>
      <c r="I171" s="54" t="s">
        <v>102</v>
      </c>
      <c r="J171" s="53"/>
      <c r="K171" s="70"/>
      <c r="L171" s="70"/>
      <c r="M171" s="55"/>
      <c r="N171" s="55"/>
      <c r="O171" s="56"/>
      <c r="P171" s="54"/>
      <c r="Q171" s="57"/>
      <c r="R171" s="54"/>
      <c r="S171" s="57"/>
      <c r="T171" s="54"/>
      <c r="U171" s="57"/>
      <c r="V171" s="53"/>
      <c r="W171" s="56"/>
      <c r="X171" s="46">
        <f t="shared" si="5"/>
        <v>0</v>
      </c>
      <c r="Y171" s="58" t="s">
        <v>67</v>
      </c>
      <c r="Z171" s="53" t="s">
        <v>67</v>
      </c>
      <c r="AA171" s="52" t="s">
        <v>96</v>
      </c>
      <c r="AB171" s="59" t="s">
        <v>97</v>
      </c>
      <c r="AC171" s="59"/>
      <c r="AD171" s="60" t="s">
        <v>3</v>
      </c>
    </row>
    <row r="172" spans="1:31" ht="37.5" customHeight="1" x14ac:dyDescent="0.3">
      <c r="A172" s="63">
        <v>148</v>
      </c>
      <c r="B172" s="64" t="s">
        <v>606</v>
      </c>
      <c r="C172" s="63" t="s">
        <v>607</v>
      </c>
      <c r="D172" s="51" t="s">
        <v>608</v>
      </c>
      <c r="E172" s="51" t="s">
        <v>3</v>
      </c>
      <c r="F172" s="51" t="s">
        <v>3</v>
      </c>
      <c r="G172" s="51" t="s">
        <v>63</v>
      </c>
      <c r="H172" s="53" t="s">
        <v>609</v>
      </c>
      <c r="I172" s="54" t="s">
        <v>102</v>
      </c>
      <c r="J172" s="53"/>
      <c r="K172" s="55"/>
      <c r="L172" s="55"/>
      <c r="M172" s="70"/>
      <c r="N172" s="70"/>
      <c r="O172" s="57"/>
      <c r="P172" s="54"/>
      <c r="Q172" s="57"/>
      <c r="R172" s="54"/>
      <c r="S172" s="57"/>
      <c r="T172" s="54"/>
      <c r="U172" s="57"/>
      <c r="V172" s="53"/>
      <c r="W172" s="56"/>
      <c r="X172" s="46">
        <f t="shared" si="5"/>
        <v>0</v>
      </c>
      <c r="Y172" s="58" t="s">
        <v>67</v>
      </c>
      <c r="Z172" s="65" t="s">
        <v>610</v>
      </c>
      <c r="AA172" s="52" t="s">
        <v>96</v>
      </c>
      <c r="AB172" s="59" t="s">
        <v>97</v>
      </c>
      <c r="AC172" s="59"/>
      <c r="AD172" s="60" t="s">
        <v>3</v>
      </c>
    </row>
    <row r="173" spans="1:31" ht="37.5" customHeight="1" x14ac:dyDescent="0.3">
      <c r="A173" s="71">
        <v>172</v>
      </c>
      <c r="B173" s="72" t="s">
        <v>606</v>
      </c>
      <c r="C173" s="71" t="s">
        <v>611</v>
      </c>
      <c r="D173" s="51" t="s">
        <v>612</v>
      </c>
      <c r="E173" s="51" t="s">
        <v>3</v>
      </c>
      <c r="F173" s="51" t="s">
        <v>3</v>
      </c>
      <c r="G173" s="51" t="s">
        <v>74</v>
      </c>
      <c r="H173" s="53">
        <v>16935</v>
      </c>
      <c r="I173" s="54" t="s">
        <v>85</v>
      </c>
      <c r="J173" s="53"/>
      <c r="K173" s="55">
        <v>46258</v>
      </c>
      <c r="L173" s="55"/>
      <c r="M173" s="70">
        <v>46262</v>
      </c>
      <c r="N173" s="70"/>
      <c r="O173" s="57"/>
      <c r="P173" s="54"/>
      <c r="Q173" s="57"/>
      <c r="R173" s="54"/>
      <c r="S173" s="57"/>
      <c r="T173" s="54"/>
      <c r="U173" s="57"/>
      <c r="V173" s="53"/>
      <c r="W173" s="56"/>
      <c r="X173" s="46">
        <f t="shared" si="5"/>
        <v>0</v>
      </c>
      <c r="Y173" s="58" t="s">
        <v>67</v>
      </c>
      <c r="Z173" s="71" t="s">
        <v>67</v>
      </c>
      <c r="AA173" s="52"/>
      <c r="AB173" s="59"/>
      <c r="AC173" s="59"/>
      <c r="AD173" s="60"/>
    </row>
    <row r="174" spans="1:31" ht="37.5" customHeight="1" x14ac:dyDescent="0.3">
      <c r="A174" s="71">
        <v>173</v>
      </c>
      <c r="B174" s="72" t="s">
        <v>606</v>
      </c>
      <c r="C174" s="71">
        <v>22</v>
      </c>
      <c r="D174" s="51" t="s">
        <v>613</v>
      </c>
      <c r="E174" s="51" t="s">
        <v>3</v>
      </c>
      <c r="F174" s="51" t="s">
        <v>3</v>
      </c>
      <c r="G174" s="51" t="s">
        <v>74</v>
      </c>
      <c r="H174" s="53">
        <v>16936</v>
      </c>
      <c r="I174" s="54" t="s">
        <v>85</v>
      </c>
      <c r="J174" s="53"/>
      <c r="K174" s="55">
        <v>46258</v>
      </c>
      <c r="L174" s="55"/>
      <c r="M174" s="70">
        <v>46262</v>
      </c>
      <c r="N174" s="70"/>
      <c r="O174" s="57"/>
      <c r="P174" s="54"/>
      <c r="Q174" s="57"/>
      <c r="R174" s="54"/>
      <c r="S174" s="57"/>
      <c r="T174" s="54"/>
      <c r="U174" s="57"/>
      <c r="V174" s="53"/>
      <c r="W174" s="56"/>
      <c r="X174" s="46">
        <f t="shared" si="5"/>
        <v>0</v>
      </c>
      <c r="Y174" s="58" t="s">
        <v>67</v>
      </c>
      <c r="Z174" s="71" t="s">
        <v>67</v>
      </c>
      <c r="AA174" s="52"/>
      <c r="AB174" s="59"/>
      <c r="AC174" s="59" t="s">
        <v>614</v>
      </c>
      <c r="AD174" s="60"/>
    </row>
    <row r="175" spans="1:31" ht="37.5" customHeight="1" x14ac:dyDescent="0.3">
      <c r="B175" s="38" t="s">
        <v>606</v>
      </c>
      <c r="C175" s="53">
        <v>32</v>
      </c>
      <c r="G175" s="53" t="s">
        <v>74</v>
      </c>
      <c r="H175" s="53">
        <v>16982</v>
      </c>
      <c r="I175" s="53" t="s">
        <v>117</v>
      </c>
      <c r="M175" s="77">
        <v>46262</v>
      </c>
      <c r="AC175" s="38" t="s">
        <v>615</v>
      </c>
    </row>
    <row r="176" spans="1:31" ht="37.5" customHeight="1" x14ac:dyDescent="0.3">
      <c r="A176" s="51">
        <v>149</v>
      </c>
      <c r="B176" s="52" t="s">
        <v>616</v>
      </c>
      <c r="C176" s="96" t="s">
        <v>617</v>
      </c>
      <c r="D176" s="51" t="s">
        <v>618</v>
      </c>
      <c r="E176" s="51" t="s">
        <v>3</v>
      </c>
      <c r="F176" s="51" t="s">
        <v>3</v>
      </c>
      <c r="G176" s="51" t="s">
        <v>138</v>
      </c>
      <c r="H176" s="53" t="s">
        <v>619</v>
      </c>
      <c r="I176" s="53" t="s">
        <v>196</v>
      </c>
      <c r="J176" s="53"/>
      <c r="K176" s="55" t="s">
        <v>589</v>
      </c>
      <c r="L176" s="62" t="s">
        <v>590</v>
      </c>
      <c r="M176" s="55"/>
      <c r="N176" s="55"/>
      <c r="O176" s="56"/>
      <c r="P176" s="54"/>
      <c r="Q176" s="57"/>
      <c r="R176" s="54"/>
      <c r="S176" s="57"/>
      <c r="T176" s="54"/>
      <c r="U176" s="57"/>
      <c r="V176" s="53" t="s">
        <v>67</v>
      </c>
      <c r="W176" s="56"/>
      <c r="X176" s="46">
        <f t="shared" si="5"/>
        <v>0</v>
      </c>
      <c r="Y176" s="58" t="s">
        <v>67</v>
      </c>
      <c r="Z176" s="53" t="s">
        <v>66</v>
      </c>
      <c r="AA176" s="52" t="s">
        <v>76</v>
      </c>
      <c r="AB176" s="59" t="s">
        <v>77</v>
      </c>
      <c r="AC176" s="59" t="s">
        <v>177</v>
      </c>
      <c r="AD176" s="60" t="s">
        <v>3</v>
      </c>
    </row>
    <row r="177" spans="1:31" ht="37.5" customHeight="1" x14ac:dyDescent="0.3">
      <c r="A177" s="51">
        <v>150</v>
      </c>
      <c r="B177" s="52" t="s">
        <v>616</v>
      </c>
      <c r="C177" s="51" t="s">
        <v>620</v>
      </c>
      <c r="D177" s="51" t="s">
        <v>621</v>
      </c>
      <c r="E177" s="51" t="s">
        <v>3</v>
      </c>
      <c r="F177" s="51" t="s">
        <v>3</v>
      </c>
      <c r="G177" s="51" t="s">
        <v>138</v>
      </c>
      <c r="H177" s="53" t="s">
        <v>622</v>
      </c>
      <c r="I177" s="54" t="s">
        <v>104</v>
      </c>
      <c r="J177" s="53"/>
      <c r="K177" s="55" t="s">
        <v>589</v>
      </c>
      <c r="L177" s="62" t="s">
        <v>590</v>
      </c>
      <c r="M177" s="55"/>
      <c r="N177" s="55"/>
      <c r="O177" s="56"/>
      <c r="P177" s="54"/>
      <c r="Q177" s="57"/>
      <c r="R177" s="54"/>
      <c r="S177" s="57"/>
      <c r="T177" s="54"/>
      <c r="U177" s="57"/>
      <c r="V177" s="53"/>
      <c r="W177" s="56"/>
      <c r="X177" s="46">
        <f t="shared" si="5"/>
        <v>0</v>
      </c>
      <c r="Y177" s="58" t="s">
        <v>67</v>
      </c>
      <c r="Z177" s="92" t="s">
        <v>66</v>
      </c>
      <c r="AA177" s="52"/>
      <c r="AB177" s="69" t="s">
        <v>69</v>
      </c>
      <c r="AC177" s="59"/>
      <c r="AD177" s="60" t="s">
        <v>71</v>
      </c>
    </row>
    <row r="178" spans="1:31" s="61" customFormat="1" ht="37.5" customHeight="1" x14ac:dyDescent="0.3">
      <c r="A178" s="41">
        <v>151</v>
      </c>
      <c r="B178" s="49" t="s">
        <v>623</v>
      </c>
      <c r="C178" s="41" t="s">
        <v>624</v>
      </c>
      <c r="D178" s="41" t="s">
        <v>625</v>
      </c>
      <c r="E178" s="41" t="s">
        <v>3</v>
      </c>
      <c r="F178" s="41" t="s">
        <v>3</v>
      </c>
      <c r="G178" s="41" t="s">
        <v>63</v>
      </c>
      <c r="H178" s="41" t="s">
        <v>626</v>
      </c>
      <c r="I178" s="41" t="s">
        <v>81</v>
      </c>
      <c r="J178" s="41"/>
      <c r="K178" s="42"/>
      <c r="L178" s="42"/>
      <c r="M178" s="42" t="s">
        <v>150</v>
      </c>
      <c r="N178" s="42" t="s">
        <v>627</v>
      </c>
      <c r="O178" s="43">
        <v>17542</v>
      </c>
      <c r="P178" s="41"/>
      <c r="Q178" s="43"/>
      <c r="R178" s="41"/>
      <c r="S178" s="43"/>
      <c r="T178" s="41"/>
      <c r="U178" s="43"/>
      <c r="V178" s="41" t="s">
        <v>66</v>
      </c>
      <c r="W178" s="43">
        <v>4900</v>
      </c>
      <c r="X178" s="46">
        <f t="shared" si="5"/>
        <v>22442</v>
      </c>
      <c r="Y178" s="41" t="s">
        <v>67</v>
      </c>
      <c r="Z178" s="41" t="s">
        <v>66</v>
      </c>
      <c r="AA178" s="49" t="s">
        <v>76</v>
      </c>
      <c r="AB178" s="49" t="s">
        <v>77</v>
      </c>
      <c r="AC178" s="49" t="s">
        <v>628</v>
      </c>
      <c r="AD178" s="50" t="s">
        <v>3</v>
      </c>
    </row>
    <row r="179" spans="1:31" s="61" customFormat="1" ht="37.5" customHeight="1" x14ac:dyDescent="0.3">
      <c r="A179" s="41">
        <v>152</v>
      </c>
      <c r="B179" s="49" t="s">
        <v>623</v>
      </c>
      <c r="C179" s="41" t="s">
        <v>629</v>
      </c>
      <c r="D179" s="41" t="s">
        <v>630</v>
      </c>
      <c r="E179" s="41" t="s">
        <v>3</v>
      </c>
      <c r="F179" s="41" t="s">
        <v>3</v>
      </c>
      <c r="G179" s="41" t="s">
        <v>63</v>
      </c>
      <c r="H179" s="41" t="s">
        <v>631</v>
      </c>
      <c r="I179" s="41" t="s">
        <v>112</v>
      </c>
      <c r="J179" s="41"/>
      <c r="K179" s="42"/>
      <c r="L179" s="42"/>
      <c r="M179" s="42">
        <v>46114</v>
      </c>
      <c r="N179" s="42" t="s">
        <v>627</v>
      </c>
      <c r="O179" s="43">
        <v>13125</v>
      </c>
      <c r="P179" s="41"/>
      <c r="Q179" s="43"/>
      <c r="R179" s="41"/>
      <c r="S179" s="43"/>
      <c r="T179" s="41"/>
      <c r="U179" s="43"/>
      <c r="V179" s="41" t="s">
        <v>66</v>
      </c>
      <c r="W179" s="43">
        <v>4900</v>
      </c>
      <c r="X179" s="46">
        <f t="shared" si="5"/>
        <v>18025</v>
      </c>
      <c r="Y179" s="41" t="s">
        <v>67</v>
      </c>
      <c r="Z179" s="41" t="s">
        <v>66</v>
      </c>
      <c r="AA179" s="49" t="s">
        <v>76</v>
      </c>
      <c r="AB179" s="49" t="s">
        <v>77</v>
      </c>
      <c r="AC179" s="49"/>
      <c r="AD179" s="50" t="s">
        <v>3</v>
      </c>
    </row>
    <row r="180" spans="1:31" s="61" customFormat="1" ht="37.5" customHeight="1" x14ac:dyDescent="0.3">
      <c r="A180" s="41">
        <v>153</v>
      </c>
      <c r="B180" s="49" t="s">
        <v>623</v>
      </c>
      <c r="C180" s="41" t="s">
        <v>632</v>
      </c>
      <c r="D180" s="41" t="s">
        <v>633</v>
      </c>
      <c r="E180" s="41" t="s">
        <v>3</v>
      </c>
      <c r="F180" s="41" t="s">
        <v>3</v>
      </c>
      <c r="G180" s="41" t="s">
        <v>63</v>
      </c>
      <c r="H180" s="41" t="s">
        <v>634</v>
      </c>
      <c r="I180" s="41" t="s">
        <v>112</v>
      </c>
      <c r="J180" s="41"/>
      <c r="K180" s="42"/>
      <c r="L180" s="42"/>
      <c r="M180" s="42">
        <v>46114</v>
      </c>
      <c r="N180" s="42" t="s">
        <v>627</v>
      </c>
      <c r="O180" s="43">
        <v>10037</v>
      </c>
      <c r="P180" s="41"/>
      <c r="Q180" s="43"/>
      <c r="R180" s="41"/>
      <c r="S180" s="43"/>
      <c r="T180" s="41"/>
      <c r="U180" s="43"/>
      <c r="V180" s="41" t="s">
        <v>67</v>
      </c>
      <c r="W180" s="43"/>
      <c r="X180" s="46">
        <f t="shared" si="5"/>
        <v>10037</v>
      </c>
      <c r="Y180" s="41" t="s">
        <v>67</v>
      </c>
      <c r="Z180" s="41" t="s">
        <v>66</v>
      </c>
      <c r="AA180" s="49" t="s">
        <v>76</v>
      </c>
      <c r="AB180" s="49" t="s">
        <v>77</v>
      </c>
      <c r="AC180" s="49" t="s">
        <v>635</v>
      </c>
      <c r="AD180" s="50" t="s">
        <v>3</v>
      </c>
    </row>
    <row r="181" spans="1:31" s="61" customFormat="1" ht="37.5" customHeight="1" x14ac:dyDescent="0.3">
      <c r="A181" s="41">
        <v>154</v>
      </c>
      <c r="B181" s="49" t="s">
        <v>623</v>
      </c>
      <c r="C181" s="41" t="s">
        <v>636</v>
      </c>
      <c r="D181" s="41" t="s">
        <v>637</v>
      </c>
      <c r="E181" s="41" t="s">
        <v>3</v>
      </c>
      <c r="F181" s="41" t="s">
        <v>3</v>
      </c>
      <c r="G181" s="41" t="s">
        <v>63</v>
      </c>
      <c r="H181" s="41" t="s">
        <v>638</v>
      </c>
      <c r="I181" s="41" t="s">
        <v>584</v>
      </c>
      <c r="J181" s="41"/>
      <c r="K181" s="42"/>
      <c r="L181" s="42"/>
      <c r="M181" s="42" t="s">
        <v>150</v>
      </c>
      <c r="N181" s="42" t="s">
        <v>627</v>
      </c>
      <c r="O181" s="43">
        <v>18523</v>
      </c>
      <c r="P181" s="41"/>
      <c r="Q181" s="43"/>
      <c r="R181" s="41"/>
      <c r="S181" s="43"/>
      <c r="T181" s="41"/>
      <c r="U181" s="43"/>
      <c r="V181" s="41" t="s">
        <v>66</v>
      </c>
      <c r="W181" s="43">
        <v>4900</v>
      </c>
      <c r="X181" s="46">
        <f t="shared" si="5"/>
        <v>23423</v>
      </c>
      <c r="Y181" s="41" t="s">
        <v>66</v>
      </c>
      <c r="Z181" s="41" t="s">
        <v>66</v>
      </c>
      <c r="AA181" s="49" t="s">
        <v>76</v>
      </c>
      <c r="AB181" s="49" t="s">
        <v>77</v>
      </c>
      <c r="AC181" s="49" t="s">
        <v>639</v>
      </c>
      <c r="AD181" s="50" t="s">
        <v>3</v>
      </c>
    </row>
    <row r="182" spans="1:31" s="61" customFormat="1" ht="37.5" customHeight="1" x14ac:dyDescent="0.3">
      <c r="A182" s="41">
        <v>155</v>
      </c>
      <c r="B182" s="49" t="s">
        <v>623</v>
      </c>
      <c r="C182" s="41" t="s">
        <v>640</v>
      </c>
      <c r="D182" s="41" t="s">
        <v>641</v>
      </c>
      <c r="E182" s="41" t="s">
        <v>3</v>
      </c>
      <c r="F182" s="41" t="s">
        <v>3</v>
      </c>
      <c r="G182" s="41" t="s">
        <v>63</v>
      </c>
      <c r="H182" s="41" t="s">
        <v>642</v>
      </c>
      <c r="I182" s="41" t="s">
        <v>584</v>
      </c>
      <c r="J182" s="41"/>
      <c r="K182" s="42"/>
      <c r="L182" s="42"/>
      <c r="M182" s="42">
        <v>46114</v>
      </c>
      <c r="N182" s="42" t="s">
        <v>627</v>
      </c>
      <c r="O182" s="43">
        <v>13152</v>
      </c>
      <c r="P182" s="41"/>
      <c r="Q182" s="43"/>
      <c r="R182" s="41"/>
      <c r="S182" s="43"/>
      <c r="T182" s="41"/>
      <c r="U182" s="43"/>
      <c r="V182" s="41" t="s">
        <v>66</v>
      </c>
      <c r="W182" s="43">
        <v>4900</v>
      </c>
      <c r="X182" s="46">
        <f t="shared" si="5"/>
        <v>18052</v>
      </c>
      <c r="Y182" s="41" t="s">
        <v>66</v>
      </c>
      <c r="Z182" s="41" t="s">
        <v>66</v>
      </c>
      <c r="AA182" s="49" t="s">
        <v>68</v>
      </c>
      <c r="AB182" s="49" t="s">
        <v>69</v>
      </c>
      <c r="AC182" s="49" t="s">
        <v>643</v>
      </c>
      <c r="AD182" s="50" t="s">
        <v>71</v>
      </c>
    </row>
    <row r="183" spans="1:31" s="61" customFormat="1" ht="37.5" customHeight="1" x14ac:dyDescent="0.3">
      <c r="A183" s="41">
        <v>156</v>
      </c>
      <c r="B183" s="49" t="s">
        <v>623</v>
      </c>
      <c r="C183" s="41" t="s">
        <v>644</v>
      </c>
      <c r="D183" s="41" t="s">
        <v>645</v>
      </c>
      <c r="E183" s="41" t="s">
        <v>3</v>
      </c>
      <c r="F183" s="41" t="s">
        <v>3</v>
      </c>
      <c r="G183" s="41" t="s">
        <v>63</v>
      </c>
      <c r="H183" s="41" t="s">
        <v>646</v>
      </c>
      <c r="I183" s="41" t="s">
        <v>81</v>
      </c>
      <c r="J183" s="41"/>
      <c r="K183" s="42"/>
      <c r="L183" s="42"/>
      <c r="M183" s="42" t="s">
        <v>150</v>
      </c>
      <c r="N183" s="42" t="s">
        <v>627</v>
      </c>
      <c r="O183" s="43">
        <v>22919</v>
      </c>
      <c r="P183" s="41"/>
      <c r="Q183" s="43"/>
      <c r="R183" s="41"/>
      <c r="S183" s="43"/>
      <c r="T183" s="41" t="s">
        <v>66</v>
      </c>
      <c r="U183" s="43">
        <v>2500</v>
      </c>
      <c r="V183" s="41" t="s">
        <v>66</v>
      </c>
      <c r="W183" s="43">
        <v>4900</v>
      </c>
      <c r="X183" s="46">
        <f t="shared" si="5"/>
        <v>30319</v>
      </c>
      <c r="Y183" s="41" t="s">
        <v>66</v>
      </c>
      <c r="Z183" s="41" t="s">
        <v>66</v>
      </c>
      <c r="AA183" s="49" t="s">
        <v>68</v>
      </c>
      <c r="AB183" s="49" t="s">
        <v>69</v>
      </c>
      <c r="AC183" s="49" t="s">
        <v>647</v>
      </c>
      <c r="AD183" s="50" t="s">
        <v>71</v>
      </c>
    </row>
    <row r="184" spans="1:31" s="61" customFormat="1" ht="37.5" customHeight="1" x14ac:dyDescent="0.3">
      <c r="A184" s="41">
        <v>157</v>
      </c>
      <c r="B184" s="49" t="s">
        <v>623</v>
      </c>
      <c r="C184" s="41" t="s">
        <v>648</v>
      </c>
      <c r="D184" s="41" t="s">
        <v>649</v>
      </c>
      <c r="E184" s="41" t="s">
        <v>3</v>
      </c>
      <c r="F184" s="41" t="s">
        <v>3</v>
      </c>
      <c r="G184" s="41" t="s">
        <v>63</v>
      </c>
      <c r="H184" s="41" t="s">
        <v>650</v>
      </c>
      <c r="I184" s="41" t="s">
        <v>196</v>
      </c>
      <c r="J184" s="41"/>
      <c r="K184" s="42"/>
      <c r="L184" s="42"/>
      <c r="M184" s="42" t="s">
        <v>150</v>
      </c>
      <c r="N184" s="42" t="s">
        <v>627</v>
      </c>
      <c r="O184" s="43">
        <v>16840</v>
      </c>
      <c r="P184" s="41"/>
      <c r="Q184" s="43"/>
      <c r="R184" s="41"/>
      <c r="S184" s="43"/>
      <c r="T184" s="41"/>
      <c r="U184" s="43"/>
      <c r="V184" s="41" t="s">
        <v>66</v>
      </c>
      <c r="W184" s="43">
        <v>4900</v>
      </c>
      <c r="X184" s="46">
        <f t="shared" si="5"/>
        <v>21740</v>
      </c>
      <c r="Y184" s="41" t="s">
        <v>66</v>
      </c>
      <c r="Z184" s="41" t="s">
        <v>66</v>
      </c>
      <c r="AA184" s="49" t="s">
        <v>68</v>
      </c>
      <c r="AB184" s="49" t="s">
        <v>69</v>
      </c>
      <c r="AC184" s="49" t="s">
        <v>651</v>
      </c>
      <c r="AD184" s="50" t="s">
        <v>71</v>
      </c>
    </row>
    <row r="185" spans="1:31" s="61" customFormat="1" ht="37.5" customHeight="1" x14ac:dyDescent="0.3">
      <c r="A185" s="41">
        <v>158</v>
      </c>
      <c r="B185" s="49" t="s">
        <v>623</v>
      </c>
      <c r="C185" s="41" t="s">
        <v>652</v>
      </c>
      <c r="D185" s="41" t="s">
        <v>653</v>
      </c>
      <c r="E185" s="41" t="s">
        <v>3</v>
      </c>
      <c r="F185" s="41" t="s">
        <v>3</v>
      </c>
      <c r="G185" s="41" t="s">
        <v>63</v>
      </c>
      <c r="H185" s="41" t="s">
        <v>654</v>
      </c>
      <c r="I185" s="41" t="s">
        <v>196</v>
      </c>
      <c r="J185" s="41"/>
      <c r="K185" s="42"/>
      <c r="L185" s="42"/>
      <c r="M185" s="42" t="s">
        <v>150</v>
      </c>
      <c r="N185" s="42" t="s">
        <v>627</v>
      </c>
      <c r="O185" s="43">
        <v>24244</v>
      </c>
      <c r="P185" s="41"/>
      <c r="Q185" s="43"/>
      <c r="R185" s="41"/>
      <c r="S185" s="43"/>
      <c r="T185" s="41"/>
      <c r="U185" s="43"/>
      <c r="V185" s="41" t="s">
        <v>66</v>
      </c>
      <c r="W185" s="43">
        <v>4900</v>
      </c>
      <c r="X185" s="46">
        <f t="shared" si="5"/>
        <v>29144</v>
      </c>
      <c r="Y185" s="41" t="s">
        <v>66</v>
      </c>
      <c r="Z185" s="41" t="s">
        <v>66</v>
      </c>
      <c r="AA185" s="49" t="s">
        <v>76</v>
      </c>
      <c r="AB185" s="49" t="s">
        <v>77</v>
      </c>
      <c r="AC185" s="49" t="s">
        <v>655</v>
      </c>
      <c r="AD185" s="50" t="s">
        <v>3</v>
      </c>
    </row>
    <row r="186" spans="1:31" s="61" customFormat="1" ht="37.5" customHeight="1" x14ac:dyDescent="0.3">
      <c r="A186" s="38"/>
      <c r="B186" s="38" t="s">
        <v>623</v>
      </c>
      <c r="C186" s="38" t="s">
        <v>656</v>
      </c>
      <c r="D186" s="38"/>
      <c r="E186" s="38"/>
      <c r="F186" s="38"/>
      <c r="G186" s="38"/>
      <c r="H186" s="38">
        <v>16983</v>
      </c>
      <c r="I186" s="38"/>
      <c r="J186" s="38"/>
      <c r="K186" s="38"/>
      <c r="L186" s="38"/>
      <c r="M186" s="38"/>
      <c r="N186" s="38"/>
      <c r="O186" s="74"/>
      <c r="P186" s="38"/>
      <c r="Q186" s="74"/>
      <c r="R186" s="38"/>
      <c r="S186" s="74"/>
      <c r="T186" s="38"/>
      <c r="U186" s="74"/>
      <c r="V186" s="38"/>
      <c r="W186" s="74"/>
      <c r="X186" s="38"/>
      <c r="Y186" s="38"/>
      <c r="Z186" s="38"/>
      <c r="AA186" s="38"/>
      <c r="AB186" s="38"/>
      <c r="AC186" s="38"/>
      <c r="AD186" s="38"/>
      <c r="AE186" s="38"/>
    </row>
    <row r="187" spans="1:31" s="61" customFormat="1" ht="37.5" customHeight="1" x14ac:dyDescent="0.3">
      <c r="A187" s="38"/>
      <c r="B187" s="38" t="s">
        <v>623</v>
      </c>
      <c r="C187" s="38" t="s">
        <v>657</v>
      </c>
      <c r="D187" s="38"/>
      <c r="E187" s="38"/>
      <c r="F187" s="38"/>
      <c r="G187" s="38"/>
      <c r="H187" s="38">
        <v>16984</v>
      </c>
      <c r="I187" s="38"/>
      <c r="J187" s="38"/>
      <c r="K187" s="38"/>
      <c r="L187" s="38"/>
      <c r="M187" s="38"/>
      <c r="N187" s="38"/>
      <c r="O187" s="74"/>
      <c r="P187" s="38"/>
      <c r="Q187" s="74"/>
      <c r="R187" s="38"/>
      <c r="S187" s="74"/>
      <c r="T187" s="38"/>
      <c r="U187" s="74"/>
      <c r="V187" s="38"/>
      <c r="W187" s="74"/>
      <c r="X187" s="38"/>
      <c r="Y187" s="38"/>
      <c r="Z187" s="38"/>
      <c r="AA187" s="38"/>
      <c r="AB187" s="38"/>
      <c r="AC187" s="38"/>
      <c r="AD187" s="38"/>
      <c r="AE187" s="38"/>
    </row>
    <row r="188" spans="1:31" ht="37.5" customHeight="1" x14ac:dyDescent="0.3">
      <c r="A188" s="51">
        <v>159</v>
      </c>
      <c r="B188" s="52" t="s">
        <v>658</v>
      </c>
      <c r="C188" s="51" t="s">
        <v>659</v>
      </c>
      <c r="D188" s="51" t="s">
        <v>660</v>
      </c>
      <c r="E188" s="51" t="s">
        <v>3</v>
      </c>
      <c r="F188" s="51" t="s">
        <v>3</v>
      </c>
      <c r="G188" s="51" t="s">
        <v>74</v>
      </c>
      <c r="H188" s="53" t="s">
        <v>661</v>
      </c>
      <c r="I188" s="54" t="s">
        <v>662</v>
      </c>
      <c r="J188" s="53"/>
      <c r="K188" s="97">
        <v>46258</v>
      </c>
      <c r="L188" s="70">
        <v>46278</v>
      </c>
      <c r="M188" s="55">
        <v>46262</v>
      </c>
      <c r="N188" s="55"/>
      <c r="O188" s="56"/>
      <c r="P188" s="54"/>
      <c r="Q188" s="57"/>
      <c r="R188" s="54"/>
      <c r="S188" s="57"/>
      <c r="T188" s="54"/>
      <c r="U188" s="57"/>
      <c r="V188" s="53"/>
      <c r="W188" s="56"/>
      <c r="X188" s="46">
        <f t="shared" si="5"/>
        <v>0</v>
      </c>
      <c r="Y188" s="58" t="s">
        <v>67</v>
      </c>
      <c r="Z188" s="92" t="s">
        <v>66</v>
      </c>
      <c r="AA188" s="52" t="s">
        <v>96</v>
      </c>
      <c r="AB188" s="59" t="s">
        <v>97</v>
      </c>
      <c r="AC188" s="59" t="s">
        <v>663</v>
      </c>
      <c r="AD188" s="60" t="s">
        <v>3</v>
      </c>
    </row>
    <row r="189" spans="1:31" ht="37.5" customHeight="1" x14ac:dyDescent="0.3">
      <c r="B189" s="105" t="s">
        <v>518</v>
      </c>
      <c r="C189" s="105">
        <v>171</v>
      </c>
    </row>
    <row r="190" spans="1:31" ht="37.5" customHeight="1" x14ac:dyDescent="0.3">
      <c r="B190" s="105" t="s">
        <v>606</v>
      </c>
      <c r="C190" s="105">
        <v>49</v>
      </c>
    </row>
    <row r="191" spans="1:31" ht="37.5" customHeight="1" x14ac:dyDescent="0.3">
      <c r="B191" s="105" t="s">
        <v>284</v>
      </c>
      <c r="C191" s="105">
        <v>24</v>
      </c>
    </row>
  </sheetData>
  <autoFilter ref="A1:AC188" xr:uid="{00000000-0009-0000-0000-000001000000}"/>
  <phoneticPr fontId="19" type="noConversion"/>
  <dataValidations count="2">
    <dataValidation type="list" allowBlank="1" sqref="I75:I81 I169:I176 I109 I111:I112 I117 I119 I143:I144 I163:I164 I178:I185 I43:I73 I2:I15 I149:I160 I138:I139 I92:I99 I86:I90 I17:I19 I21:I41" xr:uid="{00000000-0002-0000-0100-000001000000}">
      <formula1>"L1,L1+,L2,L2+,L2-3,L3,L3+"</formula1>
      <formula2>0</formula2>
    </dataValidation>
    <dataValidation type="list" allowBlank="1" sqref="Y188 P143:W160 X175 P21:W41 Y28:Y41 Y143:Y160 P188:W188 P162:W185 Y162:Y185 Y43:Y90 P43:W90 Y21:Y26 P2:W19 Y2:Y19 Y92:Y141 P92:W141 X111" xr:uid="{00000000-0002-0000-0100-000000000000}">
      <formula1>"Y,N,N/A"</formula1>
      <formula2>0</formula2>
    </dataValidation>
  </dataValidation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5"/>
  <sheetViews>
    <sheetView zoomScaleNormal="100" workbookViewId="0">
      <pane xSplit="3" ySplit="2" topLeftCell="D6" activePane="bottomRight" state="frozen"/>
      <selection pane="topRight" activeCell="D1" sqref="D1"/>
      <selection pane="bottomLeft" activeCell="A3" sqref="A3"/>
      <selection pane="bottomRight" sqref="A1:X1"/>
    </sheetView>
  </sheetViews>
  <sheetFormatPr defaultColWidth="8.7109375" defaultRowHeight="15" x14ac:dyDescent="0.25"/>
  <cols>
    <col min="1" max="1" width="4" customWidth="1"/>
    <col min="2" max="2" width="20" customWidth="1"/>
    <col min="3" max="3" width="7" customWidth="1"/>
    <col min="4" max="4" width="16" customWidth="1"/>
    <col min="5" max="5" width="11" customWidth="1"/>
    <col min="6" max="6" width="7" customWidth="1"/>
    <col min="7" max="7" width="11" customWidth="1"/>
    <col min="8" max="8" width="10" customWidth="1"/>
    <col min="9" max="9" width="9" customWidth="1"/>
    <col min="10" max="10" width="16" customWidth="1"/>
    <col min="11" max="15" width="11" customWidth="1"/>
    <col min="16" max="16" width="8" customWidth="1"/>
    <col min="17" max="17" width="9" customWidth="1"/>
    <col min="18" max="20" width="8" customWidth="1"/>
    <col min="21" max="21" width="20" customWidth="1"/>
    <col min="22" max="22" width="24" customWidth="1"/>
    <col min="23" max="23" width="28" customWidth="1"/>
    <col min="24" max="24" width="18" customWidth="1"/>
  </cols>
  <sheetData>
    <row r="1" spans="1:26" ht="21.75" customHeight="1" x14ac:dyDescent="0.25">
      <c r="A1" s="116" t="s">
        <v>664</v>
      </c>
      <c r="B1" s="110"/>
      <c r="C1" s="110"/>
      <c r="D1" s="110"/>
      <c r="E1" s="110"/>
      <c r="F1" s="110"/>
      <c r="G1" s="110"/>
      <c r="H1" s="110"/>
      <c r="I1" s="110"/>
      <c r="J1" s="110"/>
      <c r="K1" s="110"/>
      <c r="L1" s="110"/>
      <c r="M1" s="110"/>
      <c r="N1" s="110"/>
      <c r="O1" s="110"/>
      <c r="P1" s="110"/>
      <c r="Q1" s="110"/>
      <c r="R1" s="110"/>
      <c r="S1" s="110"/>
      <c r="T1" s="110"/>
      <c r="U1" s="110"/>
      <c r="V1" s="110"/>
      <c r="W1" s="110"/>
      <c r="X1" s="110"/>
    </row>
    <row r="2" spans="1:26" ht="30" customHeight="1" x14ac:dyDescent="0.25">
      <c r="A2" s="14" t="s">
        <v>29</v>
      </c>
      <c r="B2" s="14" t="s">
        <v>30</v>
      </c>
      <c r="C2" s="14" t="s">
        <v>31</v>
      </c>
      <c r="D2" s="14" t="s">
        <v>32</v>
      </c>
      <c r="E2" s="14" t="s">
        <v>33</v>
      </c>
      <c r="F2" s="14" t="s">
        <v>34</v>
      </c>
      <c r="G2" s="14" t="s">
        <v>35</v>
      </c>
      <c r="H2" s="14" t="s">
        <v>36</v>
      </c>
      <c r="I2" s="14" t="s">
        <v>37</v>
      </c>
      <c r="J2" s="14" t="s">
        <v>38</v>
      </c>
      <c r="K2" s="14" t="s">
        <v>39</v>
      </c>
      <c r="L2" s="14" t="s">
        <v>40</v>
      </c>
      <c r="M2" s="14" t="s">
        <v>41</v>
      </c>
      <c r="N2" s="14" t="s">
        <v>42</v>
      </c>
      <c r="O2" s="14" t="s">
        <v>52</v>
      </c>
      <c r="P2" s="14" t="s">
        <v>44</v>
      </c>
      <c r="Q2" s="14" t="s">
        <v>46</v>
      </c>
      <c r="R2" s="14" t="s">
        <v>48</v>
      </c>
      <c r="S2" s="14" t="s">
        <v>50</v>
      </c>
      <c r="T2" s="14" t="s">
        <v>53</v>
      </c>
      <c r="U2" s="14" t="s">
        <v>54</v>
      </c>
      <c r="V2" s="14" t="s">
        <v>55</v>
      </c>
      <c r="W2" s="14" t="s">
        <v>56</v>
      </c>
      <c r="X2" s="14" t="s">
        <v>57</v>
      </c>
      <c r="Y2" s="14" t="s">
        <v>58</v>
      </c>
      <c r="Z2" s="28" t="s">
        <v>59</v>
      </c>
    </row>
    <row r="3" spans="1:26" ht="23.65" customHeight="1" x14ac:dyDescent="0.25">
      <c r="A3" s="15">
        <v>1</v>
      </c>
      <c r="B3" s="16" t="s">
        <v>665</v>
      </c>
      <c r="C3" s="15" t="s">
        <v>666</v>
      </c>
      <c r="D3" s="15" t="s">
        <v>667</v>
      </c>
      <c r="E3" s="15" t="s">
        <v>668</v>
      </c>
      <c r="F3" s="15" t="s">
        <v>288</v>
      </c>
      <c r="G3" s="15" t="s">
        <v>63</v>
      </c>
      <c r="H3" s="17" t="s">
        <v>669</v>
      </c>
      <c r="I3" s="24"/>
      <c r="J3" s="32" t="s">
        <v>670</v>
      </c>
      <c r="K3" s="18" t="s">
        <v>671</v>
      </c>
      <c r="L3" s="18"/>
      <c r="M3" s="30" t="s">
        <v>672</v>
      </c>
      <c r="N3" s="30" t="s">
        <v>673</v>
      </c>
      <c r="O3" s="34">
        <v>4274.25</v>
      </c>
      <c r="P3" s="32" t="s">
        <v>67</v>
      </c>
      <c r="Q3" s="32" t="s">
        <v>67</v>
      </c>
      <c r="R3" s="32" t="s">
        <v>67</v>
      </c>
      <c r="S3" s="32" t="s">
        <v>67</v>
      </c>
      <c r="T3" s="29"/>
      <c r="U3" s="17" t="s">
        <v>67</v>
      </c>
      <c r="V3" s="16"/>
      <c r="W3" s="20" t="s">
        <v>69</v>
      </c>
      <c r="X3" s="31" t="s">
        <v>674</v>
      </c>
      <c r="Y3" s="22" t="s">
        <v>675</v>
      </c>
      <c r="Z3" s="33">
        <v>12921</v>
      </c>
    </row>
    <row r="4" spans="1:26" ht="23.65" customHeight="1" x14ac:dyDescent="0.25">
      <c r="A4" s="15">
        <v>2</v>
      </c>
      <c r="B4" s="16" t="s">
        <v>665</v>
      </c>
      <c r="C4" s="15" t="s">
        <v>676</v>
      </c>
      <c r="D4" s="15" t="s">
        <v>677</v>
      </c>
      <c r="E4" s="15" t="s">
        <v>668</v>
      </c>
      <c r="F4" s="15" t="s">
        <v>288</v>
      </c>
      <c r="G4" s="15" t="s">
        <v>63</v>
      </c>
      <c r="H4" s="17" t="s">
        <v>678</v>
      </c>
      <c r="I4" s="24"/>
      <c r="J4" s="32" t="s">
        <v>670</v>
      </c>
      <c r="K4" s="18" t="s">
        <v>671</v>
      </c>
      <c r="L4" s="18"/>
      <c r="M4" s="30" t="s">
        <v>679</v>
      </c>
      <c r="N4" s="30" t="s">
        <v>680</v>
      </c>
      <c r="O4" s="34">
        <v>44306.66</v>
      </c>
      <c r="P4" s="32" t="s">
        <v>67</v>
      </c>
      <c r="Q4" s="32" t="s">
        <v>67</v>
      </c>
      <c r="R4" s="32" t="s">
        <v>67</v>
      </c>
      <c r="S4" s="32" t="s">
        <v>66</v>
      </c>
      <c r="T4" s="29"/>
      <c r="U4" s="17" t="s">
        <v>67</v>
      </c>
      <c r="V4" s="16"/>
      <c r="W4" s="20" t="s">
        <v>69</v>
      </c>
      <c r="X4" s="31" t="s">
        <v>681</v>
      </c>
      <c r="Y4" s="22" t="s">
        <v>675</v>
      </c>
      <c r="Z4" s="33">
        <v>11552</v>
      </c>
    </row>
    <row r="5" spans="1:26" ht="23.65" customHeight="1" x14ac:dyDescent="0.25">
      <c r="A5" s="15">
        <v>3</v>
      </c>
      <c r="B5" s="16" t="s">
        <v>665</v>
      </c>
      <c r="C5" s="15" t="s">
        <v>682</v>
      </c>
      <c r="D5" s="15" t="s">
        <v>683</v>
      </c>
      <c r="E5" s="15" t="s">
        <v>668</v>
      </c>
      <c r="F5" s="15" t="s">
        <v>288</v>
      </c>
      <c r="G5" s="15" t="s">
        <v>63</v>
      </c>
      <c r="H5" s="17" t="s">
        <v>684</v>
      </c>
      <c r="I5" s="24"/>
      <c r="J5" s="32" t="s">
        <v>670</v>
      </c>
      <c r="K5" s="18" t="s">
        <v>671</v>
      </c>
      <c r="L5" s="18"/>
      <c r="M5" s="30" t="s">
        <v>685</v>
      </c>
      <c r="N5" s="30" t="s">
        <v>686</v>
      </c>
      <c r="O5" s="34">
        <v>47009.48</v>
      </c>
      <c r="P5" s="32" t="s">
        <v>67</v>
      </c>
      <c r="Q5" s="32" t="s">
        <v>67</v>
      </c>
      <c r="R5" s="32" t="s">
        <v>66</v>
      </c>
      <c r="S5" s="32" t="s">
        <v>66</v>
      </c>
      <c r="T5" s="29"/>
      <c r="U5" s="17" t="s">
        <v>67</v>
      </c>
      <c r="V5" s="16" t="s">
        <v>96</v>
      </c>
      <c r="W5" s="21" t="s">
        <v>97</v>
      </c>
      <c r="X5" s="31" t="s">
        <v>687</v>
      </c>
      <c r="Y5" s="22" t="s">
        <v>688</v>
      </c>
      <c r="Z5" s="33">
        <v>9220</v>
      </c>
    </row>
    <row r="6" spans="1:26" ht="23.65" customHeight="1" x14ac:dyDescent="0.25">
      <c r="A6" s="15">
        <v>4</v>
      </c>
      <c r="B6" s="16" t="s">
        <v>689</v>
      </c>
      <c r="C6" s="15" t="s">
        <v>690</v>
      </c>
      <c r="D6" s="15" t="s">
        <v>691</v>
      </c>
      <c r="E6" s="15" t="s">
        <v>668</v>
      </c>
      <c r="F6" s="15" t="s">
        <v>288</v>
      </c>
      <c r="G6" s="15" t="s">
        <v>63</v>
      </c>
      <c r="H6" s="17" t="s">
        <v>692</v>
      </c>
      <c r="I6" s="24"/>
      <c r="J6" s="32" t="s">
        <v>693</v>
      </c>
      <c r="K6" s="18" t="s">
        <v>530</v>
      </c>
      <c r="L6" s="18"/>
      <c r="M6" s="30" t="s">
        <v>694</v>
      </c>
      <c r="N6" s="30" t="s">
        <v>695</v>
      </c>
      <c r="O6" s="34">
        <v>96400</v>
      </c>
      <c r="P6" s="32" t="s">
        <v>67</v>
      </c>
      <c r="Q6" s="32" t="s">
        <v>67</v>
      </c>
      <c r="R6" s="32" t="s">
        <v>67</v>
      </c>
      <c r="S6" s="17"/>
      <c r="T6" s="29"/>
      <c r="U6" s="25"/>
      <c r="V6" s="16"/>
      <c r="W6" s="20" t="s">
        <v>69</v>
      </c>
      <c r="X6" s="31" t="s">
        <v>696</v>
      </c>
      <c r="Y6" s="22" t="s">
        <v>675</v>
      </c>
      <c r="Z6" s="33">
        <v>11611</v>
      </c>
    </row>
    <row r="7" spans="1:26" ht="23.65" customHeight="1" x14ac:dyDescent="0.25">
      <c r="A7" s="15">
        <v>5</v>
      </c>
      <c r="B7" s="16" t="s">
        <v>689</v>
      </c>
      <c r="C7" s="15" t="s">
        <v>697</v>
      </c>
      <c r="D7" s="15" t="s">
        <v>698</v>
      </c>
      <c r="E7" s="15" t="s">
        <v>668</v>
      </c>
      <c r="F7" s="15" t="s">
        <v>288</v>
      </c>
      <c r="G7" s="15" t="s">
        <v>74</v>
      </c>
      <c r="H7" s="17" t="s">
        <v>699</v>
      </c>
      <c r="I7" s="24"/>
      <c r="J7" s="24"/>
      <c r="K7" s="18" t="s">
        <v>530</v>
      </c>
      <c r="L7" s="23" t="s">
        <v>531</v>
      </c>
      <c r="M7" s="26"/>
      <c r="N7" s="18"/>
      <c r="O7" s="19"/>
      <c r="P7" s="25"/>
      <c r="Q7" s="25"/>
      <c r="R7" s="25"/>
      <c r="S7" s="17"/>
      <c r="T7" s="29"/>
      <c r="U7" s="17" t="s">
        <v>67</v>
      </c>
      <c r="V7" s="16"/>
      <c r="W7" s="20" t="s">
        <v>69</v>
      </c>
      <c r="X7" s="21"/>
      <c r="Y7" s="22" t="s">
        <v>675</v>
      </c>
    </row>
    <row r="8" spans="1:26" ht="23.65" customHeight="1" x14ac:dyDescent="0.25">
      <c r="A8" s="15">
        <v>6</v>
      </c>
      <c r="B8" s="16" t="s">
        <v>689</v>
      </c>
      <c r="C8" s="15" t="s">
        <v>384</v>
      </c>
      <c r="D8" s="15" t="s">
        <v>700</v>
      </c>
      <c r="E8" s="15" t="s">
        <v>668</v>
      </c>
      <c r="F8" s="15" t="s">
        <v>288</v>
      </c>
      <c r="G8" s="15" t="s">
        <v>74</v>
      </c>
      <c r="H8" s="17" t="s">
        <v>701</v>
      </c>
      <c r="I8" s="24"/>
      <c r="J8" s="32" t="s">
        <v>702</v>
      </c>
      <c r="K8" s="18" t="s">
        <v>530</v>
      </c>
      <c r="L8" s="23" t="s">
        <v>531</v>
      </c>
      <c r="M8" s="30" t="s">
        <v>685</v>
      </c>
      <c r="N8" s="30" t="s">
        <v>703</v>
      </c>
      <c r="O8" s="34">
        <v>40300</v>
      </c>
      <c r="P8" s="32" t="s">
        <v>66</v>
      </c>
      <c r="Q8" s="32" t="s">
        <v>67</v>
      </c>
      <c r="R8" s="32" t="s">
        <v>66</v>
      </c>
      <c r="S8" s="32" t="s">
        <v>67</v>
      </c>
      <c r="T8" s="29"/>
      <c r="U8" s="17" t="s">
        <v>67</v>
      </c>
      <c r="V8" s="16"/>
      <c r="W8" s="20" t="s">
        <v>69</v>
      </c>
      <c r="X8" s="31" t="s">
        <v>704</v>
      </c>
      <c r="Y8" s="22" t="s">
        <v>675</v>
      </c>
      <c r="Z8" s="33">
        <v>9159</v>
      </c>
    </row>
    <row r="9" spans="1:26" ht="15" customHeight="1" x14ac:dyDescent="0.25">
      <c r="A9" s="15">
        <v>7</v>
      </c>
      <c r="B9" s="16" t="s">
        <v>689</v>
      </c>
      <c r="C9" s="15" t="s">
        <v>273</v>
      </c>
      <c r="D9" s="15" t="s">
        <v>705</v>
      </c>
      <c r="E9" s="15" t="s">
        <v>668</v>
      </c>
      <c r="F9" s="15" t="s">
        <v>288</v>
      </c>
      <c r="G9" s="15" t="s">
        <v>138</v>
      </c>
      <c r="H9" s="17" t="s">
        <v>706</v>
      </c>
      <c r="I9" s="24"/>
      <c r="J9" s="32" t="s">
        <v>707</v>
      </c>
      <c r="K9" s="18" t="s">
        <v>530</v>
      </c>
      <c r="L9" s="23" t="s">
        <v>531</v>
      </c>
      <c r="M9" s="30" t="s">
        <v>708</v>
      </c>
      <c r="N9" s="18"/>
      <c r="O9" s="34">
        <v>10600</v>
      </c>
      <c r="P9" s="32" t="s">
        <v>67</v>
      </c>
      <c r="Q9" s="32" t="s">
        <v>67</v>
      </c>
      <c r="R9" s="32" t="s">
        <v>67</v>
      </c>
      <c r="S9" s="32" t="s">
        <v>67</v>
      </c>
      <c r="T9" s="29"/>
      <c r="U9" s="17" t="s">
        <v>67</v>
      </c>
      <c r="V9" s="16" t="s">
        <v>76</v>
      </c>
      <c r="W9" s="21" t="s">
        <v>77</v>
      </c>
      <c r="X9" s="21"/>
      <c r="Y9" s="22" t="s">
        <v>688</v>
      </c>
      <c r="Z9" s="33">
        <v>11592</v>
      </c>
    </row>
    <row r="10" spans="1:26" ht="15" customHeight="1" x14ac:dyDescent="0.25">
      <c r="A10" s="15">
        <v>8</v>
      </c>
      <c r="B10" s="16" t="s">
        <v>689</v>
      </c>
      <c r="C10" s="15" t="s">
        <v>709</v>
      </c>
      <c r="D10" s="15" t="s">
        <v>710</v>
      </c>
      <c r="E10" s="15" t="s">
        <v>668</v>
      </c>
      <c r="F10" s="15" t="s">
        <v>288</v>
      </c>
      <c r="G10" s="15" t="s">
        <v>138</v>
      </c>
      <c r="H10" s="17" t="s">
        <v>711</v>
      </c>
      <c r="I10" s="24"/>
      <c r="J10" s="32" t="s">
        <v>693</v>
      </c>
      <c r="K10" s="18" t="s">
        <v>530</v>
      </c>
      <c r="L10" s="23" t="s">
        <v>531</v>
      </c>
      <c r="M10" s="30" t="s">
        <v>712</v>
      </c>
      <c r="N10" s="18"/>
      <c r="O10" s="34">
        <v>1950</v>
      </c>
      <c r="P10" s="32" t="s">
        <v>67</v>
      </c>
      <c r="Q10" s="32" t="s">
        <v>67</v>
      </c>
      <c r="R10" s="32" t="s">
        <v>67</v>
      </c>
      <c r="S10" s="32" t="s">
        <v>67</v>
      </c>
      <c r="T10" s="29"/>
      <c r="U10" s="17" t="s">
        <v>67</v>
      </c>
      <c r="V10" s="16" t="s">
        <v>76</v>
      </c>
      <c r="W10" s="21" t="s">
        <v>77</v>
      </c>
      <c r="X10" s="21"/>
      <c r="Y10" s="22" t="s">
        <v>688</v>
      </c>
      <c r="Z10" s="33">
        <v>14749</v>
      </c>
    </row>
    <row r="11" spans="1:26" ht="15" customHeight="1" x14ac:dyDescent="0.25">
      <c r="A11" s="15">
        <v>9</v>
      </c>
      <c r="B11" s="16" t="s">
        <v>689</v>
      </c>
      <c r="C11" s="15" t="s">
        <v>123</v>
      </c>
      <c r="D11" s="15" t="s">
        <v>713</v>
      </c>
      <c r="E11" s="15" t="s">
        <v>668</v>
      </c>
      <c r="F11" s="15" t="s">
        <v>288</v>
      </c>
      <c r="G11" s="15" t="s">
        <v>138</v>
      </c>
      <c r="H11" s="17" t="s">
        <v>714</v>
      </c>
      <c r="I11" s="17" t="s">
        <v>112</v>
      </c>
      <c r="J11" s="32" t="s">
        <v>693</v>
      </c>
      <c r="K11" s="18" t="s">
        <v>530</v>
      </c>
      <c r="L11" s="23" t="s">
        <v>531</v>
      </c>
      <c r="M11" s="30" t="s">
        <v>715</v>
      </c>
      <c r="N11" s="18"/>
      <c r="O11" s="34">
        <v>11685</v>
      </c>
      <c r="P11" s="17" t="s">
        <v>67</v>
      </c>
      <c r="Q11" s="17" t="s">
        <v>67</v>
      </c>
      <c r="R11" s="17" t="s">
        <v>67</v>
      </c>
      <c r="S11" s="17" t="s">
        <v>67</v>
      </c>
      <c r="T11" s="29"/>
      <c r="U11" s="17" t="s">
        <v>67</v>
      </c>
      <c r="V11" s="16" t="s">
        <v>76</v>
      </c>
      <c r="W11" s="21" t="s">
        <v>77</v>
      </c>
      <c r="X11" s="21"/>
      <c r="Y11" s="22" t="s">
        <v>688</v>
      </c>
      <c r="Z11" s="33">
        <v>12984</v>
      </c>
    </row>
    <row r="12" spans="1:26" ht="15" customHeight="1" x14ac:dyDescent="0.25">
      <c r="A12" s="15">
        <v>10</v>
      </c>
      <c r="B12" s="16" t="s">
        <v>716</v>
      </c>
      <c r="C12" s="15" t="s">
        <v>690</v>
      </c>
      <c r="D12" s="15" t="s">
        <v>717</v>
      </c>
      <c r="E12" s="15" t="s">
        <v>668</v>
      </c>
      <c r="F12" s="15" t="s">
        <v>288</v>
      </c>
      <c r="G12" s="15" t="s">
        <v>63</v>
      </c>
      <c r="H12" s="17" t="s">
        <v>718</v>
      </c>
      <c r="I12" s="24"/>
      <c r="J12" s="32" t="s">
        <v>707</v>
      </c>
      <c r="K12" s="18" t="s">
        <v>530</v>
      </c>
      <c r="L12" s="18"/>
      <c r="M12" s="30" t="s">
        <v>719</v>
      </c>
      <c r="N12" s="30" t="s">
        <v>720</v>
      </c>
      <c r="O12" s="34">
        <v>15500</v>
      </c>
      <c r="P12" s="32" t="s">
        <v>67</v>
      </c>
      <c r="Q12" s="32" t="s">
        <v>67</v>
      </c>
      <c r="R12" s="32" t="s">
        <v>67</v>
      </c>
      <c r="S12" s="32" t="s">
        <v>66</v>
      </c>
      <c r="T12" s="29"/>
      <c r="U12" s="17" t="s">
        <v>67</v>
      </c>
      <c r="V12" s="16" t="s">
        <v>283</v>
      </c>
      <c r="W12" s="21" t="s">
        <v>97</v>
      </c>
      <c r="X12" s="31" t="s">
        <v>721</v>
      </c>
      <c r="Y12" s="22" t="s">
        <v>688</v>
      </c>
      <c r="Z12" s="33">
        <v>11626</v>
      </c>
    </row>
    <row r="13" spans="1:26" ht="15" customHeight="1" x14ac:dyDescent="0.25">
      <c r="A13" s="15">
        <v>11</v>
      </c>
      <c r="B13" s="16" t="s">
        <v>716</v>
      </c>
      <c r="C13" s="15" t="s">
        <v>527</v>
      </c>
      <c r="D13" s="15" t="s">
        <v>722</v>
      </c>
      <c r="E13" s="15" t="s">
        <v>668</v>
      </c>
      <c r="F13" s="15" t="s">
        <v>288</v>
      </c>
      <c r="G13" s="15" t="s">
        <v>74</v>
      </c>
      <c r="H13" s="17" t="s">
        <v>723</v>
      </c>
      <c r="I13" s="17" t="s">
        <v>112</v>
      </c>
      <c r="J13" s="32" t="s">
        <v>702</v>
      </c>
      <c r="K13" s="18" t="s">
        <v>530</v>
      </c>
      <c r="L13" s="23" t="s">
        <v>531</v>
      </c>
      <c r="M13" s="18" t="s">
        <v>724</v>
      </c>
      <c r="N13" s="18"/>
      <c r="O13" s="34">
        <v>6375</v>
      </c>
      <c r="P13" s="17" t="s">
        <v>67</v>
      </c>
      <c r="Q13" s="17" t="s">
        <v>67</v>
      </c>
      <c r="R13" s="17" t="s">
        <v>67</v>
      </c>
      <c r="S13" s="17" t="s">
        <v>67</v>
      </c>
      <c r="T13" s="29"/>
      <c r="U13" s="17" t="s">
        <v>67</v>
      </c>
      <c r="V13" s="16" t="s">
        <v>283</v>
      </c>
      <c r="W13" s="21" t="s">
        <v>97</v>
      </c>
      <c r="X13" s="31" t="s">
        <v>725</v>
      </c>
      <c r="Y13" s="22" t="s">
        <v>688</v>
      </c>
      <c r="Z13" s="33">
        <v>13872</v>
      </c>
    </row>
    <row r="14" spans="1:26" ht="15" customHeight="1" x14ac:dyDescent="0.25">
      <c r="A14" s="15">
        <v>12</v>
      </c>
      <c r="B14" s="16" t="s">
        <v>716</v>
      </c>
      <c r="C14" s="15" t="s">
        <v>179</v>
      </c>
      <c r="D14" s="15" t="s">
        <v>726</v>
      </c>
      <c r="E14" s="15" t="s">
        <v>668</v>
      </c>
      <c r="F14" s="15" t="s">
        <v>288</v>
      </c>
      <c r="G14" s="15" t="s">
        <v>74</v>
      </c>
      <c r="H14" s="17" t="s">
        <v>727</v>
      </c>
      <c r="I14" s="17" t="s">
        <v>112</v>
      </c>
      <c r="J14" s="32" t="s">
        <v>702</v>
      </c>
      <c r="K14" s="18" t="s">
        <v>530</v>
      </c>
      <c r="L14" s="23" t="s">
        <v>531</v>
      </c>
      <c r="M14" s="18" t="s">
        <v>724</v>
      </c>
      <c r="N14" s="18"/>
      <c r="O14" s="34">
        <v>1150</v>
      </c>
      <c r="P14" s="17" t="s">
        <v>67</v>
      </c>
      <c r="Q14" s="17" t="s">
        <v>67</v>
      </c>
      <c r="R14" s="17" t="s">
        <v>67</v>
      </c>
      <c r="S14" s="17" t="s">
        <v>67</v>
      </c>
      <c r="T14" s="29"/>
      <c r="U14" s="17" t="s">
        <v>67</v>
      </c>
      <c r="V14" s="16" t="s">
        <v>283</v>
      </c>
      <c r="W14" s="21" t="s">
        <v>97</v>
      </c>
      <c r="X14" s="31" t="s">
        <v>728</v>
      </c>
      <c r="Y14" s="22" t="s">
        <v>688</v>
      </c>
      <c r="Z14" s="33">
        <v>13874</v>
      </c>
    </row>
    <row r="15" spans="1:26" ht="23.65" customHeight="1" x14ac:dyDescent="0.25">
      <c r="A15" s="15">
        <v>13</v>
      </c>
      <c r="B15" s="16" t="s">
        <v>729</v>
      </c>
      <c r="C15" s="15" t="s">
        <v>233</v>
      </c>
      <c r="D15" s="15" t="s">
        <v>730</v>
      </c>
      <c r="E15" s="15" t="s">
        <v>668</v>
      </c>
      <c r="F15" s="15" t="s">
        <v>288</v>
      </c>
      <c r="G15" s="15" t="s">
        <v>63</v>
      </c>
      <c r="H15" s="17" t="s">
        <v>731</v>
      </c>
      <c r="I15" s="24"/>
      <c r="J15" s="24"/>
      <c r="K15" s="18" t="s">
        <v>732</v>
      </c>
      <c r="L15" s="18"/>
      <c r="M15" s="26"/>
      <c r="N15" s="26"/>
      <c r="O15" s="27"/>
      <c r="P15" s="25"/>
      <c r="Q15" s="25"/>
      <c r="R15" s="25"/>
      <c r="S15" s="17"/>
      <c r="T15" s="29"/>
      <c r="U15" s="17" t="s">
        <v>67</v>
      </c>
      <c r="V15" s="16" t="s">
        <v>96</v>
      </c>
      <c r="W15" s="21" t="s">
        <v>97</v>
      </c>
      <c r="X15" s="21"/>
      <c r="Y15" s="22" t="s">
        <v>688</v>
      </c>
    </row>
    <row r="16" spans="1:26" ht="23.65" customHeight="1" x14ac:dyDescent="0.25">
      <c r="A16" s="15">
        <v>14</v>
      </c>
      <c r="B16" s="16" t="s">
        <v>729</v>
      </c>
      <c r="C16" s="15" t="s">
        <v>146</v>
      </c>
      <c r="D16" s="15" t="s">
        <v>733</v>
      </c>
      <c r="E16" s="15" t="s">
        <v>668</v>
      </c>
      <c r="F16" s="15" t="s">
        <v>288</v>
      </c>
      <c r="G16" s="15" t="s">
        <v>63</v>
      </c>
      <c r="H16" s="32">
        <v>16635</v>
      </c>
      <c r="I16" s="24"/>
      <c r="J16" s="32" t="s">
        <v>707</v>
      </c>
      <c r="K16" s="18" t="s">
        <v>732</v>
      </c>
      <c r="L16" s="18"/>
      <c r="M16" s="30" t="s">
        <v>734</v>
      </c>
      <c r="N16" s="30" t="s">
        <v>735</v>
      </c>
      <c r="O16" s="34">
        <v>9000</v>
      </c>
      <c r="P16" s="32" t="s">
        <v>67</v>
      </c>
      <c r="Q16" s="32" t="s">
        <v>67</v>
      </c>
      <c r="R16" s="32" t="s">
        <v>67</v>
      </c>
      <c r="S16" s="32" t="s">
        <v>67</v>
      </c>
      <c r="T16" s="29"/>
      <c r="U16" s="17" t="s">
        <v>67</v>
      </c>
      <c r="V16" s="16" t="s">
        <v>96</v>
      </c>
      <c r="W16" s="21" t="s">
        <v>97</v>
      </c>
      <c r="X16" s="31" t="s">
        <v>736</v>
      </c>
      <c r="Y16" s="22" t="s">
        <v>737</v>
      </c>
      <c r="Z16" s="33">
        <v>13459</v>
      </c>
    </row>
    <row r="17" spans="1:26" ht="15" customHeight="1" x14ac:dyDescent="0.25">
      <c r="A17" s="15">
        <v>15</v>
      </c>
      <c r="B17" s="16" t="s">
        <v>729</v>
      </c>
      <c r="C17" s="15" t="s">
        <v>179</v>
      </c>
      <c r="D17" s="15" t="s">
        <v>738</v>
      </c>
      <c r="E17" s="15" t="s">
        <v>668</v>
      </c>
      <c r="F17" s="15" t="s">
        <v>288</v>
      </c>
      <c r="G17" s="15" t="s">
        <v>63</v>
      </c>
      <c r="H17" s="17" t="s">
        <v>739</v>
      </c>
      <c r="I17" s="24"/>
      <c r="J17" s="24"/>
      <c r="K17" s="18" t="s">
        <v>732</v>
      </c>
      <c r="L17" s="18"/>
      <c r="M17" s="26"/>
      <c r="N17" s="26"/>
      <c r="O17" s="27"/>
      <c r="P17" s="25"/>
      <c r="Q17" s="25"/>
      <c r="R17" s="25"/>
      <c r="S17" s="17"/>
      <c r="T17" s="29"/>
      <c r="U17" s="17" t="s">
        <v>67</v>
      </c>
      <c r="V17" s="16" t="s">
        <v>76</v>
      </c>
      <c r="W17" s="21" t="s">
        <v>77</v>
      </c>
      <c r="X17" s="21"/>
      <c r="Y17" s="22" t="s">
        <v>688</v>
      </c>
    </row>
    <row r="18" spans="1:26" ht="23.65" customHeight="1" x14ac:dyDescent="0.25">
      <c r="A18" s="15">
        <v>16</v>
      </c>
      <c r="B18" s="16" t="s">
        <v>729</v>
      </c>
      <c r="C18" s="15" t="s">
        <v>322</v>
      </c>
      <c r="D18" s="15" t="s">
        <v>740</v>
      </c>
      <c r="E18" s="15" t="s">
        <v>668</v>
      </c>
      <c r="F18" s="15" t="s">
        <v>288</v>
      </c>
      <c r="G18" s="15" t="s">
        <v>63</v>
      </c>
      <c r="H18" s="17" t="s">
        <v>741</v>
      </c>
      <c r="I18" s="24"/>
      <c r="J18" s="24"/>
      <c r="K18" s="18" t="s">
        <v>732</v>
      </c>
      <c r="L18" s="18"/>
      <c r="M18" s="26"/>
      <c r="N18" s="26"/>
      <c r="O18" s="27"/>
      <c r="P18" s="25"/>
      <c r="Q18" s="25"/>
      <c r="R18" s="25"/>
      <c r="S18" s="17"/>
      <c r="T18" s="29"/>
      <c r="U18" s="17" t="s">
        <v>67</v>
      </c>
      <c r="V18" s="16" t="s">
        <v>96</v>
      </c>
      <c r="W18" s="21" t="s">
        <v>97</v>
      </c>
      <c r="X18" s="21"/>
      <c r="Y18" s="22" t="s">
        <v>688</v>
      </c>
    </row>
    <row r="19" spans="1:26" ht="23.65" customHeight="1" x14ac:dyDescent="0.25">
      <c r="A19" s="15">
        <v>17</v>
      </c>
      <c r="B19" s="16" t="s">
        <v>729</v>
      </c>
      <c r="C19" s="15" t="s">
        <v>193</v>
      </c>
      <c r="D19" s="15" t="s">
        <v>742</v>
      </c>
      <c r="E19" s="15" t="s">
        <v>668</v>
      </c>
      <c r="F19" s="15" t="s">
        <v>288</v>
      </c>
      <c r="G19" s="15" t="s">
        <v>63</v>
      </c>
      <c r="H19" s="17" t="s">
        <v>743</v>
      </c>
      <c r="I19" s="24"/>
      <c r="J19" s="24"/>
      <c r="K19" s="18" t="s">
        <v>732</v>
      </c>
      <c r="L19" s="18"/>
      <c r="M19" s="26"/>
      <c r="N19" s="26"/>
      <c r="O19" s="27"/>
      <c r="P19" s="25"/>
      <c r="Q19" s="25"/>
      <c r="R19" s="25"/>
      <c r="S19" s="17"/>
      <c r="T19" s="29"/>
      <c r="U19" s="17" t="s">
        <v>67</v>
      </c>
      <c r="V19" s="16" t="s">
        <v>96</v>
      </c>
      <c r="W19" s="21" t="s">
        <v>97</v>
      </c>
      <c r="X19" s="21"/>
      <c r="Y19" s="22" t="s">
        <v>688</v>
      </c>
    </row>
    <row r="20" spans="1:26" ht="23.65" customHeight="1" x14ac:dyDescent="0.25">
      <c r="A20" s="15">
        <v>18</v>
      </c>
      <c r="B20" s="16" t="s">
        <v>729</v>
      </c>
      <c r="C20" s="15" t="s">
        <v>523</v>
      </c>
      <c r="D20" s="15" t="s">
        <v>744</v>
      </c>
      <c r="E20" s="15" t="s">
        <v>668</v>
      </c>
      <c r="F20" s="15" t="s">
        <v>288</v>
      </c>
      <c r="G20" s="15" t="s">
        <v>63</v>
      </c>
      <c r="H20" s="17" t="s">
        <v>745</v>
      </c>
      <c r="I20" s="24"/>
      <c r="J20" s="24"/>
      <c r="K20" s="18" t="s">
        <v>732</v>
      </c>
      <c r="L20" s="18"/>
      <c r="M20" s="26"/>
      <c r="N20" s="26"/>
      <c r="O20" s="27"/>
      <c r="P20" s="25"/>
      <c r="Q20" s="25"/>
      <c r="R20" s="25"/>
      <c r="S20" s="17"/>
      <c r="T20" s="29"/>
      <c r="U20" s="17" t="s">
        <v>67</v>
      </c>
      <c r="V20" s="16" t="s">
        <v>96</v>
      </c>
      <c r="W20" s="21" t="s">
        <v>97</v>
      </c>
      <c r="X20" s="21"/>
      <c r="Y20" s="22" t="s">
        <v>688</v>
      </c>
    </row>
    <row r="21" spans="1:26" ht="15" customHeight="1" x14ac:dyDescent="0.25">
      <c r="A21" s="15">
        <v>19</v>
      </c>
      <c r="B21" s="16" t="s">
        <v>746</v>
      </c>
      <c r="C21" s="15" t="s">
        <v>93</v>
      </c>
      <c r="D21" s="15" t="s">
        <v>747</v>
      </c>
      <c r="E21" s="15" t="s">
        <v>668</v>
      </c>
      <c r="F21" s="15" t="s">
        <v>288</v>
      </c>
      <c r="G21" s="15" t="s">
        <v>138</v>
      </c>
      <c r="H21" s="17" t="s">
        <v>748</v>
      </c>
      <c r="I21" s="24"/>
      <c r="J21" s="32" t="s">
        <v>707</v>
      </c>
      <c r="K21" s="26"/>
      <c r="L21" s="26"/>
      <c r="M21" s="30" t="s">
        <v>708</v>
      </c>
      <c r="N21" s="18"/>
      <c r="O21" s="34">
        <v>11400</v>
      </c>
      <c r="P21" s="32" t="s">
        <v>67</v>
      </c>
      <c r="Q21" s="32" t="s">
        <v>67</v>
      </c>
      <c r="R21" s="32" t="s">
        <v>67</v>
      </c>
      <c r="S21" s="32" t="s">
        <v>67</v>
      </c>
      <c r="T21" s="29"/>
      <c r="U21" s="25"/>
      <c r="V21" s="16" t="s">
        <v>76</v>
      </c>
      <c r="W21" s="21" t="s">
        <v>77</v>
      </c>
      <c r="X21" s="21"/>
      <c r="Y21" s="22" t="s">
        <v>688</v>
      </c>
      <c r="Z21" s="33">
        <v>11754</v>
      </c>
    </row>
    <row r="22" spans="1:26" ht="15" customHeight="1" x14ac:dyDescent="0.25">
      <c r="A22" s="15">
        <v>20</v>
      </c>
      <c r="B22" s="16" t="s">
        <v>746</v>
      </c>
      <c r="C22" s="15" t="s">
        <v>749</v>
      </c>
      <c r="D22" s="15" t="s">
        <v>750</v>
      </c>
      <c r="E22" s="15" t="s">
        <v>668</v>
      </c>
      <c r="F22" s="15" t="s">
        <v>288</v>
      </c>
      <c r="G22" s="15" t="s">
        <v>138</v>
      </c>
      <c r="H22" s="17" t="s">
        <v>751</v>
      </c>
      <c r="I22" s="24"/>
      <c r="J22" s="32" t="s">
        <v>707</v>
      </c>
      <c r="K22" s="26"/>
      <c r="L22" s="26"/>
      <c r="M22" s="30" t="s">
        <v>708</v>
      </c>
      <c r="N22" s="18"/>
      <c r="O22" s="34">
        <v>10600</v>
      </c>
      <c r="P22" s="32" t="s">
        <v>67</v>
      </c>
      <c r="Q22" s="32" t="s">
        <v>67</v>
      </c>
      <c r="R22" s="32" t="s">
        <v>67</v>
      </c>
      <c r="S22" s="32" t="s">
        <v>67</v>
      </c>
      <c r="T22" s="29"/>
      <c r="U22" s="25"/>
      <c r="V22" s="16" t="s">
        <v>76</v>
      </c>
      <c r="W22" s="21" t="s">
        <v>77</v>
      </c>
      <c r="X22" s="21"/>
      <c r="Y22" s="22" t="s">
        <v>688</v>
      </c>
      <c r="Z22" s="33">
        <v>11758</v>
      </c>
    </row>
    <row r="23" spans="1:26" ht="23.65" customHeight="1" x14ac:dyDescent="0.25">
      <c r="A23" s="15">
        <v>21</v>
      </c>
      <c r="B23" s="16" t="s">
        <v>746</v>
      </c>
      <c r="C23" s="15" t="s">
        <v>752</v>
      </c>
      <c r="D23" s="15" t="s">
        <v>753</v>
      </c>
      <c r="E23" s="15" t="s">
        <v>668</v>
      </c>
      <c r="F23" s="15" t="s">
        <v>288</v>
      </c>
      <c r="G23" s="15" t="s">
        <v>138</v>
      </c>
      <c r="H23" s="17" t="s">
        <v>754</v>
      </c>
      <c r="I23" s="24"/>
      <c r="J23" s="32" t="s">
        <v>702</v>
      </c>
      <c r="K23" s="26"/>
      <c r="L23" s="26"/>
      <c r="M23" s="30" t="s">
        <v>755</v>
      </c>
      <c r="N23" s="18"/>
      <c r="O23" s="34">
        <v>1600</v>
      </c>
      <c r="P23" s="32" t="s">
        <v>67</v>
      </c>
      <c r="Q23" s="32" t="s">
        <v>67</v>
      </c>
      <c r="R23" s="32" t="s">
        <v>67</v>
      </c>
      <c r="S23" s="32" t="s">
        <v>67</v>
      </c>
      <c r="T23" s="29"/>
      <c r="U23" s="25"/>
      <c r="V23" s="16" t="s">
        <v>68</v>
      </c>
      <c r="W23" s="20" t="s">
        <v>69</v>
      </c>
      <c r="X23" s="21"/>
      <c r="Y23" s="22" t="s">
        <v>675</v>
      </c>
      <c r="Z23" s="33">
        <v>13597</v>
      </c>
    </row>
    <row r="24" spans="1:26" ht="23.65" customHeight="1" x14ac:dyDescent="0.25">
      <c r="A24" s="15">
        <v>22</v>
      </c>
      <c r="B24" s="16" t="s">
        <v>746</v>
      </c>
      <c r="C24" s="15" t="s">
        <v>756</v>
      </c>
      <c r="D24" s="15" t="s">
        <v>757</v>
      </c>
      <c r="E24" s="15" t="s">
        <v>668</v>
      </c>
      <c r="F24" s="15" t="s">
        <v>288</v>
      </c>
      <c r="G24" s="15" t="s">
        <v>138</v>
      </c>
      <c r="H24" s="25"/>
      <c r="I24" s="24"/>
      <c r="J24" s="24"/>
      <c r="K24" s="26"/>
      <c r="L24" s="26"/>
      <c r="M24" s="18"/>
      <c r="N24" s="18"/>
      <c r="O24" s="19"/>
      <c r="P24" s="25"/>
      <c r="Q24" s="25"/>
      <c r="R24" s="25"/>
      <c r="S24" s="17"/>
      <c r="T24" s="29"/>
      <c r="U24" s="25"/>
      <c r="V24" s="16" t="s">
        <v>68</v>
      </c>
      <c r="W24" s="20" t="s">
        <v>69</v>
      </c>
      <c r="X24" s="21"/>
      <c r="Y24" s="22" t="s">
        <v>758</v>
      </c>
    </row>
    <row r="25" spans="1:26" ht="19.149999999999999" customHeight="1" x14ac:dyDescent="0.25">
      <c r="A25" s="15">
        <v>23</v>
      </c>
      <c r="B25" s="16" t="s">
        <v>759</v>
      </c>
      <c r="C25" s="15" t="s">
        <v>285</v>
      </c>
      <c r="D25" s="15" t="s">
        <v>760</v>
      </c>
      <c r="E25" s="15" t="s">
        <v>668</v>
      </c>
      <c r="F25" s="15" t="s">
        <v>288</v>
      </c>
      <c r="G25" s="15" t="s">
        <v>63</v>
      </c>
      <c r="H25" s="32">
        <v>16493</v>
      </c>
      <c r="I25" s="24"/>
      <c r="J25" s="32" t="s">
        <v>761</v>
      </c>
      <c r="K25" s="18"/>
      <c r="L25" s="18"/>
      <c r="M25" s="30" t="s">
        <v>762</v>
      </c>
      <c r="N25" s="30" t="s">
        <v>763</v>
      </c>
      <c r="O25" s="34">
        <v>11714</v>
      </c>
      <c r="P25" s="32" t="s">
        <v>67</v>
      </c>
      <c r="Q25" s="32" t="s">
        <v>67</v>
      </c>
      <c r="R25" s="32" t="s">
        <v>67</v>
      </c>
      <c r="S25" s="32" t="s">
        <v>67</v>
      </c>
      <c r="T25" s="29"/>
      <c r="U25" s="17" t="s">
        <v>67</v>
      </c>
      <c r="V25" s="16" t="s">
        <v>76</v>
      </c>
      <c r="W25" s="21" t="s">
        <v>77</v>
      </c>
      <c r="X25" s="31" t="s">
        <v>764</v>
      </c>
      <c r="Y25" s="22" t="s">
        <v>737</v>
      </c>
      <c r="Z25" s="33">
        <v>11337</v>
      </c>
    </row>
  </sheetData>
  <autoFilter ref="A2:X25" xr:uid="{00000000-0009-0000-0000-000002000000}"/>
  <mergeCells count="1">
    <mergeCell ref="A1:X1"/>
  </mergeCells>
  <dataValidations count="2">
    <dataValidation type="list" allowBlank="1" sqref="P3:T25" xr:uid="{00000000-0002-0000-0200-000000000000}">
      <formula1>"Y,N,N/A"</formula1>
      <formula2>0</formula2>
    </dataValidation>
    <dataValidation type="list" allowBlank="1" sqref="I3:I25" xr:uid="{00000000-0002-0000-0200-000001000000}">
      <formula1>"L1,L1+,L2,L2+,L2-3,L3,L3+"</formula1>
      <formula2>0</formula2>
    </dataValidation>
  </dataValidations>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13"/>
  <sheetViews>
    <sheetView workbookViewId="0">
      <pane ySplit="3" topLeftCell="A4" activePane="bottomLeft" state="frozen"/>
      <selection pane="bottomLeft"/>
    </sheetView>
  </sheetViews>
  <sheetFormatPr defaultColWidth="8.7109375" defaultRowHeight="15" x14ac:dyDescent="0.25"/>
  <cols>
    <col min="1" max="1" width="30" customWidth="1"/>
    <col min="2" max="2" width="18" customWidth="1"/>
    <col min="3" max="3" width="32" customWidth="1"/>
    <col min="4" max="4" width="26" customWidth="1"/>
  </cols>
  <sheetData>
    <row r="1" spans="1:4" ht="17.25" x14ac:dyDescent="0.3">
      <c r="A1" s="35" t="s">
        <v>765</v>
      </c>
    </row>
    <row r="3" spans="1:4" x14ac:dyDescent="0.25">
      <c r="A3" s="36" t="s">
        <v>766</v>
      </c>
    </row>
    <row r="4" spans="1:4" x14ac:dyDescent="0.25">
      <c r="A4" t="s">
        <v>767</v>
      </c>
      <c r="B4" t="s">
        <v>768</v>
      </c>
      <c r="C4" t="s">
        <v>769</v>
      </c>
    </row>
    <row r="5" spans="1:4" x14ac:dyDescent="0.25">
      <c r="A5" t="s">
        <v>770</v>
      </c>
      <c r="B5" t="s">
        <v>771</v>
      </c>
      <c r="C5" t="s">
        <v>772</v>
      </c>
    </row>
    <row r="6" spans="1:4" x14ac:dyDescent="0.25">
      <c r="A6" t="s">
        <v>773</v>
      </c>
      <c r="B6" t="s">
        <v>774</v>
      </c>
      <c r="C6" t="s">
        <v>775</v>
      </c>
    </row>
    <row r="7" spans="1:4" x14ac:dyDescent="0.25">
      <c r="A7" t="s">
        <v>776</v>
      </c>
      <c r="B7" t="s">
        <v>777</v>
      </c>
      <c r="C7" t="s">
        <v>778</v>
      </c>
    </row>
    <row r="8" spans="1:4" x14ac:dyDescent="0.25">
      <c r="A8" t="s">
        <v>779</v>
      </c>
      <c r="B8" t="s">
        <v>780</v>
      </c>
      <c r="C8" t="s">
        <v>781</v>
      </c>
    </row>
    <row r="9" spans="1:4" x14ac:dyDescent="0.25">
      <c r="A9" t="s">
        <v>782</v>
      </c>
      <c r="B9" t="s">
        <v>783</v>
      </c>
      <c r="C9" t="s">
        <v>784</v>
      </c>
    </row>
    <row r="11" spans="1:4" x14ac:dyDescent="0.25">
      <c r="A11" s="36" t="s">
        <v>785</v>
      </c>
    </row>
    <row r="12" spans="1:4" x14ac:dyDescent="0.25">
      <c r="A12" s="37" t="s">
        <v>786</v>
      </c>
      <c r="B12" s="37" t="s">
        <v>35</v>
      </c>
      <c r="C12" s="37" t="s">
        <v>138</v>
      </c>
      <c r="D12" s="37" t="s">
        <v>74</v>
      </c>
    </row>
    <row r="13" spans="1:4" x14ac:dyDescent="0.25">
      <c r="A13" s="37" t="s">
        <v>787</v>
      </c>
      <c r="B13" s="37" t="s">
        <v>35</v>
      </c>
      <c r="C13" s="37" t="s">
        <v>138</v>
      </c>
      <c r="D13" s="37" t="s">
        <v>74</v>
      </c>
    </row>
    <row r="14" spans="1:4" x14ac:dyDescent="0.25">
      <c r="A14" s="37" t="s">
        <v>788</v>
      </c>
      <c r="B14" s="37" t="s">
        <v>35</v>
      </c>
      <c r="C14" s="37" t="s">
        <v>138</v>
      </c>
      <c r="D14" s="37" t="s">
        <v>74</v>
      </c>
    </row>
    <row r="15" spans="1:4" x14ac:dyDescent="0.25">
      <c r="A15" s="37" t="s">
        <v>789</v>
      </c>
      <c r="B15" s="37" t="s">
        <v>41</v>
      </c>
      <c r="C15" s="37" t="s">
        <v>724</v>
      </c>
      <c r="D15" s="37" t="s">
        <v>715</v>
      </c>
    </row>
    <row r="16" spans="1:4" x14ac:dyDescent="0.25">
      <c r="A16" s="37" t="s">
        <v>789</v>
      </c>
      <c r="B16" s="37" t="s">
        <v>50</v>
      </c>
      <c r="C16" s="37" t="s">
        <v>67</v>
      </c>
      <c r="D16" s="37" t="s">
        <v>66</v>
      </c>
    </row>
    <row r="17" spans="1:4" x14ac:dyDescent="0.25">
      <c r="A17" s="37" t="s">
        <v>790</v>
      </c>
      <c r="B17" s="37" t="s">
        <v>41</v>
      </c>
      <c r="C17" s="37" t="s">
        <v>724</v>
      </c>
      <c r="D17" s="37" t="s">
        <v>715</v>
      </c>
    </row>
    <row r="18" spans="1:4" x14ac:dyDescent="0.25">
      <c r="A18" s="37" t="s">
        <v>791</v>
      </c>
      <c r="B18" s="37" t="s">
        <v>35</v>
      </c>
      <c r="C18" s="37" t="s">
        <v>138</v>
      </c>
      <c r="D18" s="37" t="s">
        <v>74</v>
      </c>
    </row>
    <row r="19" spans="1:4" x14ac:dyDescent="0.25">
      <c r="A19" s="37" t="s">
        <v>792</v>
      </c>
      <c r="B19" s="37" t="s">
        <v>35</v>
      </c>
      <c r="C19" s="37" t="s">
        <v>138</v>
      </c>
      <c r="D19" s="37" t="s">
        <v>74</v>
      </c>
    </row>
    <row r="20" spans="1:4" x14ac:dyDescent="0.25">
      <c r="A20" s="37" t="s">
        <v>793</v>
      </c>
      <c r="B20" s="37" t="s">
        <v>35</v>
      </c>
      <c r="C20" s="37" t="s">
        <v>138</v>
      </c>
      <c r="D20" s="37" t="s">
        <v>74</v>
      </c>
    </row>
    <row r="21" spans="1:4" x14ac:dyDescent="0.25">
      <c r="A21" s="37" t="s">
        <v>782</v>
      </c>
      <c r="B21" s="37" t="s">
        <v>35</v>
      </c>
      <c r="C21" s="37" t="s">
        <v>74</v>
      </c>
      <c r="D21" s="37" t="s">
        <v>63</v>
      </c>
    </row>
    <row r="22" spans="1:4" x14ac:dyDescent="0.25">
      <c r="A22" s="37" t="s">
        <v>782</v>
      </c>
      <c r="B22" s="37" t="s">
        <v>794</v>
      </c>
      <c r="C22" s="37" t="s">
        <v>795</v>
      </c>
      <c r="D22" s="37" t="s">
        <v>796</v>
      </c>
    </row>
    <row r="23" spans="1:4" x14ac:dyDescent="0.25">
      <c r="A23" s="37" t="s">
        <v>782</v>
      </c>
      <c r="B23" s="37" t="s">
        <v>44</v>
      </c>
      <c r="C23" s="37" t="s">
        <v>66</v>
      </c>
      <c r="D23" s="37" t="s">
        <v>67</v>
      </c>
    </row>
    <row r="24" spans="1:4" x14ac:dyDescent="0.25">
      <c r="A24" s="37" t="s">
        <v>782</v>
      </c>
      <c r="B24" s="37" t="s">
        <v>48</v>
      </c>
      <c r="C24" s="37" t="s">
        <v>66</v>
      </c>
      <c r="D24" s="37" t="s">
        <v>67</v>
      </c>
    </row>
    <row r="25" spans="1:4" x14ac:dyDescent="0.25">
      <c r="A25" s="37" t="s">
        <v>797</v>
      </c>
      <c r="B25" s="37" t="s">
        <v>35</v>
      </c>
      <c r="C25" s="37" t="s">
        <v>63</v>
      </c>
      <c r="D25" s="37" t="s">
        <v>74</v>
      </c>
    </row>
    <row r="26" spans="1:4" x14ac:dyDescent="0.25">
      <c r="A26" s="37" t="s">
        <v>797</v>
      </c>
      <c r="B26" s="37" t="s">
        <v>38</v>
      </c>
      <c r="C26" s="37" t="s">
        <v>693</v>
      </c>
      <c r="D26" s="37" t="s">
        <v>702</v>
      </c>
    </row>
    <row r="27" spans="1:4" x14ac:dyDescent="0.25">
      <c r="A27" s="37" t="s">
        <v>798</v>
      </c>
      <c r="B27" s="37" t="s">
        <v>794</v>
      </c>
      <c r="C27" s="37" t="s">
        <v>799</v>
      </c>
      <c r="D27" s="37" t="s">
        <v>800</v>
      </c>
    </row>
    <row r="28" spans="1:4" x14ac:dyDescent="0.25">
      <c r="A28" s="37" t="s">
        <v>801</v>
      </c>
      <c r="B28" s="37" t="s">
        <v>50</v>
      </c>
      <c r="C28" s="37" t="s">
        <v>67</v>
      </c>
      <c r="D28" s="37" t="s">
        <v>66</v>
      </c>
    </row>
    <row r="29" spans="1:4" x14ac:dyDescent="0.25">
      <c r="A29" s="37" t="s">
        <v>802</v>
      </c>
      <c r="B29" s="37" t="s">
        <v>42</v>
      </c>
      <c r="C29" s="37" t="s">
        <v>627</v>
      </c>
      <c r="D29" s="37" t="s">
        <v>803</v>
      </c>
    </row>
    <row r="30" spans="1:4" x14ac:dyDescent="0.25">
      <c r="A30" s="37" t="s">
        <v>802</v>
      </c>
      <c r="B30" s="37" t="s">
        <v>794</v>
      </c>
      <c r="C30" s="37" t="s">
        <v>804</v>
      </c>
      <c r="D30" s="37" t="s">
        <v>805</v>
      </c>
    </row>
    <row r="31" spans="1:4" x14ac:dyDescent="0.25">
      <c r="A31" s="37" t="s">
        <v>806</v>
      </c>
      <c r="B31" s="37" t="s">
        <v>42</v>
      </c>
      <c r="C31" s="37" t="s">
        <v>627</v>
      </c>
      <c r="D31" s="37" t="s">
        <v>170</v>
      </c>
    </row>
    <row r="32" spans="1:4" x14ac:dyDescent="0.25">
      <c r="A32" s="37" t="s">
        <v>807</v>
      </c>
      <c r="B32" s="37" t="s">
        <v>36</v>
      </c>
      <c r="C32" s="37" t="s">
        <v>654</v>
      </c>
      <c r="D32" s="37" t="s">
        <v>646</v>
      </c>
    </row>
    <row r="33" spans="1:4" x14ac:dyDescent="0.25">
      <c r="A33" s="37" t="s">
        <v>807</v>
      </c>
      <c r="B33" s="37" t="s">
        <v>42</v>
      </c>
      <c r="C33" s="37" t="s">
        <v>627</v>
      </c>
      <c r="D33" s="37" t="s">
        <v>170</v>
      </c>
    </row>
    <row r="34" spans="1:4" x14ac:dyDescent="0.25">
      <c r="A34" s="37" t="s">
        <v>807</v>
      </c>
      <c r="B34" s="37" t="s">
        <v>794</v>
      </c>
      <c r="C34" s="37" t="s">
        <v>808</v>
      </c>
      <c r="D34" s="37" t="s">
        <v>809</v>
      </c>
    </row>
    <row r="35" spans="1:4" x14ac:dyDescent="0.25">
      <c r="A35" s="37" t="s">
        <v>810</v>
      </c>
      <c r="B35" s="37" t="s">
        <v>42</v>
      </c>
      <c r="C35" s="37" t="s">
        <v>627</v>
      </c>
      <c r="D35" s="37" t="s">
        <v>170</v>
      </c>
    </row>
    <row r="36" spans="1:4" x14ac:dyDescent="0.25">
      <c r="A36" s="37" t="s">
        <v>811</v>
      </c>
      <c r="B36" s="37" t="s">
        <v>36</v>
      </c>
      <c r="C36" s="37" t="s">
        <v>638</v>
      </c>
      <c r="D36" s="37" t="s">
        <v>631</v>
      </c>
    </row>
    <row r="37" spans="1:4" x14ac:dyDescent="0.25">
      <c r="A37" s="37" t="s">
        <v>812</v>
      </c>
      <c r="B37" s="37" t="s">
        <v>41</v>
      </c>
      <c r="C37" s="37" t="s">
        <v>255</v>
      </c>
      <c r="D37" s="37" t="s">
        <v>150</v>
      </c>
    </row>
    <row r="39" spans="1:4" x14ac:dyDescent="0.25">
      <c r="A39" s="28" t="s">
        <v>813</v>
      </c>
    </row>
    <row r="40" spans="1:4" x14ac:dyDescent="0.25">
      <c r="A40" t="s">
        <v>814</v>
      </c>
    </row>
    <row r="41" spans="1:4" x14ac:dyDescent="0.25">
      <c r="A41" t="s">
        <v>815</v>
      </c>
    </row>
    <row r="42" spans="1:4" x14ac:dyDescent="0.25">
      <c r="A42" t="s">
        <v>816</v>
      </c>
    </row>
    <row r="43" spans="1:4" x14ac:dyDescent="0.25">
      <c r="A43" t="s">
        <v>817</v>
      </c>
    </row>
    <row r="44" spans="1:4" x14ac:dyDescent="0.25">
      <c r="A44" t="s">
        <v>818</v>
      </c>
    </row>
    <row r="45" spans="1:4" x14ac:dyDescent="0.25">
      <c r="A45" t="s">
        <v>819</v>
      </c>
    </row>
    <row r="46" spans="1:4" x14ac:dyDescent="0.25">
      <c r="A46" t="s">
        <v>820</v>
      </c>
    </row>
    <row r="48" spans="1:4" x14ac:dyDescent="0.25">
      <c r="A48" s="28" t="s">
        <v>821</v>
      </c>
    </row>
    <row r="49" spans="1:3" x14ac:dyDescent="0.25">
      <c r="A49" t="s">
        <v>767</v>
      </c>
      <c r="B49" t="s">
        <v>59</v>
      </c>
      <c r="C49" t="s">
        <v>822</v>
      </c>
    </row>
    <row r="50" spans="1:3" x14ac:dyDescent="0.25">
      <c r="A50" t="s">
        <v>767</v>
      </c>
      <c r="B50" t="s">
        <v>41</v>
      </c>
      <c r="C50" t="s">
        <v>672</v>
      </c>
    </row>
    <row r="51" spans="1:3" x14ac:dyDescent="0.25">
      <c r="A51" t="s">
        <v>767</v>
      </c>
      <c r="B51" t="s">
        <v>42</v>
      </c>
      <c r="C51" t="s">
        <v>673</v>
      </c>
    </row>
    <row r="52" spans="1:3" x14ac:dyDescent="0.25">
      <c r="A52" t="s">
        <v>767</v>
      </c>
      <c r="B52" t="s">
        <v>794</v>
      </c>
      <c r="C52" t="s">
        <v>823</v>
      </c>
    </row>
    <row r="53" spans="1:3" x14ac:dyDescent="0.25">
      <c r="A53" t="s">
        <v>767</v>
      </c>
      <c r="B53" t="s">
        <v>44</v>
      </c>
      <c r="C53" t="s">
        <v>67</v>
      </c>
    </row>
    <row r="54" spans="1:3" x14ac:dyDescent="0.25">
      <c r="A54" t="s">
        <v>767</v>
      </c>
      <c r="B54" t="s">
        <v>46</v>
      </c>
      <c r="C54" t="s">
        <v>67</v>
      </c>
    </row>
    <row r="55" spans="1:3" x14ac:dyDescent="0.25">
      <c r="A55" t="s">
        <v>767</v>
      </c>
      <c r="B55" t="s">
        <v>48</v>
      </c>
      <c r="C55" t="s">
        <v>67</v>
      </c>
    </row>
    <row r="56" spans="1:3" x14ac:dyDescent="0.25">
      <c r="A56" t="s">
        <v>767</v>
      </c>
      <c r="B56" t="s">
        <v>50</v>
      </c>
      <c r="C56" t="s">
        <v>67</v>
      </c>
    </row>
    <row r="57" spans="1:3" x14ac:dyDescent="0.25">
      <c r="A57" t="s">
        <v>767</v>
      </c>
      <c r="B57" t="s">
        <v>38</v>
      </c>
      <c r="C57" t="s">
        <v>670</v>
      </c>
    </row>
    <row r="58" spans="1:3" x14ac:dyDescent="0.25">
      <c r="A58" t="s">
        <v>767</v>
      </c>
      <c r="B58" t="s">
        <v>824</v>
      </c>
      <c r="C58" t="s">
        <v>825</v>
      </c>
    </row>
    <row r="59" spans="1:3" x14ac:dyDescent="0.25">
      <c r="A59" t="s">
        <v>770</v>
      </c>
      <c r="B59" t="s">
        <v>59</v>
      </c>
      <c r="C59" t="s">
        <v>826</v>
      </c>
    </row>
    <row r="60" spans="1:3" x14ac:dyDescent="0.25">
      <c r="A60" t="s">
        <v>770</v>
      </c>
      <c r="B60" t="s">
        <v>41</v>
      </c>
      <c r="C60" t="s">
        <v>679</v>
      </c>
    </row>
    <row r="61" spans="1:3" x14ac:dyDescent="0.25">
      <c r="A61" t="s">
        <v>770</v>
      </c>
      <c r="B61" t="s">
        <v>42</v>
      </c>
      <c r="C61" t="s">
        <v>680</v>
      </c>
    </row>
    <row r="62" spans="1:3" x14ac:dyDescent="0.25">
      <c r="A62" t="s">
        <v>770</v>
      </c>
      <c r="B62" t="s">
        <v>794</v>
      </c>
      <c r="C62" t="s">
        <v>827</v>
      </c>
    </row>
    <row r="63" spans="1:3" x14ac:dyDescent="0.25">
      <c r="A63" t="s">
        <v>770</v>
      </c>
      <c r="B63" t="s">
        <v>44</v>
      </c>
      <c r="C63" t="s">
        <v>67</v>
      </c>
    </row>
    <row r="64" spans="1:3" x14ac:dyDescent="0.25">
      <c r="A64" t="s">
        <v>770</v>
      </c>
      <c r="B64" t="s">
        <v>46</v>
      </c>
      <c r="C64" t="s">
        <v>67</v>
      </c>
    </row>
    <row r="65" spans="1:3" x14ac:dyDescent="0.25">
      <c r="A65" t="s">
        <v>770</v>
      </c>
      <c r="B65" t="s">
        <v>48</v>
      </c>
      <c r="C65" t="s">
        <v>67</v>
      </c>
    </row>
    <row r="66" spans="1:3" x14ac:dyDescent="0.25">
      <c r="A66" t="s">
        <v>770</v>
      </c>
      <c r="B66" t="s">
        <v>50</v>
      </c>
      <c r="C66" t="s">
        <v>66</v>
      </c>
    </row>
    <row r="67" spans="1:3" x14ac:dyDescent="0.25">
      <c r="A67" t="s">
        <v>770</v>
      </c>
      <c r="B67" t="s">
        <v>38</v>
      </c>
      <c r="C67" t="s">
        <v>670</v>
      </c>
    </row>
    <row r="68" spans="1:3" x14ac:dyDescent="0.25">
      <c r="A68" t="s">
        <v>770</v>
      </c>
      <c r="B68" t="s">
        <v>824</v>
      </c>
      <c r="C68" t="s">
        <v>825</v>
      </c>
    </row>
    <row r="69" spans="1:3" x14ac:dyDescent="0.25">
      <c r="A69" t="s">
        <v>773</v>
      </c>
      <c r="B69" t="s">
        <v>59</v>
      </c>
      <c r="C69" t="s">
        <v>828</v>
      </c>
    </row>
    <row r="70" spans="1:3" x14ac:dyDescent="0.25">
      <c r="A70" t="s">
        <v>773</v>
      </c>
      <c r="B70" t="s">
        <v>41</v>
      </c>
      <c r="C70" t="s">
        <v>685</v>
      </c>
    </row>
    <row r="71" spans="1:3" x14ac:dyDescent="0.25">
      <c r="A71" t="s">
        <v>773</v>
      </c>
      <c r="B71" t="s">
        <v>42</v>
      </c>
      <c r="C71" t="s">
        <v>686</v>
      </c>
    </row>
    <row r="72" spans="1:3" x14ac:dyDescent="0.25">
      <c r="A72" t="s">
        <v>773</v>
      </c>
      <c r="B72" t="s">
        <v>794</v>
      </c>
      <c r="C72" t="s">
        <v>829</v>
      </c>
    </row>
    <row r="73" spans="1:3" x14ac:dyDescent="0.25">
      <c r="A73" t="s">
        <v>773</v>
      </c>
      <c r="B73" t="s">
        <v>44</v>
      </c>
      <c r="C73" t="s">
        <v>67</v>
      </c>
    </row>
    <row r="74" spans="1:3" x14ac:dyDescent="0.25">
      <c r="A74" t="s">
        <v>773</v>
      </c>
      <c r="B74" t="s">
        <v>46</v>
      </c>
      <c r="C74" t="s">
        <v>67</v>
      </c>
    </row>
    <row r="75" spans="1:3" x14ac:dyDescent="0.25">
      <c r="A75" t="s">
        <v>773</v>
      </c>
      <c r="B75" t="s">
        <v>48</v>
      </c>
      <c r="C75" t="s">
        <v>66</v>
      </c>
    </row>
    <row r="76" spans="1:3" x14ac:dyDescent="0.25">
      <c r="A76" t="s">
        <v>773</v>
      </c>
      <c r="B76" t="s">
        <v>50</v>
      </c>
      <c r="C76" t="s">
        <v>66</v>
      </c>
    </row>
    <row r="77" spans="1:3" x14ac:dyDescent="0.25">
      <c r="A77" t="s">
        <v>773</v>
      </c>
      <c r="B77" t="s">
        <v>38</v>
      </c>
      <c r="C77" t="s">
        <v>670</v>
      </c>
    </row>
    <row r="78" spans="1:3" x14ac:dyDescent="0.25">
      <c r="A78" t="s">
        <v>773</v>
      </c>
      <c r="B78" t="s">
        <v>824</v>
      </c>
      <c r="C78" t="s">
        <v>825</v>
      </c>
    </row>
    <row r="79" spans="1:3" x14ac:dyDescent="0.25">
      <c r="A79" t="s">
        <v>830</v>
      </c>
      <c r="B79" t="s">
        <v>59</v>
      </c>
      <c r="C79" t="s">
        <v>831</v>
      </c>
    </row>
    <row r="80" spans="1:3" x14ac:dyDescent="0.25">
      <c r="A80" t="s">
        <v>830</v>
      </c>
      <c r="B80" t="s">
        <v>41</v>
      </c>
      <c r="C80" t="s">
        <v>694</v>
      </c>
    </row>
    <row r="81" spans="1:3" x14ac:dyDescent="0.25">
      <c r="A81" t="s">
        <v>830</v>
      </c>
      <c r="B81" t="s">
        <v>42</v>
      </c>
      <c r="C81" t="s">
        <v>695</v>
      </c>
    </row>
    <row r="82" spans="1:3" x14ac:dyDescent="0.25">
      <c r="A82" t="s">
        <v>830</v>
      </c>
      <c r="B82" t="s">
        <v>794</v>
      </c>
      <c r="C82" t="s">
        <v>832</v>
      </c>
    </row>
    <row r="83" spans="1:3" x14ac:dyDescent="0.25">
      <c r="A83" t="s">
        <v>830</v>
      </c>
      <c r="B83" t="s">
        <v>38</v>
      </c>
      <c r="C83" t="s">
        <v>693</v>
      </c>
    </row>
    <row r="84" spans="1:3" x14ac:dyDescent="0.25">
      <c r="A84" t="s">
        <v>833</v>
      </c>
      <c r="B84" t="s">
        <v>59</v>
      </c>
      <c r="C84" t="s">
        <v>834</v>
      </c>
    </row>
    <row r="85" spans="1:3" x14ac:dyDescent="0.25">
      <c r="A85" t="s">
        <v>833</v>
      </c>
      <c r="B85" t="s">
        <v>41</v>
      </c>
      <c r="C85" t="s">
        <v>685</v>
      </c>
    </row>
    <row r="86" spans="1:3" x14ac:dyDescent="0.25">
      <c r="A86" t="s">
        <v>833</v>
      </c>
      <c r="B86" t="s">
        <v>794</v>
      </c>
      <c r="C86" t="s">
        <v>795</v>
      </c>
    </row>
    <row r="87" spans="1:3" x14ac:dyDescent="0.25">
      <c r="A87" t="s">
        <v>833</v>
      </c>
      <c r="B87" t="s">
        <v>44</v>
      </c>
      <c r="C87" t="s">
        <v>66</v>
      </c>
    </row>
    <row r="88" spans="1:3" x14ac:dyDescent="0.25">
      <c r="A88" t="s">
        <v>833</v>
      </c>
      <c r="B88" t="s">
        <v>46</v>
      </c>
      <c r="C88" t="s">
        <v>67</v>
      </c>
    </row>
    <row r="89" spans="1:3" x14ac:dyDescent="0.25">
      <c r="A89" t="s">
        <v>833</v>
      </c>
      <c r="B89" t="s">
        <v>48</v>
      </c>
      <c r="C89" t="s">
        <v>66</v>
      </c>
    </row>
    <row r="90" spans="1:3" x14ac:dyDescent="0.25">
      <c r="A90" t="s">
        <v>833</v>
      </c>
      <c r="B90" t="s">
        <v>50</v>
      </c>
      <c r="C90" t="s">
        <v>67</v>
      </c>
    </row>
    <row r="91" spans="1:3" x14ac:dyDescent="0.25">
      <c r="A91" t="s">
        <v>833</v>
      </c>
      <c r="B91" t="s">
        <v>38</v>
      </c>
      <c r="C91" t="s">
        <v>702</v>
      </c>
    </row>
    <row r="92" spans="1:3" x14ac:dyDescent="0.25">
      <c r="A92" t="s">
        <v>786</v>
      </c>
      <c r="B92" t="s">
        <v>59</v>
      </c>
      <c r="C92" t="s">
        <v>835</v>
      </c>
    </row>
    <row r="93" spans="1:3" x14ac:dyDescent="0.25">
      <c r="A93" t="s">
        <v>786</v>
      </c>
      <c r="B93" t="s">
        <v>41</v>
      </c>
      <c r="C93" t="s">
        <v>708</v>
      </c>
    </row>
    <row r="94" spans="1:3" x14ac:dyDescent="0.25">
      <c r="A94" t="s">
        <v>786</v>
      </c>
      <c r="B94" t="s">
        <v>794</v>
      </c>
      <c r="C94" t="s">
        <v>836</v>
      </c>
    </row>
    <row r="95" spans="1:3" x14ac:dyDescent="0.25">
      <c r="A95" t="s">
        <v>786</v>
      </c>
      <c r="B95" t="s">
        <v>44</v>
      </c>
      <c r="C95" t="s">
        <v>67</v>
      </c>
    </row>
    <row r="96" spans="1:3" x14ac:dyDescent="0.25">
      <c r="A96" t="s">
        <v>786</v>
      </c>
      <c r="B96" t="s">
        <v>46</v>
      </c>
      <c r="C96" t="s">
        <v>67</v>
      </c>
    </row>
    <row r="97" spans="1:3" x14ac:dyDescent="0.25">
      <c r="A97" t="s">
        <v>786</v>
      </c>
      <c r="B97" t="s">
        <v>48</v>
      </c>
      <c r="C97" t="s">
        <v>67</v>
      </c>
    </row>
    <row r="98" spans="1:3" x14ac:dyDescent="0.25">
      <c r="A98" t="s">
        <v>786</v>
      </c>
      <c r="B98" t="s">
        <v>50</v>
      </c>
      <c r="C98" t="s">
        <v>67</v>
      </c>
    </row>
    <row r="99" spans="1:3" x14ac:dyDescent="0.25">
      <c r="A99" t="s">
        <v>786</v>
      </c>
      <c r="B99" t="s">
        <v>38</v>
      </c>
      <c r="C99" t="s">
        <v>707</v>
      </c>
    </row>
    <row r="100" spans="1:3" x14ac:dyDescent="0.25">
      <c r="A100" t="s">
        <v>787</v>
      </c>
      <c r="B100" t="s">
        <v>59</v>
      </c>
      <c r="C100" t="s">
        <v>837</v>
      </c>
    </row>
    <row r="101" spans="1:3" x14ac:dyDescent="0.25">
      <c r="A101" t="s">
        <v>787</v>
      </c>
      <c r="B101" t="s">
        <v>41</v>
      </c>
      <c r="C101" t="s">
        <v>712</v>
      </c>
    </row>
    <row r="102" spans="1:3" x14ac:dyDescent="0.25">
      <c r="A102" t="s">
        <v>787</v>
      </c>
      <c r="B102" t="s">
        <v>794</v>
      </c>
      <c r="C102" t="s">
        <v>838</v>
      </c>
    </row>
    <row r="103" spans="1:3" x14ac:dyDescent="0.25">
      <c r="A103" t="s">
        <v>787</v>
      </c>
      <c r="B103" t="s">
        <v>44</v>
      </c>
      <c r="C103" t="s">
        <v>67</v>
      </c>
    </row>
    <row r="104" spans="1:3" x14ac:dyDescent="0.25">
      <c r="A104" t="s">
        <v>787</v>
      </c>
      <c r="B104" t="s">
        <v>46</v>
      </c>
      <c r="C104" t="s">
        <v>67</v>
      </c>
    </row>
    <row r="105" spans="1:3" x14ac:dyDescent="0.25">
      <c r="A105" t="s">
        <v>787</v>
      </c>
      <c r="B105" t="s">
        <v>48</v>
      </c>
      <c r="C105" t="s">
        <v>67</v>
      </c>
    </row>
    <row r="106" spans="1:3" x14ac:dyDescent="0.25">
      <c r="A106" t="s">
        <v>787</v>
      </c>
      <c r="B106" t="s">
        <v>50</v>
      </c>
      <c r="C106" t="s">
        <v>67</v>
      </c>
    </row>
    <row r="107" spans="1:3" x14ac:dyDescent="0.25">
      <c r="A107" t="s">
        <v>787</v>
      </c>
      <c r="B107" t="s">
        <v>38</v>
      </c>
      <c r="C107" t="s">
        <v>693</v>
      </c>
    </row>
    <row r="108" spans="1:3" x14ac:dyDescent="0.25">
      <c r="A108" t="s">
        <v>788</v>
      </c>
      <c r="B108" t="s">
        <v>59</v>
      </c>
      <c r="C108" t="s">
        <v>839</v>
      </c>
    </row>
    <row r="109" spans="1:3" x14ac:dyDescent="0.25">
      <c r="A109" t="s">
        <v>788</v>
      </c>
      <c r="B109" t="s">
        <v>41</v>
      </c>
      <c r="C109" t="s">
        <v>715</v>
      </c>
    </row>
    <row r="110" spans="1:3" x14ac:dyDescent="0.25">
      <c r="A110" t="s">
        <v>788</v>
      </c>
      <c r="B110" t="s">
        <v>794</v>
      </c>
      <c r="C110" t="s">
        <v>840</v>
      </c>
    </row>
    <row r="111" spans="1:3" x14ac:dyDescent="0.25">
      <c r="A111" t="s">
        <v>788</v>
      </c>
      <c r="B111" t="s">
        <v>38</v>
      </c>
      <c r="C111" t="s">
        <v>693</v>
      </c>
    </row>
    <row r="112" spans="1:3" x14ac:dyDescent="0.25">
      <c r="A112" t="s">
        <v>776</v>
      </c>
      <c r="B112" t="s">
        <v>59</v>
      </c>
      <c r="C112" t="s">
        <v>841</v>
      </c>
    </row>
    <row r="113" spans="1:3" x14ac:dyDescent="0.25">
      <c r="A113" t="s">
        <v>776</v>
      </c>
      <c r="B113" t="s">
        <v>41</v>
      </c>
      <c r="C113" t="s">
        <v>719</v>
      </c>
    </row>
    <row r="114" spans="1:3" x14ac:dyDescent="0.25">
      <c r="A114" t="s">
        <v>776</v>
      </c>
      <c r="B114" t="s">
        <v>42</v>
      </c>
      <c r="C114" t="s">
        <v>720</v>
      </c>
    </row>
    <row r="115" spans="1:3" x14ac:dyDescent="0.25">
      <c r="A115" t="s">
        <v>776</v>
      </c>
      <c r="B115" t="s">
        <v>794</v>
      </c>
      <c r="C115" t="s">
        <v>842</v>
      </c>
    </row>
    <row r="116" spans="1:3" x14ac:dyDescent="0.25">
      <c r="A116" t="s">
        <v>776</v>
      </c>
      <c r="B116" t="s">
        <v>44</v>
      </c>
      <c r="C116" t="s">
        <v>67</v>
      </c>
    </row>
    <row r="117" spans="1:3" x14ac:dyDescent="0.25">
      <c r="A117" t="s">
        <v>776</v>
      </c>
      <c r="B117" t="s">
        <v>46</v>
      </c>
      <c r="C117" t="s">
        <v>67</v>
      </c>
    </row>
    <row r="118" spans="1:3" x14ac:dyDescent="0.25">
      <c r="A118" t="s">
        <v>776</v>
      </c>
      <c r="B118" t="s">
        <v>48</v>
      </c>
      <c r="C118" t="s">
        <v>67</v>
      </c>
    </row>
    <row r="119" spans="1:3" x14ac:dyDescent="0.25">
      <c r="A119" t="s">
        <v>776</v>
      </c>
      <c r="B119" t="s">
        <v>50</v>
      </c>
      <c r="C119" t="s">
        <v>66</v>
      </c>
    </row>
    <row r="120" spans="1:3" x14ac:dyDescent="0.25">
      <c r="A120" t="s">
        <v>776</v>
      </c>
      <c r="B120" t="s">
        <v>38</v>
      </c>
      <c r="C120" t="s">
        <v>707</v>
      </c>
    </row>
    <row r="121" spans="1:3" x14ac:dyDescent="0.25">
      <c r="A121" t="s">
        <v>776</v>
      </c>
      <c r="B121" t="s">
        <v>824</v>
      </c>
      <c r="C121" t="s">
        <v>825</v>
      </c>
    </row>
    <row r="122" spans="1:3" x14ac:dyDescent="0.25">
      <c r="A122" t="s">
        <v>789</v>
      </c>
      <c r="B122" t="s">
        <v>59</v>
      </c>
      <c r="C122" t="s">
        <v>843</v>
      </c>
    </row>
    <row r="123" spans="1:3" x14ac:dyDescent="0.25">
      <c r="A123" t="s">
        <v>789</v>
      </c>
      <c r="B123" t="s">
        <v>794</v>
      </c>
      <c r="C123" t="s">
        <v>844</v>
      </c>
    </row>
    <row r="124" spans="1:3" x14ac:dyDescent="0.25">
      <c r="A124" t="s">
        <v>789</v>
      </c>
      <c r="B124" t="s">
        <v>38</v>
      </c>
      <c r="C124" t="s">
        <v>702</v>
      </c>
    </row>
    <row r="125" spans="1:3" x14ac:dyDescent="0.25">
      <c r="A125" t="s">
        <v>789</v>
      </c>
      <c r="B125" t="s">
        <v>824</v>
      </c>
      <c r="C125" t="s">
        <v>825</v>
      </c>
    </row>
    <row r="126" spans="1:3" x14ac:dyDescent="0.25">
      <c r="A126" t="s">
        <v>790</v>
      </c>
      <c r="B126" t="s">
        <v>59</v>
      </c>
      <c r="C126" t="s">
        <v>845</v>
      </c>
    </row>
    <row r="127" spans="1:3" x14ac:dyDescent="0.25">
      <c r="A127" t="s">
        <v>790</v>
      </c>
      <c r="B127" t="s">
        <v>794</v>
      </c>
      <c r="C127" t="s">
        <v>846</v>
      </c>
    </row>
    <row r="128" spans="1:3" x14ac:dyDescent="0.25">
      <c r="A128" t="s">
        <v>790</v>
      </c>
      <c r="B128" t="s">
        <v>38</v>
      </c>
      <c r="C128" t="s">
        <v>702</v>
      </c>
    </row>
    <row r="129" spans="1:3" x14ac:dyDescent="0.25">
      <c r="A129" t="s">
        <v>790</v>
      </c>
      <c r="B129" t="s">
        <v>824</v>
      </c>
      <c r="C129" t="s">
        <v>825</v>
      </c>
    </row>
    <row r="130" spans="1:3" x14ac:dyDescent="0.25">
      <c r="A130" t="s">
        <v>847</v>
      </c>
      <c r="B130" t="s">
        <v>59</v>
      </c>
      <c r="C130" t="s">
        <v>848</v>
      </c>
    </row>
    <row r="131" spans="1:3" x14ac:dyDescent="0.25">
      <c r="A131" t="s">
        <v>847</v>
      </c>
      <c r="B131" t="s">
        <v>41</v>
      </c>
      <c r="C131" t="s">
        <v>849</v>
      </c>
    </row>
    <row r="132" spans="1:3" x14ac:dyDescent="0.25">
      <c r="A132" t="s">
        <v>847</v>
      </c>
      <c r="B132" t="s">
        <v>42</v>
      </c>
      <c r="C132" t="s">
        <v>850</v>
      </c>
    </row>
    <row r="133" spans="1:3" x14ac:dyDescent="0.25">
      <c r="A133" t="s">
        <v>847</v>
      </c>
      <c r="B133" t="s">
        <v>794</v>
      </c>
      <c r="C133" t="s">
        <v>851</v>
      </c>
    </row>
    <row r="134" spans="1:3" x14ac:dyDescent="0.25">
      <c r="A134" t="s">
        <v>847</v>
      </c>
      <c r="B134" t="s">
        <v>44</v>
      </c>
      <c r="C134" t="s">
        <v>67</v>
      </c>
    </row>
    <row r="135" spans="1:3" x14ac:dyDescent="0.25">
      <c r="A135" t="s">
        <v>847</v>
      </c>
      <c r="B135" t="s">
        <v>46</v>
      </c>
      <c r="C135" t="s">
        <v>67</v>
      </c>
    </row>
    <row r="136" spans="1:3" x14ac:dyDescent="0.25">
      <c r="A136" t="s">
        <v>847</v>
      </c>
      <c r="B136" t="s">
        <v>48</v>
      </c>
      <c r="C136" t="s">
        <v>67</v>
      </c>
    </row>
    <row r="137" spans="1:3" x14ac:dyDescent="0.25">
      <c r="A137" t="s">
        <v>847</v>
      </c>
      <c r="B137" t="s">
        <v>50</v>
      </c>
      <c r="C137" t="s">
        <v>66</v>
      </c>
    </row>
    <row r="138" spans="1:3" x14ac:dyDescent="0.25">
      <c r="A138" t="s">
        <v>847</v>
      </c>
      <c r="B138" t="s">
        <v>824</v>
      </c>
      <c r="C138" t="s">
        <v>825</v>
      </c>
    </row>
    <row r="139" spans="1:3" x14ac:dyDescent="0.25">
      <c r="A139" t="s">
        <v>852</v>
      </c>
      <c r="B139" t="s">
        <v>59</v>
      </c>
      <c r="C139" t="s">
        <v>853</v>
      </c>
    </row>
    <row r="140" spans="1:3" x14ac:dyDescent="0.25">
      <c r="A140" t="s">
        <v>852</v>
      </c>
      <c r="B140" t="s">
        <v>41</v>
      </c>
      <c r="C140" t="s">
        <v>854</v>
      </c>
    </row>
    <row r="141" spans="1:3" x14ac:dyDescent="0.25">
      <c r="A141" t="s">
        <v>852</v>
      </c>
      <c r="B141" t="s">
        <v>42</v>
      </c>
      <c r="C141" t="s">
        <v>855</v>
      </c>
    </row>
    <row r="142" spans="1:3" x14ac:dyDescent="0.25">
      <c r="A142" t="s">
        <v>852</v>
      </c>
      <c r="B142" t="s">
        <v>794</v>
      </c>
      <c r="C142" t="s">
        <v>851</v>
      </c>
    </row>
    <row r="143" spans="1:3" x14ac:dyDescent="0.25">
      <c r="A143" t="s">
        <v>852</v>
      </c>
      <c r="B143" t="s">
        <v>44</v>
      </c>
      <c r="C143" t="s">
        <v>67</v>
      </c>
    </row>
    <row r="144" spans="1:3" x14ac:dyDescent="0.25">
      <c r="A144" t="s">
        <v>852</v>
      </c>
      <c r="B144" t="s">
        <v>46</v>
      </c>
      <c r="C144" t="s">
        <v>67</v>
      </c>
    </row>
    <row r="145" spans="1:3" x14ac:dyDescent="0.25">
      <c r="A145" t="s">
        <v>852</v>
      </c>
      <c r="B145" t="s">
        <v>48</v>
      </c>
      <c r="C145" t="s">
        <v>67</v>
      </c>
    </row>
    <row r="146" spans="1:3" x14ac:dyDescent="0.25">
      <c r="A146" t="s">
        <v>852</v>
      </c>
      <c r="B146" t="s">
        <v>50</v>
      </c>
      <c r="C146" t="s">
        <v>66</v>
      </c>
    </row>
    <row r="147" spans="1:3" x14ac:dyDescent="0.25">
      <c r="A147" t="s">
        <v>852</v>
      </c>
      <c r="B147" t="s">
        <v>824</v>
      </c>
      <c r="C147" t="s">
        <v>825</v>
      </c>
    </row>
    <row r="148" spans="1:3" x14ac:dyDescent="0.25">
      <c r="A148" t="s">
        <v>779</v>
      </c>
      <c r="B148" t="s">
        <v>59</v>
      </c>
      <c r="C148" t="s">
        <v>856</v>
      </c>
    </row>
    <row r="149" spans="1:3" x14ac:dyDescent="0.25">
      <c r="A149" t="s">
        <v>779</v>
      </c>
      <c r="B149" t="s">
        <v>41</v>
      </c>
      <c r="C149" t="s">
        <v>854</v>
      </c>
    </row>
    <row r="150" spans="1:3" x14ac:dyDescent="0.25">
      <c r="A150" t="s">
        <v>779</v>
      </c>
      <c r="B150" t="s">
        <v>42</v>
      </c>
      <c r="C150" t="s">
        <v>735</v>
      </c>
    </row>
    <row r="151" spans="1:3" x14ac:dyDescent="0.25">
      <c r="A151" t="s">
        <v>779</v>
      </c>
      <c r="B151" t="s">
        <v>794</v>
      </c>
      <c r="C151" t="s">
        <v>857</v>
      </c>
    </row>
    <row r="152" spans="1:3" x14ac:dyDescent="0.25">
      <c r="A152" t="s">
        <v>779</v>
      </c>
      <c r="B152" t="s">
        <v>44</v>
      </c>
      <c r="C152" t="s">
        <v>67</v>
      </c>
    </row>
    <row r="153" spans="1:3" x14ac:dyDescent="0.25">
      <c r="A153" t="s">
        <v>779</v>
      </c>
      <c r="B153" t="s">
        <v>46</v>
      </c>
      <c r="C153" t="s">
        <v>67</v>
      </c>
    </row>
    <row r="154" spans="1:3" x14ac:dyDescent="0.25">
      <c r="A154" t="s">
        <v>779</v>
      </c>
      <c r="B154" t="s">
        <v>48</v>
      </c>
      <c r="C154" t="s">
        <v>67</v>
      </c>
    </row>
    <row r="155" spans="1:3" x14ac:dyDescent="0.25">
      <c r="A155" t="s">
        <v>779</v>
      </c>
      <c r="B155" t="s">
        <v>50</v>
      </c>
      <c r="C155" t="s">
        <v>66</v>
      </c>
    </row>
    <row r="156" spans="1:3" x14ac:dyDescent="0.25">
      <c r="A156" t="s">
        <v>779</v>
      </c>
      <c r="B156" t="s">
        <v>824</v>
      </c>
      <c r="C156" t="s">
        <v>825</v>
      </c>
    </row>
    <row r="157" spans="1:3" x14ac:dyDescent="0.25">
      <c r="A157" t="s">
        <v>858</v>
      </c>
      <c r="B157" t="s">
        <v>59</v>
      </c>
      <c r="C157" t="s">
        <v>859</v>
      </c>
    </row>
    <row r="158" spans="1:3" x14ac:dyDescent="0.25">
      <c r="A158" t="s">
        <v>858</v>
      </c>
      <c r="B158" t="s">
        <v>41</v>
      </c>
      <c r="C158" t="s">
        <v>854</v>
      </c>
    </row>
    <row r="159" spans="1:3" x14ac:dyDescent="0.25">
      <c r="A159" t="s">
        <v>858</v>
      </c>
      <c r="B159" t="s">
        <v>42</v>
      </c>
      <c r="C159" t="s">
        <v>860</v>
      </c>
    </row>
    <row r="160" spans="1:3" x14ac:dyDescent="0.25">
      <c r="A160" t="s">
        <v>858</v>
      </c>
      <c r="B160" t="s">
        <v>794</v>
      </c>
      <c r="C160" t="s">
        <v>851</v>
      </c>
    </row>
    <row r="161" spans="1:3" x14ac:dyDescent="0.25">
      <c r="A161" t="s">
        <v>858</v>
      </c>
      <c r="B161" t="s">
        <v>44</v>
      </c>
      <c r="C161" t="s">
        <v>67</v>
      </c>
    </row>
    <row r="162" spans="1:3" x14ac:dyDescent="0.25">
      <c r="A162" t="s">
        <v>858</v>
      </c>
      <c r="B162" t="s">
        <v>46</v>
      </c>
      <c r="C162" t="s">
        <v>67</v>
      </c>
    </row>
    <row r="163" spans="1:3" x14ac:dyDescent="0.25">
      <c r="A163" t="s">
        <v>858</v>
      </c>
      <c r="B163" t="s">
        <v>48</v>
      </c>
      <c r="C163" t="s">
        <v>67</v>
      </c>
    </row>
    <row r="164" spans="1:3" x14ac:dyDescent="0.25">
      <c r="A164" t="s">
        <v>858</v>
      </c>
      <c r="B164" t="s">
        <v>50</v>
      </c>
      <c r="C164" t="s">
        <v>66</v>
      </c>
    </row>
    <row r="165" spans="1:3" x14ac:dyDescent="0.25">
      <c r="A165" t="s">
        <v>858</v>
      </c>
      <c r="B165" t="s">
        <v>824</v>
      </c>
      <c r="C165" t="s">
        <v>825</v>
      </c>
    </row>
    <row r="166" spans="1:3" x14ac:dyDescent="0.25">
      <c r="A166" t="s">
        <v>861</v>
      </c>
      <c r="B166" t="s">
        <v>59</v>
      </c>
      <c r="C166" t="s">
        <v>862</v>
      </c>
    </row>
    <row r="167" spans="1:3" x14ac:dyDescent="0.25">
      <c r="A167" t="s">
        <v>861</v>
      </c>
      <c r="B167" t="s">
        <v>41</v>
      </c>
      <c r="C167" t="s">
        <v>719</v>
      </c>
    </row>
    <row r="168" spans="1:3" x14ac:dyDescent="0.25">
      <c r="A168" t="s">
        <v>861</v>
      </c>
      <c r="B168" t="s">
        <v>42</v>
      </c>
      <c r="C168" t="s">
        <v>863</v>
      </c>
    </row>
    <row r="169" spans="1:3" x14ac:dyDescent="0.25">
      <c r="A169" t="s">
        <v>861</v>
      </c>
      <c r="B169" t="s">
        <v>794</v>
      </c>
      <c r="C169" t="s">
        <v>851</v>
      </c>
    </row>
    <row r="170" spans="1:3" x14ac:dyDescent="0.25">
      <c r="A170" t="s">
        <v>861</v>
      </c>
      <c r="B170" t="s">
        <v>44</v>
      </c>
      <c r="C170" t="s">
        <v>67</v>
      </c>
    </row>
    <row r="171" spans="1:3" x14ac:dyDescent="0.25">
      <c r="A171" t="s">
        <v>861</v>
      </c>
      <c r="B171" t="s">
        <v>46</v>
      </c>
      <c r="C171" t="s">
        <v>67</v>
      </c>
    </row>
    <row r="172" spans="1:3" x14ac:dyDescent="0.25">
      <c r="A172" t="s">
        <v>861</v>
      </c>
      <c r="B172" t="s">
        <v>48</v>
      </c>
      <c r="C172" t="s">
        <v>67</v>
      </c>
    </row>
    <row r="173" spans="1:3" x14ac:dyDescent="0.25">
      <c r="A173" t="s">
        <v>861</v>
      </c>
      <c r="B173" t="s">
        <v>50</v>
      </c>
      <c r="C173" t="s">
        <v>66</v>
      </c>
    </row>
    <row r="174" spans="1:3" x14ac:dyDescent="0.25">
      <c r="A174" t="s">
        <v>861</v>
      </c>
      <c r="B174" t="s">
        <v>824</v>
      </c>
      <c r="C174" t="s">
        <v>825</v>
      </c>
    </row>
    <row r="175" spans="1:3" x14ac:dyDescent="0.25">
      <c r="A175" t="s">
        <v>864</v>
      </c>
      <c r="B175" t="s">
        <v>59</v>
      </c>
      <c r="C175" t="s">
        <v>865</v>
      </c>
    </row>
    <row r="176" spans="1:3" x14ac:dyDescent="0.25">
      <c r="A176" t="s">
        <v>864</v>
      </c>
      <c r="B176" t="s">
        <v>41</v>
      </c>
      <c r="C176" t="s">
        <v>719</v>
      </c>
    </row>
    <row r="177" spans="1:3" x14ac:dyDescent="0.25">
      <c r="A177" t="s">
        <v>864</v>
      </c>
      <c r="B177" t="s">
        <v>42</v>
      </c>
      <c r="C177" t="s">
        <v>866</v>
      </c>
    </row>
    <row r="178" spans="1:3" x14ac:dyDescent="0.25">
      <c r="A178" t="s">
        <v>864</v>
      </c>
      <c r="B178" t="s">
        <v>794</v>
      </c>
      <c r="C178" t="s">
        <v>851</v>
      </c>
    </row>
    <row r="179" spans="1:3" x14ac:dyDescent="0.25">
      <c r="A179" t="s">
        <v>864</v>
      </c>
      <c r="B179" t="s">
        <v>44</v>
      </c>
      <c r="C179" t="s">
        <v>67</v>
      </c>
    </row>
    <row r="180" spans="1:3" x14ac:dyDescent="0.25">
      <c r="A180" t="s">
        <v>864</v>
      </c>
      <c r="B180" t="s">
        <v>46</v>
      </c>
      <c r="C180" t="s">
        <v>67</v>
      </c>
    </row>
    <row r="181" spans="1:3" x14ac:dyDescent="0.25">
      <c r="A181" t="s">
        <v>864</v>
      </c>
      <c r="B181" t="s">
        <v>48</v>
      </c>
      <c r="C181" t="s">
        <v>67</v>
      </c>
    </row>
    <row r="182" spans="1:3" x14ac:dyDescent="0.25">
      <c r="A182" t="s">
        <v>864</v>
      </c>
      <c r="B182" t="s">
        <v>50</v>
      </c>
      <c r="C182" t="s">
        <v>66</v>
      </c>
    </row>
    <row r="183" spans="1:3" x14ac:dyDescent="0.25">
      <c r="A183" t="s">
        <v>864</v>
      </c>
      <c r="B183" t="s">
        <v>824</v>
      </c>
      <c r="C183" t="s">
        <v>825</v>
      </c>
    </row>
    <row r="184" spans="1:3" x14ac:dyDescent="0.25">
      <c r="A184" t="s">
        <v>867</v>
      </c>
      <c r="B184" t="s">
        <v>59</v>
      </c>
      <c r="C184" t="s">
        <v>868</v>
      </c>
    </row>
    <row r="185" spans="1:3" x14ac:dyDescent="0.25">
      <c r="A185" t="s">
        <v>867</v>
      </c>
      <c r="B185" t="s">
        <v>41</v>
      </c>
      <c r="C185" t="s">
        <v>734</v>
      </c>
    </row>
    <row r="186" spans="1:3" x14ac:dyDescent="0.25">
      <c r="A186" t="s">
        <v>867</v>
      </c>
      <c r="B186" t="s">
        <v>42</v>
      </c>
      <c r="C186" t="s">
        <v>869</v>
      </c>
    </row>
    <row r="187" spans="1:3" x14ac:dyDescent="0.25">
      <c r="A187" t="s">
        <v>867</v>
      </c>
      <c r="B187" t="s">
        <v>794</v>
      </c>
      <c r="C187" t="s">
        <v>870</v>
      </c>
    </row>
    <row r="188" spans="1:3" x14ac:dyDescent="0.25">
      <c r="A188" t="s">
        <v>867</v>
      </c>
      <c r="B188" t="s">
        <v>44</v>
      </c>
      <c r="C188" t="s">
        <v>67</v>
      </c>
    </row>
    <row r="189" spans="1:3" x14ac:dyDescent="0.25">
      <c r="A189" t="s">
        <v>867</v>
      </c>
      <c r="B189" t="s">
        <v>46</v>
      </c>
      <c r="C189" t="s">
        <v>67</v>
      </c>
    </row>
    <row r="190" spans="1:3" x14ac:dyDescent="0.25">
      <c r="A190" t="s">
        <v>867</v>
      </c>
      <c r="B190" t="s">
        <v>48</v>
      </c>
      <c r="C190" t="s">
        <v>67</v>
      </c>
    </row>
    <row r="191" spans="1:3" x14ac:dyDescent="0.25">
      <c r="A191" t="s">
        <v>867</v>
      </c>
      <c r="B191" t="s">
        <v>50</v>
      </c>
      <c r="C191" t="s">
        <v>66</v>
      </c>
    </row>
    <row r="192" spans="1:3" x14ac:dyDescent="0.25">
      <c r="A192" t="s">
        <v>867</v>
      </c>
      <c r="B192" t="s">
        <v>824</v>
      </c>
      <c r="C192" t="s">
        <v>825</v>
      </c>
    </row>
    <row r="193" spans="1:3" x14ac:dyDescent="0.25">
      <c r="A193" t="s">
        <v>871</v>
      </c>
      <c r="B193" t="s">
        <v>59</v>
      </c>
      <c r="C193" t="s">
        <v>872</v>
      </c>
    </row>
    <row r="194" spans="1:3" x14ac:dyDescent="0.25">
      <c r="A194" t="s">
        <v>871</v>
      </c>
      <c r="B194" t="s">
        <v>41</v>
      </c>
      <c r="C194" t="s">
        <v>708</v>
      </c>
    </row>
    <row r="195" spans="1:3" x14ac:dyDescent="0.25">
      <c r="A195" t="s">
        <v>871</v>
      </c>
      <c r="B195" t="s">
        <v>42</v>
      </c>
      <c r="C195" t="s">
        <v>873</v>
      </c>
    </row>
    <row r="196" spans="1:3" x14ac:dyDescent="0.25">
      <c r="A196" t="s">
        <v>871</v>
      </c>
      <c r="B196" t="s">
        <v>794</v>
      </c>
      <c r="C196" t="s">
        <v>851</v>
      </c>
    </row>
    <row r="197" spans="1:3" x14ac:dyDescent="0.25">
      <c r="A197" t="s">
        <v>871</v>
      </c>
      <c r="B197" t="s">
        <v>44</v>
      </c>
      <c r="C197" t="s">
        <v>67</v>
      </c>
    </row>
    <row r="198" spans="1:3" x14ac:dyDescent="0.25">
      <c r="A198" t="s">
        <v>871</v>
      </c>
      <c r="B198" t="s">
        <v>46</v>
      </c>
      <c r="C198" t="s">
        <v>67</v>
      </c>
    </row>
    <row r="199" spans="1:3" x14ac:dyDescent="0.25">
      <c r="A199" t="s">
        <v>871</v>
      </c>
      <c r="B199" t="s">
        <v>48</v>
      </c>
      <c r="C199" t="s">
        <v>67</v>
      </c>
    </row>
    <row r="200" spans="1:3" x14ac:dyDescent="0.25">
      <c r="A200" t="s">
        <v>871</v>
      </c>
      <c r="B200" t="s">
        <v>50</v>
      </c>
      <c r="C200" t="s">
        <v>67</v>
      </c>
    </row>
    <row r="201" spans="1:3" x14ac:dyDescent="0.25">
      <c r="A201" t="s">
        <v>871</v>
      </c>
      <c r="B201" t="s">
        <v>824</v>
      </c>
      <c r="C201" t="s">
        <v>825</v>
      </c>
    </row>
    <row r="202" spans="1:3" x14ac:dyDescent="0.25">
      <c r="A202" t="s">
        <v>874</v>
      </c>
      <c r="B202" t="s">
        <v>59</v>
      </c>
      <c r="C202" t="s">
        <v>875</v>
      </c>
    </row>
    <row r="203" spans="1:3" x14ac:dyDescent="0.25">
      <c r="A203" t="s">
        <v>874</v>
      </c>
      <c r="B203" t="s">
        <v>41</v>
      </c>
      <c r="C203" t="s">
        <v>854</v>
      </c>
    </row>
    <row r="204" spans="1:3" x14ac:dyDescent="0.25">
      <c r="A204" t="s">
        <v>874</v>
      </c>
      <c r="B204" t="s">
        <v>42</v>
      </c>
      <c r="C204" t="s">
        <v>735</v>
      </c>
    </row>
    <row r="205" spans="1:3" x14ac:dyDescent="0.25">
      <c r="A205" t="s">
        <v>874</v>
      </c>
      <c r="B205" t="s">
        <v>794</v>
      </c>
      <c r="C205" t="s">
        <v>851</v>
      </c>
    </row>
    <row r="206" spans="1:3" x14ac:dyDescent="0.25">
      <c r="A206" t="s">
        <v>874</v>
      </c>
      <c r="B206" t="s">
        <v>44</v>
      </c>
      <c r="C206" t="s">
        <v>67</v>
      </c>
    </row>
    <row r="207" spans="1:3" x14ac:dyDescent="0.25">
      <c r="A207" t="s">
        <v>874</v>
      </c>
      <c r="B207" t="s">
        <v>46</v>
      </c>
      <c r="C207" t="s">
        <v>67</v>
      </c>
    </row>
    <row r="208" spans="1:3" x14ac:dyDescent="0.25">
      <c r="A208" t="s">
        <v>874</v>
      </c>
      <c r="B208" t="s">
        <v>48</v>
      </c>
      <c r="C208" t="s">
        <v>67</v>
      </c>
    </row>
    <row r="209" spans="1:3" x14ac:dyDescent="0.25">
      <c r="A209" t="s">
        <v>874</v>
      </c>
      <c r="B209" t="s">
        <v>50</v>
      </c>
      <c r="C209" t="s">
        <v>66</v>
      </c>
    </row>
    <row r="210" spans="1:3" x14ac:dyDescent="0.25">
      <c r="A210" t="s">
        <v>874</v>
      </c>
      <c r="B210" t="s">
        <v>824</v>
      </c>
      <c r="C210" t="s">
        <v>825</v>
      </c>
    </row>
    <row r="211" spans="1:3" x14ac:dyDescent="0.25">
      <c r="A211" t="s">
        <v>876</v>
      </c>
      <c r="B211" t="s">
        <v>59</v>
      </c>
      <c r="C211" t="s">
        <v>877</v>
      </c>
    </row>
    <row r="212" spans="1:3" x14ac:dyDescent="0.25">
      <c r="A212" t="s">
        <v>876</v>
      </c>
      <c r="B212" t="s">
        <v>41</v>
      </c>
      <c r="C212" t="s">
        <v>878</v>
      </c>
    </row>
    <row r="213" spans="1:3" x14ac:dyDescent="0.25">
      <c r="A213" t="s">
        <v>876</v>
      </c>
      <c r="B213" t="s">
        <v>42</v>
      </c>
      <c r="C213" t="s">
        <v>735</v>
      </c>
    </row>
    <row r="214" spans="1:3" x14ac:dyDescent="0.25">
      <c r="A214" t="s">
        <v>876</v>
      </c>
      <c r="B214" t="s">
        <v>794</v>
      </c>
      <c r="C214" t="s">
        <v>870</v>
      </c>
    </row>
    <row r="215" spans="1:3" x14ac:dyDescent="0.25">
      <c r="A215" t="s">
        <v>876</v>
      </c>
      <c r="B215" t="s">
        <v>44</v>
      </c>
      <c r="C215" t="s">
        <v>67</v>
      </c>
    </row>
    <row r="216" spans="1:3" x14ac:dyDescent="0.25">
      <c r="A216" t="s">
        <v>876</v>
      </c>
      <c r="B216" t="s">
        <v>46</v>
      </c>
      <c r="C216" t="s">
        <v>67</v>
      </c>
    </row>
    <row r="217" spans="1:3" x14ac:dyDescent="0.25">
      <c r="A217" t="s">
        <v>876</v>
      </c>
      <c r="B217" t="s">
        <v>48</v>
      </c>
      <c r="C217" t="s">
        <v>67</v>
      </c>
    </row>
    <row r="218" spans="1:3" x14ac:dyDescent="0.25">
      <c r="A218" t="s">
        <v>876</v>
      </c>
      <c r="B218" t="s">
        <v>50</v>
      </c>
      <c r="C218" t="s">
        <v>66</v>
      </c>
    </row>
    <row r="219" spans="1:3" x14ac:dyDescent="0.25">
      <c r="A219" t="s">
        <v>876</v>
      </c>
      <c r="B219" t="s">
        <v>824</v>
      </c>
      <c r="C219" t="s">
        <v>825</v>
      </c>
    </row>
    <row r="220" spans="1:3" x14ac:dyDescent="0.25">
      <c r="A220" t="s">
        <v>879</v>
      </c>
      <c r="B220" t="s">
        <v>36</v>
      </c>
      <c r="C220" t="s">
        <v>880</v>
      </c>
    </row>
    <row r="221" spans="1:3" x14ac:dyDescent="0.25">
      <c r="A221" t="s">
        <v>879</v>
      </c>
      <c r="B221" t="s">
        <v>59</v>
      </c>
      <c r="C221" t="s">
        <v>881</v>
      </c>
    </row>
    <row r="222" spans="1:3" x14ac:dyDescent="0.25">
      <c r="A222" t="s">
        <v>879</v>
      </c>
      <c r="B222" t="s">
        <v>41</v>
      </c>
      <c r="C222" t="s">
        <v>882</v>
      </c>
    </row>
    <row r="223" spans="1:3" x14ac:dyDescent="0.25">
      <c r="A223" t="s">
        <v>879</v>
      </c>
      <c r="B223" t="s">
        <v>42</v>
      </c>
      <c r="C223" t="s">
        <v>679</v>
      </c>
    </row>
    <row r="224" spans="1:3" x14ac:dyDescent="0.25">
      <c r="A224" t="s">
        <v>879</v>
      </c>
      <c r="B224" t="s">
        <v>794</v>
      </c>
      <c r="C224" t="s">
        <v>851</v>
      </c>
    </row>
    <row r="225" spans="1:3" x14ac:dyDescent="0.25">
      <c r="A225" t="s">
        <v>879</v>
      </c>
      <c r="B225" t="s">
        <v>44</v>
      </c>
      <c r="C225" t="s">
        <v>67</v>
      </c>
    </row>
    <row r="226" spans="1:3" x14ac:dyDescent="0.25">
      <c r="A226" t="s">
        <v>879</v>
      </c>
      <c r="B226" t="s">
        <v>46</v>
      </c>
      <c r="C226" t="s">
        <v>67</v>
      </c>
    </row>
    <row r="227" spans="1:3" x14ac:dyDescent="0.25">
      <c r="A227" t="s">
        <v>879</v>
      </c>
      <c r="B227" t="s">
        <v>48</v>
      </c>
      <c r="C227" t="s">
        <v>67</v>
      </c>
    </row>
    <row r="228" spans="1:3" x14ac:dyDescent="0.25">
      <c r="A228" t="s">
        <v>879</v>
      </c>
      <c r="B228" t="s">
        <v>50</v>
      </c>
      <c r="C228" t="s">
        <v>67</v>
      </c>
    </row>
    <row r="229" spans="1:3" x14ac:dyDescent="0.25">
      <c r="A229" t="s">
        <v>879</v>
      </c>
      <c r="B229" t="s">
        <v>824</v>
      </c>
      <c r="C229" t="s">
        <v>825</v>
      </c>
    </row>
    <row r="230" spans="1:3" x14ac:dyDescent="0.25">
      <c r="A230" t="s">
        <v>883</v>
      </c>
      <c r="B230" t="s">
        <v>36</v>
      </c>
      <c r="C230" t="s">
        <v>884</v>
      </c>
    </row>
    <row r="231" spans="1:3" x14ac:dyDescent="0.25">
      <c r="A231" t="s">
        <v>883</v>
      </c>
      <c r="B231" t="s">
        <v>59</v>
      </c>
      <c r="C231" t="s">
        <v>885</v>
      </c>
    </row>
    <row r="232" spans="1:3" x14ac:dyDescent="0.25">
      <c r="A232" t="s">
        <v>883</v>
      </c>
      <c r="B232" t="s">
        <v>41</v>
      </c>
      <c r="C232" t="s">
        <v>734</v>
      </c>
    </row>
    <row r="233" spans="1:3" x14ac:dyDescent="0.25">
      <c r="A233" t="s">
        <v>883</v>
      </c>
      <c r="B233" t="s">
        <v>42</v>
      </c>
      <c r="C233" t="s">
        <v>735</v>
      </c>
    </row>
    <row r="234" spans="1:3" x14ac:dyDescent="0.25">
      <c r="A234" t="s">
        <v>883</v>
      </c>
      <c r="B234" t="s">
        <v>794</v>
      </c>
      <c r="C234" t="s">
        <v>870</v>
      </c>
    </row>
    <row r="235" spans="1:3" x14ac:dyDescent="0.25">
      <c r="A235" t="s">
        <v>883</v>
      </c>
      <c r="B235" t="s">
        <v>44</v>
      </c>
      <c r="C235" t="s">
        <v>67</v>
      </c>
    </row>
    <row r="236" spans="1:3" x14ac:dyDescent="0.25">
      <c r="A236" t="s">
        <v>883</v>
      </c>
      <c r="B236" t="s">
        <v>46</v>
      </c>
      <c r="C236" t="s">
        <v>67</v>
      </c>
    </row>
    <row r="237" spans="1:3" x14ac:dyDescent="0.25">
      <c r="A237" t="s">
        <v>883</v>
      </c>
      <c r="B237" t="s">
        <v>48</v>
      </c>
      <c r="C237" t="s">
        <v>67</v>
      </c>
    </row>
    <row r="238" spans="1:3" x14ac:dyDescent="0.25">
      <c r="A238" t="s">
        <v>883</v>
      </c>
      <c r="B238" t="s">
        <v>50</v>
      </c>
      <c r="C238" t="s">
        <v>67</v>
      </c>
    </row>
    <row r="239" spans="1:3" x14ac:dyDescent="0.25">
      <c r="A239" t="s">
        <v>883</v>
      </c>
      <c r="B239" t="s">
        <v>38</v>
      </c>
      <c r="C239" t="s">
        <v>707</v>
      </c>
    </row>
    <row r="240" spans="1:3" x14ac:dyDescent="0.25">
      <c r="A240" t="s">
        <v>883</v>
      </c>
      <c r="B240" t="s">
        <v>824</v>
      </c>
      <c r="C240" t="s">
        <v>825</v>
      </c>
    </row>
    <row r="241" spans="1:3" x14ac:dyDescent="0.25">
      <c r="A241" t="s">
        <v>791</v>
      </c>
      <c r="B241" t="s">
        <v>59</v>
      </c>
      <c r="C241" t="s">
        <v>886</v>
      </c>
    </row>
    <row r="242" spans="1:3" x14ac:dyDescent="0.25">
      <c r="A242" t="s">
        <v>791</v>
      </c>
      <c r="B242" t="s">
        <v>41</v>
      </c>
      <c r="C242" t="s">
        <v>708</v>
      </c>
    </row>
    <row r="243" spans="1:3" x14ac:dyDescent="0.25">
      <c r="A243" t="s">
        <v>791</v>
      </c>
      <c r="B243" t="s">
        <v>794</v>
      </c>
      <c r="C243" t="s">
        <v>887</v>
      </c>
    </row>
    <row r="244" spans="1:3" x14ac:dyDescent="0.25">
      <c r="A244" t="s">
        <v>791</v>
      </c>
      <c r="B244" t="s">
        <v>44</v>
      </c>
      <c r="C244" t="s">
        <v>67</v>
      </c>
    </row>
    <row r="245" spans="1:3" x14ac:dyDescent="0.25">
      <c r="A245" t="s">
        <v>791</v>
      </c>
      <c r="B245" t="s">
        <v>46</v>
      </c>
      <c r="C245" t="s">
        <v>67</v>
      </c>
    </row>
    <row r="246" spans="1:3" x14ac:dyDescent="0.25">
      <c r="A246" t="s">
        <v>791</v>
      </c>
      <c r="B246" t="s">
        <v>48</v>
      </c>
      <c r="C246" t="s">
        <v>67</v>
      </c>
    </row>
    <row r="247" spans="1:3" x14ac:dyDescent="0.25">
      <c r="A247" t="s">
        <v>791</v>
      </c>
      <c r="B247" t="s">
        <v>50</v>
      </c>
      <c r="C247" t="s">
        <v>67</v>
      </c>
    </row>
    <row r="248" spans="1:3" x14ac:dyDescent="0.25">
      <c r="A248" t="s">
        <v>791</v>
      </c>
      <c r="B248" t="s">
        <v>38</v>
      </c>
      <c r="C248" t="s">
        <v>707</v>
      </c>
    </row>
    <row r="249" spans="1:3" x14ac:dyDescent="0.25">
      <c r="A249" t="s">
        <v>792</v>
      </c>
      <c r="B249" t="s">
        <v>59</v>
      </c>
      <c r="C249" t="s">
        <v>888</v>
      </c>
    </row>
    <row r="250" spans="1:3" x14ac:dyDescent="0.25">
      <c r="A250" t="s">
        <v>792</v>
      </c>
      <c r="B250" t="s">
        <v>41</v>
      </c>
      <c r="C250" t="s">
        <v>708</v>
      </c>
    </row>
    <row r="251" spans="1:3" x14ac:dyDescent="0.25">
      <c r="A251" t="s">
        <v>792</v>
      </c>
      <c r="B251" t="s">
        <v>794</v>
      </c>
      <c r="C251" t="s">
        <v>836</v>
      </c>
    </row>
    <row r="252" spans="1:3" x14ac:dyDescent="0.25">
      <c r="A252" t="s">
        <v>792</v>
      </c>
      <c r="B252" t="s">
        <v>44</v>
      </c>
      <c r="C252" t="s">
        <v>67</v>
      </c>
    </row>
    <row r="253" spans="1:3" x14ac:dyDescent="0.25">
      <c r="A253" t="s">
        <v>792</v>
      </c>
      <c r="B253" t="s">
        <v>46</v>
      </c>
      <c r="C253" t="s">
        <v>67</v>
      </c>
    </row>
    <row r="254" spans="1:3" x14ac:dyDescent="0.25">
      <c r="A254" t="s">
        <v>792</v>
      </c>
      <c r="B254" t="s">
        <v>48</v>
      </c>
      <c r="C254" t="s">
        <v>67</v>
      </c>
    </row>
    <row r="255" spans="1:3" x14ac:dyDescent="0.25">
      <c r="A255" t="s">
        <v>792</v>
      </c>
      <c r="B255" t="s">
        <v>50</v>
      </c>
      <c r="C255" t="s">
        <v>67</v>
      </c>
    </row>
    <row r="256" spans="1:3" x14ac:dyDescent="0.25">
      <c r="A256" t="s">
        <v>792</v>
      </c>
      <c r="B256" t="s">
        <v>38</v>
      </c>
      <c r="C256" t="s">
        <v>707</v>
      </c>
    </row>
    <row r="257" spans="1:3" x14ac:dyDescent="0.25">
      <c r="A257" t="s">
        <v>793</v>
      </c>
      <c r="B257" t="s">
        <v>59</v>
      </c>
      <c r="C257" t="s">
        <v>889</v>
      </c>
    </row>
    <row r="258" spans="1:3" x14ac:dyDescent="0.25">
      <c r="A258" t="s">
        <v>793</v>
      </c>
      <c r="B258" t="s">
        <v>41</v>
      </c>
      <c r="C258" t="s">
        <v>755</v>
      </c>
    </row>
    <row r="259" spans="1:3" x14ac:dyDescent="0.25">
      <c r="A259" t="s">
        <v>793</v>
      </c>
      <c r="B259" t="s">
        <v>794</v>
      </c>
      <c r="C259" t="s">
        <v>890</v>
      </c>
    </row>
    <row r="260" spans="1:3" x14ac:dyDescent="0.25">
      <c r="A260" t="s">
        <v>793</v>
      </c>
      <c r="B260" t="s">
        <v>44</v>
      </c>
      <c r="C260" t="s">
        <v>67</v>
      </c>
    </row>
    <row r="261" spans="1:3" x14ac:dyDescent="0.25">
      <c r="A261" t="s">
        <v>793</v>
      </c>
      <c r="B261" t="s">
        <v>46</v>
      </c>
      <c r="C261" t="s">
        <v>67</v>
      </c>
    </row>
    <row r="262" spans="1:3" x14ac:dyDescent="0.25">
      <c r="A262" t="s">
        <v>793</v>
      </c>
      <c r="B262" t="s">
        <v>48</v>
      </c>
      <c r="C262" t="s">
        <v>67</v>
      </c>
    </row>
    <row r="263" spans="1:3" x14ac:dyDescent="0.25">
      <c r="A263" t="s">
        <v>793</v>
      </c>
      <c r="B263" t="s">
        <v>50</v>
      </c>
      <c r="C263" t="s">
        <v>67</v>
      </c>
    </row>
    <row r="264" spans="1:3" x14ac:dyDescent="0.25">
      <c r="A264" t="s">
        <v>793</v>
      </c>
      <c r="B264" t="s">
        <v>38</v>
      </c>
      <c r="C264" t="s">
        <v>702</v>
      </c>
    </row>
    <row r="265" spans="1:3" x14ac:dyDescent="0.25">
      <c r="A265" t="s">
        <v>891</v>
      </c>
      <c r="B265" t="s">
        <v>36</v>
      </c>
      <c r="C265" t="s">
        <v>892</v>
      </c>
    </row>
    <row r="266" spans="1:3" x14ac:dyDescent="0.25">
      <c r="A266" t="s">
        <v>891</v>
      </c>
      <c r="B266" t="s">
        <v>59</v>
      </c>
      <c r="C266" t="s">
        <v>893</v>
      </c>
    </row>
    <row r="267" spans="1:3" x14ac:dyDescent="0.25">
      <c r="A267" t="s">
        <v>891</v>
      </c>
      <c r="B267" t="s">
        <v>41</v>
      </c>
      <c r="C267" t="s">
        <v>762</v>
      </c>
    </row>
    <row r="268" spans="1:3" x14ac:dyDescent="0.25">
      <c r="A268" t="s">
        <v>891</v>
      </c>
      <c r="B268" t="s">
        <v>42</v>
      </c>
      <c r="C268" t="s">
        <v>763</v>
      </c>
    </row>
    <row r="269" spans="1:3" x14ac:dyDescent="0.25">
      <c r="A269" t="s">
        <v>891</v>
      </c>
      <c r="B269" t="s">
        <v>794</v>
      </c>
      <c r="C269" t="s">
        <v>894</v>
      </c>
    </row>
    <row r="270" spans="1:3" x14ac:dyDescent="0.25">
      <c r="A270" t="s">
        <v>891</v>
      </c>
      <c r="B270" t="s">
        <v>44</v>
      </c>
      <c r="C270" t="s">
        <v>67</v>
      </c>
    </row>
    <row r="271" spans="1:3" x14ac:dyDescent="0.25">
      <c r="A271" t="s">
        <v>891</v>
      </c>
      <c r="B271" t="s">
        <v>46</v>
      </c>
      <c r="C271" t="s">
        <v>67</v>
      </c>
    </row>
    <row r="272" spans="1:3" x14ac:dyDescent="0.25">
      <c r="A272" t="s">
        <v>891</v>
      </c>
      <c r="B272" t="s">
        <v>48</v>
      </c>
      <c r="C272" t="s">
        <v>67</v>
      </c>
    </row>
    <row r="273" spans="1:3" x14ac:dyDescent="0.25">
      <c r="A273" t="s">
        <v>891</v>
      </c>
      <c r="B273" t="s">
        <v>50</v>
      </c>
      <c r="C273" t="s">
        <v>67</v>
      </c>
    </row>
    <row r="274" spans="1:3" x14ac:dyDescent="0.25">
      <c r="A274" t="s">
        <v>891</v>
      </c>
      <c r="B274" t="s">
        <v>38</v>
      </c>
      <c r="C274" t="s">
        <v>761</v>
      </c>
    </row>
    <row r="275" spans="1:3" x14ac:dyDescent="0.25">
      <c r="A275" t="s">
        <v>891</v>
      </c>
      <c r="B275" t="s">
        <v>824</v>
      </c>
      <c r="C275" t="s">
        <v>825</v>
      </c>
    </row>
    <row r="276" spans="1:3" x14ac:dyDescent="0.25">
      <c r="A276" t="s">
        <v>782</v>
      </c>
      <c r="B276" t="s">
        <v>42</v>
      </c>
      <c r="C276" t="s">
        <v>703</v>
      </c>
    </row>
    <row r="277" spans="1:3" x14ac:dyDescent="0.25">
      <c r="A277" t="s">
        <v>782</v>
      </c>
      <c r="B277" t="s">
        <v>824</v>
      </c>
      <c r="C277" t="s">
        <v>825</v>
      </c>
    </row>
    <row r="278" spans="1:3" x14ac:dyDescent="0.25">
      <c r="A278" t="s">
        <v>797</v>
      </c>
      <c r="B278" t="s">
        <v>44</v>
      </c>
      <c r="C278" t="s">
        <v>67</v>
      </c>
    </row>
    <row r="279" spans="1:3" x14ac:dyDescent="0.25">
      <c r="A279" t="s">
        <v>797</v>
      </c>
      <c r="B279" t="s">
        <v>46</v>
      </c>
      <c r="C279" t="s">
        <v>67</v>
      </c>
    </row>
    <row r="280" spans="1:3" x14ac:dyDescent="0.25">
      <c r="A280" t="s">
        <v>797</v>
      </c>
      <c r="B280" t="s">
        <v>48</v>
      </c>
      <c r="C280" t="s">
        <v>67</v>
      </c>
    </row>
    <row r="281" spans="1:3" x14ac:dyDescent="0.25">
      <c r="A281" t="s">
        <v>797</v>
      </c>
      <c r="B281" t="s">
        <v>824</v>
      </c>
      <c r="C281" t="s">
        <v>825</v>
      </c>
    </row>
    <row r="282" spans="1:3" x14ac:dyDescent="0.25">
      <c r="A282" t="s">
        <v>895</v>
      </c>
      <c r="B282" t="s">
        <v>41</v>
      </c>
      <c r="C282" t="s">
        <v>150</v>
      </c>
    </row>
    <row r="283" spans="1:3" x14ac:dyDescent="0.25">
      <c r="A283" t="s">
        <v>895</v>
      </c>
      <c r="B283" t="s">
        <v>42</v>
      </c>
      <c r="C283" t="s">
        <v>170</v>
      </c>
    </row>
    <row r="284" spans="1:3" x14ac:dyDescent="0.25">
      <c r="A284" t="s">
        <v>895</v>
      </c>
      <c r="B284" t="s">
        <v>824</v>
      </c>
      <c r="C284" t="s">
        <v>825</v>
      </c>
    </row>
    <row r="285" spans="1:3" x14ac:dyDescent="0.25">
      <c r="A285" t="s">
        <v>798</v>
      </c>
      <c r="B285" t="s">
        <v>41</v>
      </c>
      <c r="C285" t="s">
        <v>150</v>
      </c>
    </row>
    <row r="286" spans="1:3" x14ac:dyDescent="0.25">
      <c r="A286" t="s">
        <v>798</v>
      </c>
      <c r="B286" t="s">
        <v>824</v>
      </c>
      <c r="C286" t="s">
        <v>825</v>
      </c>
    </row>
    <row r="287" spans="1:3" x14ac:dyDescent="0.25">
      <c r="A287" t="s">
        <v>896</v>
      </c>
      <c r="B287" t="s">
        <v>41</v>
      </c>
      <c r="C287" t="s">
        <v>150</v>
      </c>
    </row>
    <row r="288" spans="1:3" x14ac:dyDescent="0.25">
      <c r="A288" t="s">
        <v>896</v>
      </c>
      <c r="B288" t="s">
        <v>824</v>
      </c>
      <c r="C288" t="s">
        <v>825</v>
      </c>
    </row>
    <row r="289" spans="1:3" x14ac:dyDescent="0.25">
      <c r="A289" t="s">
        <v>897</v>
      </c>
      <c r="B289" t="s">
        <v>41</v>
      </c>
      <c r="C289" t="s">
        <v>150</v>
      </c>
    </row>
    <row r="290" spans="1:3" x14ac:dyDescent="0.25">
      <c r="A290" t="s">
        <v>897</v>
      </c>
      <c r="B290" t="s">
        <v>824</v>
      </c>
      <c r="C290" t="s">
        <v>825</v>
      </c>
    </row>
    <row r="291" spans="1:3" x14ac:dyDescent="0.25">
      <c r="A291" t="s">
        <v>898</v>
      </c>
      <c r="B291" t="s">
        <v>59</v>
      </c>
      <c r="C291" t="s">
        <v>172</v>
      </c>
    </row>
    <row r="292" spans="1:3" x14ac:dyDescent="0.25">
      <c r="A292" t="s">
        <v>898</v>
      </c>
      <c r="B292" t="s">
        <v>41</v>
      </c>
      <c r="C292" t="s">
        <v>150</v>
      </c>
    </row>
    <row r="293" spans="1:3" x14ac:dyDescent="0.25">
      <c r="A293" t="s">
        <v>898</v>
      </c>
      <c r="B293" t="s">
        <v>42</v>
      </c>
      <c r="C293" t="s">
        <v>170</v>
      </c>
    </row>
    <row r="294" spans="1:3" x14ac:dyDescent="0.25">
      <c r="A294" t="s">
        <v>898</v>
      </c>
      <c r="B294" t="s">
        <v>48</v>
      </c>
      <c r="C294" t="s">
        <v>66</v>
      </c>
    </row>
    <row r="295" spans="1:3" x14ac:dyDescent="0.25">
      <c r="A295" t="s">
        <v>898</v>
      </c>
      <c r="B295" t="s">
        <v>824</v>
      </c>
      <c r="C295" t="s">
        <v>825</v>
      </c>
    </row>
    <row r="296" spans="1:3" x14ac:dyDescent="0.25">
      <c r="A296" t="s">
        <v>899</v>
      </c>
      <c r="B296" t="s">
        <v>41</v>
      </c>
      <c r="C296" t="s">
        <v>150</v>
      </c>
    </row>
    <row r="297" spans="1:3" x14ac:dyDescent="0.25">
      <c r="A297" t="s">
        <v>899</v>
      </c>
      <c r="B297" t="s">
        <v>42</v>
      </c>
      <c r="C297" t="s">
        <v>170</v>
      </c>
    </row>
    <row r="298" spans="1:3" x14ac:dyDescent="0.25">
      <c r="A298" t="s">
        <v>899</v>
      </c>
      <c r="B298" t="s">
        <v>824</v>
      </c>
      <c r="C298" t="s">
        <v>825</v>
      </c>
    </row>
    <row r="299" spans="1:3" x14ac:dyDescent="0.25">
      <c r="A299" t="s">
        <v>801</v>
      </c>
      <c r="B299" t="s">
        <v>36</v>
      </c>
      <c r="C299" t="s">
        <v>231</v>
      </c>
    </row>
    <row r="300" spans="1:3" x14ac:dyDescent="0.25">
      <c r="A300" t="s">
        <v>801</v>
      </c>
      <c r="B300" t="s">
        <v>41</v>
      </c>
      <c r="C300" t="s">
        <v>150</v>
      </c>
    </row>
    <row r="301" spans="1:3" x14ac:dyDescent="0.25">
      <c r="A301" t="s">
        <v>801</v>
      </c>
      <c r="B301" t="s">
        <v>824</v>
      </c>
      <c r="C301" t="s">
        <v>825</v>
      </c>
    </row>
    <row r="302" spans="1:3" x14ac:dyDescent="0.25">
      <c r="A302" t="s">
        <v>802</v>
      </c>
      <c r="B302" t="s">
        <v>41</v>
      </c>
      <c r="C302" t="s">
        <v>150</v>
      </c>
    </row>
    <row r="303" spans="1:3" x14ac:dyDescent="0.25">
      <c r="A303" t="s">
        <v>802</v>
      </c>
      <c r="B303" t="s">
        <v>824</v>
      </c>
      <c r="C303" t="s">
        <v>825</v>
      </c>
    </row>
    <row r="304" spans="1:3" x14ac:dyDescent="0.25">
      <c r="A304" t="s">
        <v>806</v>
      </c>
      <c r="B304" t="s">
        <v>41</v>
      </c>
      <c r="C304" t="s">
        <v>150</v>
      </c>
    </row>
    <row r="305" spans="1:3" x14ac:dyDescent="0.25">
      <c r="A305" t="s">
        <v>806</v>
      </c>
      <c r="B305" t="s">
        <v>824</v>
      </c>
      <c r="C305" t="s">
        <v>825</v>
      </c>
    </row>
    <row r="306" spans="1:3" x14ac:dyDescent="0.25">
      <c r="A306" t="s">
        <v>807</v>
      </c>
      <c r="B306" t="s">
        <v>41</v>
      </c>
      <c r="C306" t="s">
        <v>150</v>
      </c>
    </row>
    <row r="307" spans="1:3" x14ac:dyDescent="0.25">
      <c r="A307" t="s">
        <v>807</v>
      </c>
      <c r="B307" t="s">
        <v>824</v>
      </c>
      <c r="C307" t="s">
        <v>825</v>
      </c>
    </row>
    <row r="308" spans="1:3" x14ac:dyDescent="0.25">
      <c r="A308" t="s">
        <v>810</v>
      </c>
      <c r="B308" t="s">
        <v>41</v>
      </c>
      <c r="C308" t="s">
        <v>150</v>
      </c>
    </row>
    <row r="309" spans="1:3" x14ac:dyDescent="0.25">
      <c r="A309" t="s">
        <v>810</v>
      </c>
      <c r="B309" t="s">
        <v>824</v>
      </c>
      <c r="C309" t="s">
        <v>825</v>
      </c>
    </row>
    <row r="310" spans="1:3" x14ac:dyDescent="0.25">
      <c r="A310" t="s">
        <v>811</v>
      </c>
      <c r="B310" t="s">
        <v>41</v>
      </c>
      <c r="C310" t="s">
        <v>150</v>
      </c>
    </row>
    <row r="311" spans="1:3" x14ac:dyDescent="0.25">
      <c r="A311" t="s">
        <v>811</v>
      </c>
      <c r="B311" t="s">
        <v>824</v>
      </c>
      <c r="C311" t="s">
        <v>825</v>
      </c>
    </row>
    <row r="312" spans="1:3" x14ac:dyDescent="0.25">
      <c r="A312" t="s">
        <v>812</v>
      </c>
      <c r="B312" t="s">
        <v>50</v>
      </c>
      <c r="C312" t="s">
        <v>66</v>
      </c>
    </row>
    <row r="313" spans="1:3" x14ac:dyDescent="0.25">
      <c r="A313" t="s">
        <v>812</v>
      </c>
      <c r="B313" t="s">
        <v>824</v>
      </c>
      <c r="C313" t="s">
        <v>825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503ef68-8e6b-4103-88cd-6d3eed0e207f" xsi:nil="true"/>
    <lcf76f155ced4ddcb4097134ff3c332f xmlns="451aad5b-167b-4d6c-939c-63203bdf6bab">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810026F9AEED442AB141D5C00EF2F7C" ma:contentTypeVersion="22" ma:contentTypeDescription="Create a new document." ma:contentTypeScope="" ma:versionID="bbf6cedda85f957ac2a043dee6cd74dc">
  <xsd:schema xmlns:xsd="http://www.w3.org/2001/XMLSchema" xmlns:xs="http://www.w3.org/2001/XMLSchema" xmlns:p="http://schemas.microsoft.com/office/2006/metadata/properties" xmlns:ns1="http://schemas.microsoft.com/sharepoint/v3" xmlns:ns2="451aad5b-167b-4d6c-939c-63203bdf6bab" xmlns:ns3="c503ef68-8e6b-4103-88cd-6d3eed0e207f" targetNamespace="http://schemas.microsoft.com/office/2006/metadata/properties" ma:root="true" ma:fieldsID="a64bd8f018ff6ba91350b8371d2a451a" ns1:_="" ns2:_="" ns3:_="">
    <xsd:import namespace="http://schemas.microsoft.com/sharepoint/v3"/>
    <xsd:import namespace="451aad5b-167b-4d6c-939c-63203bdf6bab"/>
    <xsd:import namespace="c503ef68-8e6b-4103-88cd-6d3eed0e207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1aad5b-167b-4d6c-939c-63203bdf6b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4122a211-7e95-43c4-85fe-cfb3afdd586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03ef68-8e6b-4103-88cd-6d3eed0e207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1413bcfb-e5f3-4cb8-aeca-3ab024fd0deb}" ma:internalName="TaxCatchAll" ma:showField="CatchAllData" ma:web="c503ef68-8e6b-4103-88cd-6d3eed0e20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1ABE36-A1A6-434D-A9DA-8673B0958BEB}">
  <ds:schemaRefs>
    <ds:schemaRef ds:uri="http://schemas.microsoft.com/office/2006/metadata/properties"/>
    <ds:schemaRef ds:uri="http://schemas.microsoft.com/office/infopath/2007/PartnerControls"/>
    <ds:schemaRef ds:uri="c503ef68-8e6b-4103-88cd-6d3eed0e207f"/>
    <ds:schemaRef ds:uri="451aad5b-167b-4d6c-939c-63203bdf6bab"/>
    <ds:schemaRef ds:uri="http://schemas.microsoft.com/sharepoint/v3"/>
  </ds:schemaRefs>
</ds:datastoreItem>
</file>

<file path=customXml/itemProps2.xml><?xml version="1.0" encoding="utf-8"?>
<ds:datastoreItem xmlns:ds="http://schemas.openxmlformats.org/officeDocument/2006/customXml" ds:itemID="{184EFC14-1268-490B-A440-A50B469D6A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51aad5b-167b-4d6c-939c-63203bdf6bab"/>
    <ds:schemaRef ds:uri="c503ef68-8e6b-4103-88cd-6d3eed0e20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5CAA86D-89E7-4E65-AA90-580F5AD5DE3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Mark</vt:lpstr>
      <vt:lpstr>Alt Vendor</vt:lpstr>
      <vt:lpstr>Pre-fill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Austin Berk</cp:lastModifiedBy>
  <cp:revision>0</cp:revision>
  <dcterms:created xsi:type="dcterms:W3CDTF">2026-06-13T17:17:19Z</dcterms:created>
  <dcterms:modified xsi:type="dcterms:W3CDTF">2026-09-03T00:25:29Z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0x0101004810026F9AEED442AB141D5C00EF2F7C</vt:lpwstr>
  </property>
  <property fmtid="{D5CDD505-2E9C-101B-9397-08002B2CF9AE}" pid="3" name="MediaServiceImageTags">
    <vt:lpwstr/>
  </property>
</Properties>
</file>