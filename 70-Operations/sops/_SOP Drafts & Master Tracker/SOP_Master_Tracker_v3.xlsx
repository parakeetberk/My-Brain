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B9D8FBD10BE46B277FB511878880740CCFDFF402" xr6:coauthVersionLast="47" xr6:coauthVersionMax="47" xr10:uidLastSave="{157C1F8F-3119-4E4C-87FC-46F9C5B3D54E}"/>
  <bookViews>
    <workbookView xWindow="0" yWindow="0" windowWidth="16384" windowHeight="8192" tabRatio="500" xr2:uid="{00000000-000D-0000-FFFF-FFFF00000000}"/>
  </bookViews>
  <sheets>
    <sheet name="SOP Tracker" sheetId="1" r:id="rId1"/>
    <sheet name="Summary" sheetId="2" r:id="rId2"/>
    <sheet name="Change Log" sheetId="3" r:id="rId3"/>
  </sheets>
  <definedNames>
    <definedName name="_xlnm._FilterDatabase" localSheetId="0" hidden="1">'SOP Tracker'!$A$6:$O$123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C15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D13" i="2" s="1"/>
  <c r="C6" i="2"/>
  <c r="C13" i="2" s="1"/>
</calcChain>
</file>

<file path=xl/sharedStrings.xml><?xml version="1.0" encoding="utf-8"?>
<sst xmlns="http://schemas.openxmlformats.org/spreadsheetml/2006/main" count="1342" uniqueCount="463">
  <si>
    <t>SOP Rollout Master Tracker  |  v3</t>
  </si>
  <si>
    <t>Rebuilt 2026-08-06 from full audit of OneDrive working folder + ROCK processes + shared Lucid folder. Statuses reflect actual files, not intentions. See Change Log tab.</t>
  </si>
  <si>
    <t>#</t>
  </si>
  <si>
    <t>Dept</t>
  </si>
  <si>
    <t>Process / SOP</t>
  </si>
  <si>
    <t>Priority Tier</t>
  </si>
  <si>
    <t>Category</t>
  </si>
  <si>
    <t>Complexity</t>
  </si>
  <si>
    <t>Creation Owner</t>
  </si>
  <si>
    <t>Workflow Status</t>
  </si>
  <si>
    <t>Workflow Location</t>
  </si>
  <si>
    <t>SOP Status</t>
  </si>
  <si>
    <t>SOP Location</t>
  </si>
  <si>
    <t>Target</t>
  </si>
  <si>
    <t>Lead</t>
  </si>
  <si>
    <t>Workflow Needed?</t>
  </si>
  <si>
    <t>Next Action</t>
  </si>
  <si>
    <t>SALES / MARKETING</t>
  </si>
  <si>
    <t>001</t>
  </si>
  <si>
    <t>Sales / Marketing</t>
  </si>
  <si>
    <t>Home Ordering / New Home Purchase (Dealer)</t>
  </si>
  <si>
    <t>Tier 2 - High</t>
  </si>
  <si>
    <t>Property Mgmt</t>
  </si>
  <si>
    <t>Medium</t>
  </si>
  <si>
    <t>Sales + Operations</t>
  </si>
  <si>
    <t>Final draft - ready for approval</t>
  </si>
  <si>
    <t>Lucid: *001_Home Ordering Process</t>
  </si>
  <si>
    <t>OneDrive: 001-home_ordering_sop_FINAL.docx</t>
  </si>
  <si>
    <t>AB</t>
  </si>
  <si>
    <t>No</t>
  </si>
  <si>
    <t>Final review + sign-off, then publish</t>
  </si>
  <si>
    <t>002</t>
  </si>
  <si>
    <t>Home Sales Process</t>
  </si>
  <si>
    <t>Tier 1 - Critical</t>
  </si>
  <si>
    <t>MH-Specific</t>
  </si>
  <si>
    <t>High</t>
  </si>
  <si>
    <t>Drafted - pending review</t>
  </si>
  <si>
    <t>Lucid: *002_Home Sales Process; *002-004 Home Sales to Closing</t>
  </si>
  <si>
    <t>OneDrive: 002-combined-home sale process.docx</t>
  </si>
  <si>
    <t>In review</t>
  </si>
  <si>
    <t>Team review</t>
  </si>
  <si>
    <t>003</t>
  </si>
  <si>
    <t>Home Closing Prep &amp; Documentation (incl. 003a Lease w/ Option)</t>
  </si>
  <si>
    <t>Lucid: *003_CLOSING PREP &amp; DOCUMENTATION</t>
  </si>
  <si>
    <t>OneDrive: 003- Home_Sale_Closing_SOPv1.docx; 003a Lease w/ Option SOP; Closing Doc Checklist</t>
  </si>
  <si>
    <t>004</t>
  </si>
  <si>
    <t>Closing Day Process</t>
  </si>
  <si>
    <t>Lucid: *004_Closing Day Process</t>
  </si>
  <si>
    <t>OneDrive: 003-CLOSING STEPS 05.05.2026.docx</t>
  </si>
  <si>
    <t>005</t>
  </si>
  <si>
    <t>POH Sales Title Transfer</t>
  </si>
  <si>
    <t>Lucid: *005_Home Title Transfer Process</t>
  </si>
  <si>
    <t>OneDrive: 005-Park Owned Home Sales Title Transfer SOP.pdf</t>
  </si>
  <si>
    <t>006</t>
  </si>
  <si>
    <t>Lead Intake, Tracking, Application &amp; Screening (incl. AMRENT background check &amp; income verification)</t>
  </si>
  <si>
    <t>Lucid: 006-lead tracking and application process</t>
  </si>
  <si>
    <t>OneDrive: 006-lead tracking-application and background check V1.docx; SOP - Lead Intake PDF</t>
  </si>
  <si>
    <t>Team review. Absorbs the two separate AMRENT/Prospect Screening tracker rows</t>
  </si>
  <si>
    <t>Online Loan Application Process</t>
  </si>
  <si>
    <t>Not started</t>
  </si>
  <si>
    <t>Raw material - needs formalizing</t>
  </si>
  <si>
    <t>ROCK: Online Loan Application Process.docx</t>
  </si>
  <si>
    <t>YES</t>
  </si>
  <si>
    <t>Formalize existing draft into numbered SOP + Lucid workflow</t>
  </si>
  <si>
    <t>Sales Application-to-Lease Execution (Lease Generation in Rent Manager)</t>
  </si>
  <si>
    <t>Recommended Addition</t>
  </si>
  <si>
    <t>Partial draft</t>
  </si>
  <si>
    <t>Lucid: Lead to Lease Process 2026.1 (outside shared folder)</t>
  </si>
  <si>
    <t>ROCK: 3x Lease Generation SOP PDFs (RM Express, publish signable lease)</t>
  </si>
  <si>
    <t>Formalize - lease generation PDFs were never numbered or added to tracker</t>
  </si>
  <si>
    <t>Home Listing Process</t>
  </si>
  <si>
    <t>Lucid: Home Listing Process (draft)</t>
  </si>
  <si>
    <t>Number it, finish workflow, draft SOP</t>
  </si>
  <si>
    <t>Offer Submission Process</t>
  </si>
  <si>
    <t>Lucid: Offer Submission (draft)</t>
  </si>
  <si>
    <t>Number it, finish workflow, draft SOP. Ties to "rehab home for sale as-is" pause step</t>
  </si>
  <si>
    <t>Rehab Home For-Sale As-Is Steps (offer pauses rehab)</t>
  </si>
  <si>
    <t>Sales + Ops + Construction</t>
  </si>
  <si>
    <t>Define workflow: offer Jotform pauses rehab, circle back to close out rehab if sold</t>
  </si>
  <si>
    <t>Open House Process</t>
  </si>
  <si>
    <t>Tier 3 - Standard</t>
  </si>
  <si>
    <t>Low</t>
  </si>
  <si>
    <t>Sales</t>
  </si>
  <si>
    <t>ROCK: SOP-Open_House_Process_10-2022.docx</t>
  </si>
  <si>
    <t>Update 2022 draft, renumber, add workflow</t>
  </si>
  <si>
    <t>Sales Rep Property Walk</t>
  </si>
  <si>
    <t>ROCK: DRAFT sales property walk checklist V2.pdf</t>
  </si>
  <si>
    <t>Formalize checklist into SOP</t>
  </si>
  <si>
    <t>Marketing Photography</t>
  </si>
  <si>
    <t>Build</t>
  </si>
  <si>
    <t>OPERATIONS</t>
  </si>
  <si>
    <t>100</t>
  </si>
  <si>
    <t>Operations</t>
  </si>
  <si>
    <t>AR &amp; Collections (incl. Demand Day cadence)</t>
  </si>
  <si>
    <t>OneDrive: 100-collections_flowchart.html</t>
  </si>
  <si>
    <t>OneDrive: 100-collections_sop.docx</t>
  </si>
  <si>
    <t>2026-10-31</t>
  </si>
  <si>
    <t>Team review. Absorbs duplicate "Collections" tracker row</t>
  </si>
  <si>
    <t>101</t>
  </si>
  <si>
    <t>Lease Renewal Process</t>
  </si>
  <si>
    <t>Lucid: 101_Lease Renewal</t>
  </si>
  <si>
    <t>OneDrive: 101-lease_renewal_sop.docx</t>
  </si>
  <si>
    <t>102</t>
  </si>
  <si>
    <t>Move Out Process</t>
  </si>
  <si>
    <t>Lucid: 102_Move Out Process</t>
  </si>
  <si>
    <t>OneDrive: 102-move_out_sop.docx</t>
  </si>
  <si>
    <t>Team review. Delete stale Lucid duplicate (102 V1)</t>
  </si>
  <si>
    <t>103</t>
  </si>
  <si>
    <t>Move In Process</t>
  </si>
  <si>
    <t>Lucid: 103_Move In Process</t>
  </si>
  <si>
    <t>OneDrive: 103-move_in_sop.docx</t>
  </si>
  <si>
    <t>104</t>
  </si>
  <si>
    <t>TBD Unit Review &amp; Allocate Process</t>
  </si>
  <si>
    <t>Lucid: 104_TBD Process</t>
  </si>
  <si>
    <t>OneDrive: TBD rehab and data entry Draft.docx; ROCK: 2x TBD Reporting SOP PDFs</t>
  </si>
  <si>
    <t>Team review. Demo list + home ordering list adjustments feed 200/001</t>
  </si>
  <si>
    <t>105</t>
  </si>
  <si>
    <t>POH Rehab Process (incl. Rehab Data Entry)</t>
  </si>
  <si>
    <t>Construction + Operations</t>
  </si>
  <si>
    <t>Lucid: 105- POH rehab process</t>
  </si>
  <si>
    <t>OneDrive: 105-POH rehab process final draft.docx; Rehab_Data_Entry_SOP v1.1</t>
  </si>
  <si>
    <t>Team review. Delete stale Lucid 105a original draft</t>
  </si>
  <si>
    <t>105a</t>
  </si>
  <si>
    <t>Rehab Handoff Checklist (Jotform)</t>
  </si>
  <si>
    <t>OneDrive: SOP-rehab handoff-MGR REHAB JOTFORM WORKFLOW.pdf</t>
  </si>
  <si>
    <t>ROCK: 3x rehab handoff Jotform drafts; punchlist fillable PDF</t>
  </si>
  <si>
    <t>v2 note says "create fast form" - build the form, then finalize SOP</t>
  </si>
  <si>
    <t>106</t>
  </si>
  <si>
    <t>Regional 30-Day Site Visit &amp; Follow-Up</t>
  </si>
  <si>
    <t>OneDrive: 106-30day community visit action plan lucid flowchart V1.pdf</t>
  </si>
  <si>
    <t>OneDrive: 106- Regional 30-day action plan draft.docx</t>
  </si>
  <si>
    <t>Team review. Absorbs "Site Visit and Follow-Up Process" recommended-addition row. v2 tracker showed no workflow - it exists</t>
  </si>
  <si>
    <t>107</t>
  </si>
  <si>
    <t>Eviction Process</t>
  </si>
  <si>
    <t>Legal + Operations</t>
  </si>
  <si>
    <t>Lucid: 107-eviction flowchart v1; Eviction Process 26.01</t>
  </si>
  <si>
    <t>OneDrive: 107-Eviction_Process_SOP_V1.docx</t>
  </si>
  <si>
    <t>Team review. CONSOLIDATED: replaces both 800-series eviction rows + older 800-eviction_sop.docx. Decide final number (files use 107; 800-block is Legal)</t>
  </si>
  <si>
    <t>Emergency Property Level Issue Reporting</t>
  </si>
  <si>
    <t>BUILD - Tier 1 gap. Life safety escalation paths</t>
  </si>
  <si>
    <t>Incident Reporting</t>
  </si>
  <si>
    <t>BUILD - Tier 1 gap. Liability / insurance / legal feed</t>
  </si>
  <si>
    <t>Utility Onboarding (Current Communities)</t>
  </si>
  <si>
    <t>Ops + Acct + Construction</t>
  </si>
  <si>
    <t>Lucid: 0XX_Utility Account Establishment (draft, outside shared folder)</t>
  </si>
  <si>
    <t>ROCK: SOP-Utility turn on.docx; Utilities SOP draft.docx; Utility draft flowchart</t>
  </si>
  <si>
    <t>Formalize - raw drafts exist, needs number + finished workflow</t>
  </si>
  <si>
    <t>Utility Transfers (Resident Move In/Out)</t>
  </si>
  <si>
    <t>Ops + Acct</t>
  </si>
  <si>
    <t>Covered by related SOP</t>
  </si>
  <si>
    <t>See 303a/b + 102/103</t>
  </si>
  <si>
    <t>Partially covered by 303a/b + 102/103 - confirm remaining scope, then build</t>
  </si>
  <si>
    <t>Month End Ops Close Out</t>
  </si>
  <si>
    <t>ROCK: L-Month End Checklist-Updated notes V1.pdf</t>
  </si>
  <si>
    <t>Formalize checklist into SOP + workflow</t>
  </si>
  <si>
    <t>Stipulation Process</t>
  </si>
  <si>
    <t>Build - feeds 100 collections + 107 eviction pipeline</t>
  </si>
  <si>
    <t>Rental Inspections</t>
  </si>
  <si>
    <t>Site Visit Inspection (Regional)</t>
  </si>
  <si>
    <t>ROCK: X-30 Day Site Visit Checklist for Facilities Managers.pdf</t>
  </si>
  <si>
    <t>Formalize - pairs with 106 follow-up</t>
  </si>
  <si>
    <t>Mo/Qtr Property Business Plan</t>
  </si>
  <si>
    <t>Occupancy Recovery / Problem Asset Review</t>
  </si>
  <si>
    <t>Ops + Sales + Asset Mgmt</t>
  </si>
  <si>
    <t>Emergency Infrastructure Escalation</t>
  </si>
  <si>
    <t>Ops + Construction</t>
  </si>
  <si>
    <t>Build - pairs with Emergency Property Issue Reporting</t>
  </si>
  <si>
    <t>Rent Manager Issue Ownership &amp; Update Standards</t>
  </si>
  <si>
    <t>Ops + Systems</t>
  </si>
  <si>
    <t>Property Email / Communication Inclusion</t>
  </si>
  <si>
    <t>Rehab-to-Listing Readiness</t>
  </si>
  <si>
    <t>Ops + Construction + Sales</t>
  </si>
  <si>
    <t>Largely covered by 105 + Home Listing - confirm gap before building</t>
  </si>
  <si>
    <t>Weekly Cross-Department Project Review</t>
  </si>
  <si>
    <t>Ops/Const Weekly Updates (Project Coordination)</t>
  </si>
  <si>
    <t>ROCK: Weekly manager recap draft (jotform).docx; JC: WEEKLEY 5-15 REPORT.xlsx</t>
  </si>
  <si>
    <t>Merged two duplicate tracker rows (Ops #33 + Const #58). Formalize from recap draft</t>
  </si>
  <si>
    <t>Weekly Manager Recap (Jotform)</t>
  </si>
  <si>
    <t>ROCK: Weekly manager recap draft (jotform).docx</t>
  </si>
  <si>
    <t>NEW - found in ROCK, was never in tracker. May merge with weekly updates row above</t>
  </si>
  <si>
    <t>CONSTRUCTION / OPERATIONS</t>
  </si>
  <si>
    <t>200</t>
  </si>
  <si>
    <t>Construction / Operations</t>
  </si>
  <si>
    <t>Demo &amp; Lot Prep</t>
  </si>
  <si>
    <t>Approved</t>
  </si>
  <si>
    <t>OneDrive: 200-Parakeet_Demo_Lot_Prep_Swimlane_Approved.html</t>
  </si>
  <si>
    <t>OneDrive: 200-Parakeet_Demo_Lot_Prep_SOP_Approved.docx</t>
  </si>
  <si>
    <t>DONE. Covers Lot Prep tracker row - confirm whether non-demo lot prep needs separate SOP</t>
  </si>
  <si>
    <t>200a</t>
  </si>
  <si>
    <t>Demo to Infill Process</t>
  </si>
  <si>
    <t>Lucid: 200 Demo to infill; 200a_Demo to infill</t>
  </si>
  <si>
    <t>Team review. Two Lucid versions - keep 200a, archive 200</t>
  </si>
  <si>
    <t>201</t>
  </si>
  <si>
    <t>New Home Delivery / Set / Utility / Sales Release</t>
  </si>
  <si>
    <t>Lucid: 201 New Home delivery</t>
  </si>
  <si>
    <t>OneDrive: 201- New Home delivery-infill V1.docx; JC HOME DELIVERY PROCEDURE; ROCK: Home Delivery Confirmation JotForm SOP</t>
  </si>
  <si>
    <t>Team review. Absorbs "New Home Delivery/Set/Utility/Sales Release" recommended-addition row. v2 tracker row was blank - work exists</t>
  </si>
  <si>
    <t>Make Ready Board Flow</t>
  </si>
  <si>
    <t>ROCK: MRB draft flowchart.png</t>
  </si>
  <si>
    <t>ROCK: MRB draft SOP.docx; MRB draft V1 flowchart SOP.docx</t>
  </si>
  <si>
    <t>PRIORITY - Tier 1 with drafts sitting in ROCK. Number it, build Lucid workflow, finalize</t>
  </si>
  <si>
    <t>New Home Walkthrough Checklist</t>
  </si>
  <si>
    <t>ROCK: PARAKEET HOMES NEW HOME CHECKLIST.pdf; Weekly Rehab &amp; New Home Inspection Checklist</t>
  </si>
  <si>
    <t>Formalize checklists</t>
  </si>
  <si>
    <t>Construction Preventative Checklist</t>
  </si>
  <si>
    <t>Construction</t>
  </si>
  <si>
    <t>Inhouse Construction Projects</t>
  </si>
  <si>
    <t>Project Planning &amp; Scope</t>
  </si>
  <si>
    <t>Project Sign Off</t>
  </si>
  <si>
    <t>Build - pairs with WIP close outs</t>
  </si>
  <si>
    <t>Property Future Cap Ex</t>
  </si>
  <si>
    <t>Lucid: Cap Ex Decision Tree (outside shared folder)</t>
  </si>
  <si>
    <t>Pull decision tree into shared folder, draft SOP</t>
  </si>
  <si>
    <t>Construction-to-Operations Handoff</t>
  </si>
  <si>
    <t>Vendor Start / Stop / Access</t>
  </si>
  <si>
    <t>Construction Roles &amp; Responsibilities</t>
  </si>
  <si>
    <t>ROCK: JC Construction Department S.O.P. 4.19.2026.pdf</t>
  </si>
  <si>
    <t>Formalize from JC dept SOP</t>
  </si>
  <si>
    <t>Construction Onboarding</t>
  </si>
  <si>
    <t>Construction + HR</t>
  </si>
  <si>
    <t>Equipment &amp; Inventory Checklist</t>
  </si>
  <si>
    <t>Construction + Accounting</t>
  </si>
  <si>
    <t>Maintenance vs Construction (routing)</t>
  </si>
  <si>
    <t>Lucid: Maintenance vs Construction (draft)</t>
  </si>
  <si>
    <t>NEW - in Lucid shared folder, never in tracker. Number + finish</t>
  </si>
  <si>
    <t>Sign Installation Package</t>
  </si>
  <si>
    <t>OneDrive: Parakeet Sign Installation Package.docx</t>
  </si>
  <si>
    <t>NEW - found in working folder, never in tracker. Formalize</t>
  </si>
  <si>
    <t>ACCOUNTING / FINANCE</t>
  </si>
  <si>
    <t>300</t>
  </si>
  <si>
    <t>Accounting / Finance</t>
  </si>
  <si>
    <t>Avid Exchange AP Process</t>
  </si>
  <si>
    <t>Corporate</t>
  </si>
  <si>
    <t>Lucid: 300_Avid AP Process</t>
  </si>
  <si>
    <t>OneDrive: 300-avid_exchange_sop.docx</t>
  </si>
  <si>
    <t>Team review. Two Lucid docs (300_Avid + 300_Avid AP Process) - archive one</t>
  </si>
  <si>
    <t>301</t>
  </si>
  <si>
    <t>Rent Roll &amp; Vacancy Reporting Approval</t>
  </si>
  <si>
    <t>OneDrive: 301 Rent Roll Summary Process.pdf</t>
  </si>
  <si>
    <t>ROCK: AR RR analytics SOP draft.docx</t>
  </si>
  <si>
    <t>302</t>
  </si>
  <si>
    <t>Home Lender Repo Process</t>
  </si>
  <si>
    <t>Lucid: 302_Home lender repo</t>
  </si>
  <si>
    <t>OneDrive: 302-Home lender repo-draft V1.docx</t>
  </si>
  <si>
    <t>Team review. Absorbs "repo home process" stub row (Sales/Acct)</t>
  </si>
  <si>
    <t>303a</t>
  </si>
  <si>
    <t>Utility Activation - New Home</t>
  </si>
  <si>
    <t>Ops + Construction + Acct</t>
  </si>
  <si>
    <t>Lucid: 303a-Utility activation NEW HOME</t>
  </si>
  <si>
    <t>OneDrive: 303a-Utility activation-New Home-Draft V1.docx</t>
  </si>
  <si>
    <t>303b</t>
  </si>
  <si>
    <t>Utility Activation - Rehab Home</t>
  </si>
  <si>
    <t>Lucid: 303b- utility activation REHAB HOME</t>
  </si>
  <si>
    <t>OneDrive: 303b-Utility activation- REHAB HOME - draft V1.docx</t>
  </si>
  <si>
    <t>Payroll Process</t>
  </si>
  <si>
    <t>Lucid: Payroll Process (in shared folder, unnumbered)</t>
  </si>
  <si>
    <t>Number it (30x), finish workflow, draft SOP</t>
  </si>
  <si>
    <t>Utility Recapture Reporting</t>
  </si>
  <si>
    <t>BUILD - Tier 1 gap. Revenue recovery tracking</t>
  </si>
  <si>
    <t>Utility Recapture Review</t>
  </si>
  <si>
    <t>BUILD - Tier 1 gap. Billing accuracy audit</t>
  </si>
  <si>
    <t>Budgets (Annual Cycle)</t>
  </si>
  <si>
    <t>ROCK: 2026 Budget workbook SOP V1.docx; Regional Manager Handout</t>
  </si>
  <si>
    <t>Formalize existing drafts before 2027 budget season</t>
  </si>
  <si>
    <t>AP Process</t>
  </si>
  <si>
    <t>Build - 300 Avid covers system side; this is PO/coding compliance</t>
  </si>
  <si>
    <t>Financial Reporting</t>
  </si>
  <si>
    <t>P&amp;L Reporting</t>
  </si>
  <si>
    <t>Quarterly Reporting</t>
  </si>
  <si>
    <t>Corporate Model</t>
  </si>
  <si>
    <t>Month End Close (Accounting)</t>
  </si>
  <si>
    <t>ROCK/David: Accounting Team Calendar.xlsx</t>
  </si>
  <si>
    <t>Formalize from accounting calendar</t>
  </si>
  <si>
    <t>806</t>
  </si>
  <si>
    <t>Security Deposit Handling &amp; Refund (FL)</t>
  </si>
  <si>
    <t>OneDrive: 806-security_deposit_flowchart.html</t>
  </si>
  <si>
    <t>OneDrive: 806-security_deposit_sop.docx</t>
  </si>
  <si>
    <t>Drafted 2026-08-06 from FS 83.49 + 723.031(9). GA version = 814, SC version = 824</t>
  </si>
  <si>
    <t>Debt Payment</t>
  </si>
  <si>
    <t>ROCK/David: MASTER Debt Overview.xlsx</t>
  </si>
  <si>
    <t>Build from David's master workbook</t>
  </si>
  <si>
    <t>Tax Process</t>
  </si>
  <si>
    <t>ROCK/David: MASTER Property Final Tax Bills.xlsb</t>
  </si>
  <si>
    <t>Fixed Assets</t>
  </si>
  <si>
    <t>WIP Close Outs</t>
  </si>
  <si>
    <t>Build - pairs with Project Sign Off</t>
  </si>
  <si>
    <t>ACQUISITIONS / ASSET MGMT</t>
  </si>
  <si>
    <t>Acquisitions / Asset Mgmt</t>
  </si>
  <si>
    <t>Due Diligence &amp; Acquisition Process</t>
  </si>
  <si>
    <t>Asset Mgmt / Acquisitions</t>
  </si>
  <si>
    <t>ROCK/Zach: DD Process Flowchart v2.0.pdf</t>
  </si>
  <si>
    <t>PRIORITY - Zach's flowchart exists. Move to Lucid shared folder, number in 500s, draft SOP</t>
  </si>
  <si>
    <t>Acquisitions Transitions (Community Takeover)</t>
  </si>
  <si>
    <t>ROCK: Regional to Regional Transitions.docx</t>
  </si>
  <si>
    <t>BUILD - Tier 1 gap. Regional transition doc is partial raw material</t>
  </si>
  <si>
    <t>Utility Onboarding (Acquisitions)</t>
  </si>
  <si>
    <t>BUILD - Tier 1 gap. Sub-metering / master-meter / RUBS setup at takeover</t>
  </si>
  <si>
    <t>Acq-OPS Transition Recaps</t>
  </si>
  <si>
    <t>Disposition / Selling of Assets (dept requirements)</t>
  </si>
  <si>
    <t>Build - was a stub row in v2 with no detail</t>
  </si>
  <si>
    <t>LEGAL / COMPLIANCE</t>
  </si>
  <si>
    <t>Legal / Compliance</t>
  </si>
  <si>
    <t>Post Eviction Title Process</t>
  </si>
  <si>
    <t>OneDrive: Post-Eviction Title Process.pdf</t>
  </si>
  <si>
    <t>OneDrive: Post Eviction Title Transfer SOP.pdf</t>
  </si>
  <si>
    <t>Drafts exist but unnumbered - number in 800s, route for review. Lucid: Abandonment Process Flow relates</t>
  </si>
  <si>
    <t>Resident Turn-In Title Transfer</t>
  </si>
  <si>
    <t>OneDrive: Resident Turn-In Process.pdf</t>
  </si>
  <si>
    <t>OneDrive: Resident Turn-In Title Transfer SOP.pdf</t>
  </si>
  <si>
    <t>NEW - drafted but never in tracker. Number + review</t>
  </si>
  <si>
    <t>Title Work Process (Master)</t>
  </si>
  <si>
    <t>Covered piecemeal by 005, Post-Eviction, Resident Turn-In, ROCK: Asset Title Transfer Tab SOP</t>
  </si>
  <si>
    <t>Unify the title SOPs into one master process w/ variants</t>
  </si>
  <si>
    <t>801</t>
  </si>
  <si>
    <t>Rent Increase &amp; Pass-Throughs (FL Ch. 723)</t>
  </si>
  <si>
    <t>OneDrive: 801-rent_increase_passthrough_flowchart.html</t>
  </si>
  <si>
    <t>OneDrive: 801-rent_increase_passthrough_sop.docx</t>
  </si>
  <si>
    <t>Drafted 2026-08-06 from FS 723.031/.033/.037/.038 + prospectuses. FL counsel review, then team review</t>
  </si>
  <si>
    <t>804</t>
  </si>
  <si>
    <t>Prospectus Delivery, Tracking &amp; Remediation (FL)</t>
  </si>
  <si>
    <t>OneDrive: 804-prospectus_delivery_flowchart.html</t>
  </si>
  <si>
    <t>OneDrive: 804-prospectus_delivery_sop.docx</t>
  </si>
  <si>
    <t>NEW - drafted 2026-08-06 from FS 723.011/.012. Includes no-prospectus community remediation list</t>
  </si>
  <si>
    <t>805</t>
  </si>
  <si>
    <t>Rules &amp; Regulations Change Process (FL)</t>
  </si>
  <si>
    <t>OneDrive: 805-rules_change_flowchart.html</t>
  </si>
  <si>
    <t>OneDrive: 805-rules_change_sop.docx</t>
  </si>
  <si>
    <t>NEW - drafted 2026-08-06 from FS 723.037/.038. FL counsel review, then team review</t>
  </si>
  <si>
    <t>Asset Title Transfer (Entity-Level)</t>
  </si>
  <si>
    <t>ROCK: Asset Title Transfer Tab SOP.pdf</t>
  </si>
  <si>
    <t>Formalize</t>
  </si>
  <si>
    <t>802</t>
  </si>
  <si>
    <t>Community Rules Violation &amp; Enforcement (FL)</t>
  </si>
  <si>
    <t>OneDrive: 802-violation_enforcement_flowchart.html</t>
  </si>
  <si>
    <t>OneDrive: 802-violation_enforcement_sop.docx</t>
  </si>
  <si>
    <t>Drafted 2026-08-06 - dual track FS 723.061 (lot tenants) / FS 83.56 (POH renters). FL counsel review</t>
  </si>
  <si>
    <t>Fair Housing Annual Training</t>
  </si>
  <si>
    <t>Legal + HR</t>
  </si>
  <si>
    <t>ROCK: FHI Annual Training SOP.pdf</t>
  </si>
  <si>
    <t>Insurance Renewals</t>
  </si>
  <si>
    <t>Legal + Asset Mgmt</t>
  </si>
  <si>
    <t>ROCK/David: MASTER Insurance Policy Inventory.xlsx</t>
  </si>
  <si>
    <t>License / Permit Renewals</t>
  </si>
  <si>
    <t>ROCK/David: MASTER Compliance Calendar.xlsx</t>
  </si>
  <si>
    <t>Build from compliance calendar</t>
  </si>
  <si>
    <t>803</t>
  </si>
  <si>
    <t>Resident Notice Service &amp; Documentation (FL)</t>
  </si>
  <si>
    <t>OneDrive: 803-notice_service_flowchart.html</t>
  </si>
  <si>
    <t>OneDrive: 803-notice_service_sop.docx</t>
  </si>
  <si>
    <t>Drafted 2026-08-06 - service standards matrix (FS 723.037/.061, 83.49/.56) + 5-day mailbox rule. Referenced by 100/107/801/802/805/806</t>
  </si>
  <si>
    <t>811</t>
  </si>
  <si>
    <t>Rent Increase &amp; Term Changes (GA)</t>
  </si>
  <si>
    <t>OneDrive: 811-ga_rent_increase_flowchart.html</t>
  </si>
  <si>
    <t>OneDrive: 811-ga_rent_increase_sop.docx</t>
  </si>
  <si>
    <t>Drafted 2026-08-06 from O.C.G.A. 44-7-7 + lease terms. GA counsel review</t>
  </si>
  <si>
    <t>812</t>
  </si>
  <si>
    <t>Violations, Demand &amp; Dispossessory (GA)</t>
  </si>
  <si>
    <t>OneDrive: 812-ga_violations_dispossessory_flowchart.html</t>
  </si>
  <si>
    <t>OneDrive: 812-ga_violations_dispossessory_sop.docx</t>
  </si>
  <si>
    <t>Drafted 2026-08-06 - incl. 2024 three-business-day notice (44-7-50(c)) + 7-day tender rule (44-7-52). GA counsel review</t>
  </si>
  <si>
    <t>813</t>
  </si>
  <si>
    <t>Resident Notice Service &amp; Documentation (GA)</t>
  </si>
  <si>
    <t>OneDrive: 813-ga_notice_service_flowchart.html</t>
  </si>
  <si>
    <t>OneDrive: 813-ga_notice_service_sop.docx</t>
  </si>
  <si>
    <t>Drafted 2026-08-06 - sealed-envelope door posting standard</t>
  </si>
  <si>
    <t>814</t>
  </si>
  <si>
    <t>Security Deposit Handling &amp; Refund (GA)</t>
  </si>
  <si>
    <t>Legal + Accounting</t>
  </si>
  <si>
    <t>OneDrive: 814-ga_security_deposit_flowchart.html</t>
  </si>
  <si>
    <t>OneDrive: 814-ga_security_deposit_sop.docx</t>
  </si>
  <si>
    <t>Drafted 2026-08-06 from O.C.G.A. 44-7-30 to -37 (escrow, inspection lists, 30-day return)</t>
  </si>
  <si>
    <t>821</t>
  </si>
  <si>
    <t>Rent Increase &amp; Rental Agreement Requirements (SC)</t>
  </si>
  <si>
    <t>OneDrive: 821-sc_rent_increase_flowchart.html</t>
  </si>
  <si>
    <t>OneDrive: 821-sc_rent_increase_sop.docx</t>
  </si>
  <si>
    <t>Drafted 2026-08-06 from SC 27-47-420/-310/-510 (30-day notice + continuation election). SC counsel review</t>
  </si>
  <si>
    <t>822</t>
  </si>
  <si>
    <t>Violations, Eviction &amp; Abandoned Home (SC)</t>
  </si>
  <si>
    <t>OneDrive: 822-sc_violations_eviction_flowchart.html</t>
  </si>
  <si>
    <t>OneDrive: 822-sc_violations_eviction_sop.docx</t>
  </si>
  <si>
    <t>Drafted 2026-08-06 from SC 27-47-530 + 27-40-710; incl. 20-day abandoned home auction path (29-15-10). SC counsel review</t>
  </si>
  <si>
    <t>823</t>
  </si>
  <si>
    <t>Resident Notice Service &amp; Documentation (SC)</t>
  </si>
  <si>
    <t>OneDrive: 823-sc_notice_service_flowchart.html</t>
  </si>
  <si>
    <t>OneDrive: 823-sc_notice_service_sop.docx</t>
  </si>
  <si>
    <t>Drafted 2026-08-06</t>
  </si>
  <si>
    <t>824</t>
  </si>
  <si>
    <t>Security Deposit Handling &amp; Refund (SC)</t>
  </si>
  <si>
    <t>OneDrive: 824-sc_security_deposit_flowchart.html</t>
  </si>
  <si>
    <t>OneDrive: 824-sc_security_deposit_sop.docx</t>
  </si>
  <si>
    <t>Drafted 2026-08-06 from SC 27-47-520 + 27-40-410 (30-day return, treble damages)</t>
  </si>
  <si>
    <t>HR / TRAINING</t>
  </si>
  <si>
    <t>HR / Training</t>
  </si>
  <si>
    <t>Manager Onboarding</t>
  </si>
  <si>
    <t>HR</t>
  </si>
  <si>
    <t>ROCK: Parakeet Online Onboarding for Community Managers.pdf</t>
  </si>
  <si>
    <t>Online Onboarding</t>
  </si>
  <si>
    <t>Same source as Manager Onboarding</t>
  </si>
  <si>
    <t>Formalize - may merge with row above</t>
  </si>
  <si>
    <t>Team Onboarding &amp; Training</t>
  </si>
  <si>
    <t>Hiring / Onboarding Responsibilities (HR vs Ops)</t>
  </si>
  <si>
    <t>HR + Operations</t>
  </si>
  <si>
    <t>Build - was an untiered stub in v2</t>
  </si>
  <si>
    <t>Triplog Training</t>
  </si>
  <si>
    <t>SYSTEMS / REPORTING</t>
  </si>
  <si>
    <t>Systems / Reporting</t>
  </si>
  <si>
    <t>Jotform Process (Form Ecosystem)</t>
  </si>
  <si>
    <t>Operations + Systems</t>
  </si>
  <si>
    <t>Lucid: JotForm Workflows</t>
  </si>
  <si>
    <t>Consolidate all Jotform SOPs into ecosystem doc</t>
  </si>
  <si>
    <t>Rent Manager Express Docs</t>
  </si>
  <si>
    <t>ROCK: Lease generation RM Express PDFs</t>
  </si>
  <si>
    <t>Legend:</t>
  </si>
  <si>
    <t>Green row = Approved / final draft</t>
  </si>
  <si>
    <t>Yellow row = Drafted, pending review</t>
  </si>
  <si>
    <t>Red row = Tier 1 Critical with nothing started</t>
  </si>
  <si>
    <t>Pipeline Summary</t>
  </si>
  <si>
    <t>Counts pull live from the SOP Tracker tab.</t>
  </si>
  <si>
    <t>Status</t>
  </si>
  <si>
    <t>Workflows</t>
  </si>
  <si>
    <t>SOP Docs</t>
  </si>
  <si>
    <t>Total processes tracked</t>
  </si>
  <si>
    <t>Workflows still needed (YES flags)</t>
  </si>
  <si>
    <t>Tier 1 Critical not started (red rows)</t>
  </si>
  <si>
    <t>Numbering System</t>
  </si>
  <si>
    <t>000-099</t>
  </si>
  <si>
    <t>Sales &amp; Marketing</t>
  </si>
  <si>
    <t>100-199</t>
  </si>
  <si>
    <t>200-299</t>
  </si>
  <si>
    <t>300-399</t>
  </si>
  <si>
    <t>Accounting</t>
  </si>
  <si>
    <t>400-499</t>
  </si>
  <si>
    <t>Asset Management</t>
  </si>
  <si>
    <t>500-599</t>
  </si>
  <si>
    <t>Acquisitions / Dispositions</t>
  </si>
  <si>
    <t>600-699</t>
  </si>
  <si>
    <t>Systems / IT / Reporting</t>
  </si>
  <si>
    <t>700-799</t>
  </si>
  <si>
    <t>800-899</t>
  </si>
  <si>
    <t>Legal</t>
  </si>
  <si>
    <t>v2 to v3 Change Log  |  2026-08-06</t>
  </si>
  <si>
    <t>Type</t>
  </si>
  <si>
    <t>Change</t>
  </si>
  <si>
    <t>Consolidated</t>
  </si>
  <si>
    <t>"Collections" duplicate row merged into 100 AR &amp; Collections.</t>
  </si>
  <si>
    <t>"Eviction Process" (800) + "Evictions" (800, flagged duplicate in v2) merged into 107 Eviction Process, which has the current drafts (Aug 2026). Final number 107 vs 800 still needs a call since 800-block is Legal.</t>
  </si>
  <si>
    <t>"Site Visit and Follow-Up Process" (recommended addition) merged into 106 Regional 30-Day Site Visit.</t>
  </si>
  <si>
    <t>"New Home Delivery / Set / Utility / Sales Release" (recommended addition) merged into 201, which has drafted workflow + SOP.</t>
  </si>
  <si>
    <t>"AMRENT Background Check" (Legal) + "Prospect Screening/AMRENT" (Sales) merged into 006 Lead Intake &amp; Screening.</t>
  </si>
  <si>
    <t>"Ops/Const Weekly Updates" (#33) + "Project Coordination Weekly Update" (#58) merged into one row.</t>
  </si>
  <si>
    <t>"repo home process" stub merged into 302 Home Lender Repo.</t>
  </si>
  <si>
    <t>Numbering fix</t>
  </si>
  <si>
    <t>v2 Sheet1 had 002/003 swapped vs the main sheet and the actual files. v3 follows the files: 002 = Home Sales, 003 = Closing Prep. Stale Sheet1 list dropped entirely.</t>
  </si>
  <si>
    <t>Status fix</t>
  </si>
  <si>
    <t>106: v2 showed no workflow. Lucid flowchart PDF + SOP draft both exist.</t>
  </si>
  <si>
    <t>201: v2 row was blank. Workflow (Lucid) + SOP draft V1 + JC delivery procedure all exist.</t>
  </si>
  <si>
    <t>200 Demo &amp; Lot Prep: marked APPROVED (docx + swimlane approved in folder). Covers the "Lot Prep" tracker row.</t>
  </si>
  <si>
    <t>Post Eviction Title + Resident Turn-In Title: drafted SOPs/PDFs exist in folder - v2 showed Not Started / not listed.</t>
  </si>
  <si>
    <t>Make Ready Board, DD Process (Zach flowchart v2.0), Budgets, Month End, Lease Generation, Open House, Fair Housing, Online Loan App, Manager Onboarding: raw drafts exist in ROCK processes - flagged "Raw material - needs formalizing" instead of Not Started.</t>
  </si>
  <si>
    <t>Added</t>
  </si>
  <si>
    <t>Rows never in v2: Weekly Manager Recap, Resident Turn-In Title Transfer, Sign Installation Package, Maintenance vs Construction, Home Listing, Offer Submission, Payroll (Lucid draft).</t>
  </si>
  <si>
    <t>Cleanup needed</t>
  </si>
  <si>
    <t>Lucid near-duplicates to archive: 102 V1 Move Out, 105a original draft, 200 vs 200a Demo to Infill, 300_Avid vs 300_Avid AP Process, 2x Blank diagrams, Copy of 003-Sale Process, Move in &amp; Move Out process (superseded by 102/103).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</si>
</sst>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2F4E65"/>
      <name val="Calibri"/>
      <charset val="1"/>
    </font>
    <font>
      <b/>
      <sz val="20"/>
      <color rgb="FF2F4E65"/>
      <name val="Calibri"/>
      <charset val="1"/>
    </font>
    <font>
      <sz val="11"/>
      <color rgb="FF8FA3B2"/>
      <name val="Calibri"/>
      <charset val="1"/>
    </font>
    <font>
      <b/>
      <sz val="10"/>
      <color rgb="FFFFFFFF"/>
      <name val="Calibri"/>
      <charset val="1"/>
    </font>
    <font>
      <b/>
      <sz val="10"/>
      <color rgb="FF2F4E65"/>
      <name val="Calibri"/>
      <charset val="1"/>
    </font>
    <font>
      <b/>
      <sz val="10"/>
      <color rgb="FF4ABA81"/>
      <name val="Calibri"/>
      <charset val="1"/>
    </font>
    <font>
      <b/>
      <sz val="10"/>
      <color rgb="FFF16262"/>
      <name val="Calibri"/>
      <charset val="1"/>
    </font>
    <font>
      <sz val="11"/>
      <color theme="1"/>
      <name val="Calibri"/>
      <family val="2"/>
      <charset val="1"/>
    </font>
    <font>
      <b/>
      <sz val="11"/>
      <color rgb="FFF16262"/>
      <name val="Calibri"/>
      <charset val="1"/>
    </font>
    <font>
      <b/>
      <sz val="14"/>
      <color rgb="FF2F4E65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2F4E65"/>
        <bgColor rgb="FF333399"/>
      </patternFill>
    </fill>
    <fill>
      <patternFill patternType="solid">
        <fgColor rgb="FF8FA3B2"/>
        <bgColor rgb="FF9999FF"/>
      </patternFill>
    </fill>
    <fill>
      <patternFill patternType="solid">
        <fgColor rgb="FFDCF2E7"/>
        <bgColor rgb="FFF5F7F8"/>
      </patternFill>
    </fill>
    <fill>
      <patternFill patternType="solid">
        <fgColor rgb="FFFFF3CC"/>
        <bgColor rgb="FFF5F7F8"/>
      </patternFill>
    </fill>
    <fill>
      <patternFill patternType="solid">
        <fgColor rgb="FFFCDEDE"/>
        <bgColor rgb="FFFFF3CC"/>
      </patternFill>
    </fill>
    <fill>
      <patternFill patternType="solid">
        <fgColor rgb="FFF5F7F8"/>
        <bgColor rgb="FFFFFFFF"/>
      </patternFill>
    </fill>
  </fills>
  <borders count="2">
    <border>
      <left/>
      <right/>
      <top/>
      <bottom/>
      <diagonal/>
    </border>
    <border>
      <left style="thin">
        <color rgb="FFC9D4DC"/>
      </left>
      <right style="thin">
        <color rgb="FFC9D4DC"/>
      </right>
      <top style="thin">
        <color rgb="FFC9D4DC"/>
      </top>
      <bottom style="thin">
        <color rgb="FFC9D4D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/>
    <xf numFmtId="0" fontId="2" fillId="0" borderId="0" xfId="0" applyFont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C"/>
      <rgbColor rgb="FFDCF2E7"/>
      <rgbColor rgb="FF660066"/>
      <rgbColor rgb="FFF16262"/>
      <rgbColor rgb="FF0066CC"/>
      <rgbColor rgb="FFC9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8"/>
      <rgbColor rgb="FFCCFFCC"/>
      <rgbColor rgb="FFFFFF99"/>
      <rgbColor rgb="FF99CCFF"/>
      <rgbColor rgb="FFFF99CC"/>
      <rgbColor rgb="FFCC99FF"/>
      <rgbColor rgb="FFFCDEDE"/>
      <rgbColor rgb="FF3366FF"/>
      <rgbColor rgb="FF33CCCC"/>
      <rgbColor rgb="FF99CC00"/>
      <rgbColor rgb="FFFFCC00"/>
      <rgbColor rgb="FFFF9900"/>
      <rgbColor rgb="FFFF6600"/>
      <rgbColor rgb="FF666699"/>
      <rgbColor rgb="FF8FA3B2"/>
      <rgbColor rgb="FF003366"/>
      <rgbColor rgb="FF4ABA81"/>
      <rgbColor rgb="FF003300"/>
      <rgbColor rgb="FF333300"/>
      <rgbColor rgb="FF993300"/>
      <rgbColor rgb="FF993366"/>
      <rgbColor rgb="FF333399"/>
      <rgbColor rgb="FF2F4E6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1234080</xdr:colOff>
      <xdr:row>0</xdr:row>
      <xdr:rowOff>475920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1892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tabSelected="1" zoomScale="85" zoomScaleNormal="85" workbookViewId="0">
      <pane xSplit="3" ySplit="6" topLeftCell="D7" activePane="bottomRight" state="frozen"/>
      <selection pane="bottomRight" activeCell="E1" sqref="E1"/>
      <selection pane="bottomLeft" activeCell="A7" sqref="A7"/>
      <selection pane="topRight" activeCell="D1" sqref="D1"/>
    </sheetView>
  </sheetViews>
  <sheetFormatPr defaultColWidth="8.7109375" defaultRowHeight="15"/>
  <cols>
    <col min="1" max="1" width="6" customWidth="1"/>
    <col min="2" max="2" width="20" customWidth="1"/>
    <col min="3" max="3" width="42" customWidth="1"/>
    <col min="4" max="4" width="16" customWidth="1"/>
    <col min="5" max="5" width="13" customWidth="1"/>
    <col min="6" max="6" width="11" customWidth="1"/>
    <col min="7" max="8" width="22" customWidth="1"/>
    <col min="9" max="9" width="38" customWidth="1"/>
    <col min="10" max="10" width="22" customWidth="1"/>
    <col min="11" max="11" width="38" customWidth="1"/>
    <col min="12" max="12" width="11" customWidth="1"/>
    <col min="13" max="13" width="6" customWidth="1"/>
    <col min="14" max="14" width="12" customWidth="1"/>
    <col min="15" max="15" width="44" customWidth="1"/>
  </cols>
  <sheetData>
    <row r="1" spans="1:16" ht="45" customHeight="1"/>
    <row r="3" spans="1:16" ht="24.4"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>
      <c r="B4" s="30" t="s">
        <v>1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6" spans="1:16" ht="23.8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16" ht="15" customHeight="1">
      <c r="A7" s="1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23.85">
      <c r="A8" s="5" t="s">
        <v>18</v>
      </c>
      <c r="B8" s="6" t="s">
        <v>19</v>
      </c>
      <c r="C8" s="7" t="s">
        <v>20</v>
      </c>
      <c r="D8" s="5" t="s">
        <v>21</v>
      </c>
      <c r="E8" s="6" t="s">
        <v>22</v>
      </c>
      <c r="F8" s="5" t="s">
        <v>23</v>
      </c>
      <c r="G8" s="6" t="s">
        <v>24</v>
      </c>
      <c r="H8" s="6" t="s">
        <v>25</v>
      </c>
      <c r="I8" s="6" t="s">
        <v>26</v>
      </c>
      <c r="J8" s="6" t="s">
        <v>25</v>
      </c>
      <c r="K8" s="6" t="s">
        <v>27</v>
      </c>
      <c r="L8" s="5"/>
      <c r="M8" s="5" t="s">
        <v>28</v>
      </c>
      <c r="N8" s="8" t="s">
        <v>29</v>
      </c>
      <c r="O8" s="6" t="s">
        <v>30</v>
      </c>
    </row>
    <row r="9" spans="1:16" ht="23.85">
      <c r="A9" s="9" t="s">
        <v>31</v>
      </c>
      <c r="B9" s="10" t="s">
        <v>19</v>
      </c>
      <c r="C9" s="11" t="s">
        <v>32</v>
      </c>
      <c r="D9" s="9" t="s">
        <v>33</v>
      </c>
      <c r="E9" s="10" t="s">
        <v>34</v>
      </c>
      <c r="F9" s="9" t="s">
        <v>35</v>
      </c>
      <c r="G9" s="10" t="s">
        <v>24</v>
      </c>
      <c r="H9" s="10" t="s">
        <v>36</v>
      </c>
      <c r="I9" s="10" t="s">
        <v>37</v>
      </c>
      <c r="J9" s="10" t="s">
        <v>36</v>
      </c>
      <c r="K9" s="10" t="s">
        <v>38</v>
      </c>
      <c r="L9" s="9"/>
      <c r="M9" s="9" t="s">
        <v>28</v>
      </c>
      <c r="N9" s="9" t="s">
        <v>39</v>
      </c>
      <c r="O9" s="10" t="s">
        <v>40</v>
      </c>
    </row>
    <row r="10" spans="1:16" ht="35.1">
      <c r="A10" s="9" t="s">
        <v>41</v>
      </c>
      <c r="B10" s="10" t="s">
        <v>19</v>
      </c>
      <c r="C10" s="11" t="s">
        <v>42</v>
      </c>
      <c r="D10" s="9" t="s">
        <v>33</v>
      </c>
      <c r="E10" s="10" t="s">
        <v>34</v>
      </c>
      <c r="F10" s="9" t="s">
        <v>35</v>
      </c>
      <c r="G10" s="10" t="s">
        <v>24</v>
      </c>
      <c r="H10" s="10" t="s">
        <v>36</v>
      </c>
      <c r="I10" s="10" t="s">
        <v>43</v>
      </c>
      <c r="J10" s="10" t="s">
        <v>36</v>
      </c>
      <c r="K10" s="10" t="s">
        <v>44</v>
      </c>
      <c r="L10" s="9"/>
      <c r="M10" s="9" t="s">
        <v>28</v>
      </c>
      <c r="N10" s="9" t="s">
        <v>39</v>
      </c>
      <c r="O10" s="10" t="s">
        <v>40</v>
      </c>
    </row>
    <row r="11" spans="1:16" ht="23.85">
      <c r="A11" s="9" t="s">
        <v>45</v>
      </c>
      <c r="B11" s="10" t="s">
        <v>19</v>
      </c>
      <c r="C11" s="11" t="s">
        <v>46</v>
      </c>
      <c r="D11" s="9" t="s">
        <v>33</v>
      </c>
      <c r="E11" s="10" t="s">
        <v>34</v>
      </c>
      <c r="F11" s="9" t="s">
        <v>23</v>
      </c>
      <c r="G11" s="10" t="s">
        <v>24</v>
      </c>
      <c r="H11" s="10" t="s">
        <v>36</v>
      </c>
      <c r="I11" s="10" t="s">
        <v>47</v>
      </c>
      <c r="J11" s="10" t="s">
        <v>36</v>
      </c>
      <c r="K11" s="10" t="s">
        <v>48</v>
      </c>
      <c r="L11" s="9"/>
      <c r="M11" s="9" t="s">
        <v>28</v>
      </c>
      <c r="N11" s="9" t="s">
        <v>39</v>
      </c>
      <c r="O11" s="10" t="s">
        <v>40</v>
      </c>
    </row>
    <row r="12" spans="1:16" ht="23.85">
      <c r="A12" s="9" t="s">
        <v>49</v>
      </c>
      <c r="B12" s="10" t="s">
        <v>19</v>
      </c>
      <c r="C12" s="11" t="s">
        <v>50</v>
      </c>
      <c r="D12" s="9" t="s">
        <v>33</v>
      </c>
      <c r="E12" s="10" t="s">
        <v>34</v>
      </c>
      <c r="F12" s="9" t="s">
        <v>35</v>
      </c>
      <c r="G12" s="10" t="s">
        <v>24</v>
      </c>
      <c r="H12" s="10" t="s">
        <v>36</v>
      </c>
      <c r="I12" s="10" t="s">
        <v>51</v>
      </c>
      <c r="J12" s="10" t="s">
        <v>36</v>
      </c>
      <c r="K12" s="10" t="s">
        <v>52</v>
      </c>
      <c r="L12" s="9"/>
      <c r="M12" s="9" t="s">
        <v>28</v>
      </c>
      <c r="N12" s="9" t="s">
        <v>39</v>
      </c>
      <c r="O12" s="10" t="s">
        <v>40</v>
      </c>
    </row>
    <row r="13" spans="1:16" ht="35.1">
      <c r="A13" s="9" t="s">
        <v>53</v>
      </c>
      <c r="B13" s="10" t="s">
        <v>19</v>
      </c>
      <c r="C13" s="11" t="s">
        <v>54</v>
      </c>
      <c r="D13" s="9" t="s">
        <v>21</v>
      </c>
      <c r="E13" s="10" t="s">
        <v>22</v>
      </c>
      <c r="F13" s="9" t="s">
        <v>23</v>
      </c>
      <c r="G13" s="10" t="s">
        <v>24</v>
      </c>
      <c r="H13" s="10" t="s">
        <v>36</v>
      </c>
      <c r="I13" s="10" t="s">
        <v>55</v>
      </c>
      <c r="J13" s="10" t="s">
        <v>36</v>
      </c>
      <c r="K13" s="10" t="s">
        <v>56</v>
      </c>
      <c r="L13" s="9"/>
      <c r="M13" s="9" t="s">
        <v>28</v>
      </c>
      <c r="N13" s="9" t="s">
        <v>39</v>
      </c>
      <c r="O13" s="10" t="s">
        <v>57</v>
      </c>
    </row>
    <row r="14" spans="1:16" ht="23.85">
      <c r="A14" s="12"/>
      <c r="B14" s="13" t="s">
        <v>19</v>
      </c>
      <c r="C14" s="14" t="s">
        <v>58</v>
      </c>
      <c r="D14" s="12" t="s">
        <v>21</v>
      </c>
      <c r="E14" s="13" t="s">
        <v>34</v>
      </c>
      <c r="F14" s="12" t="s">
        <v>23</v>
      </c>
      <c r="G14" s="13" t="s">
        <v>24</v>
      </c>
      <c r="H14" s="13" t="s">
        <v>59</v>
      </c>
      <c r="I14" s="13"/>
      <c r="J14" s="13" t="s">
        <v>60</v>
      </c>
      <c r="K14" s="13" t="s">
        <v>61</v>
      </c>
      <c r="L14" s="12"/>
      <c r="M14" s="12"/>
      <c r="N14" s="15" t="s">
        <v>62</v>
      </c>
      <c r="O14" s="13" t="s">
        <v>63</v>
      </c>
    </row>
    <row r="15" spans="1:16" ht="23.85">
      <c r="A15" s="12"/>
      <c r="B15" s="13" t="s">
        <v>19</v>
      </c>
      <c r="C15" s="14" t="s">
        <v>64</v>
      </c>
      <c r="D15" s="12" t="s">
        <v>65</v>
      </c>
      <c r="E15" s="13" t="s">
        <v>22</v>
      </c>
      <c r="F15" s="12" t="s">
        <v>23</v>
      </c>
      <c r="G15" s="13" t="s">
        <v>24</v>
      </c>
      <c r="H15" s="13" t="s">
        <v>66</v>
      </c>
      <c r="I15" s="13" t="s">
        <v>67</v>
      </c>
      <c r="J15" s="13" t="s">
        <v>60</v>
      </c>
      <c r="K15" s="13" t="s">
        <v>68</v>
      </c>
      <c r="L15" s="12"/>
      <c r="M15" s="12"/>
      <c r="N15" s="15" t="s">
        <v>62</v>
      </c>
      <c r="O15" s="13" t="s">
        <v>69</v>
      </c>
    </row>
    <row r="16" spans="1:16" ht="23.85">
      <c r="A16" s="12"/>
      <c r="B16" s="13" t="s">
        <v>19</v>
      </c>
      <c r="C16" s="14" t="s">
        <v>70</v>
      </c>
      <c r="D16" s="12" t="s">
        <v>65</v>
      </c>
      <c r="E16" s="13" t="s">
        <v>34</v>
      </c>
      <c r="F16" s="12" t="s">
        <v>23</v>
      </c>
      <c r="G16" s="13" t="s">
        <v>24</v>
      </c>
      <c r="H16" s="13" t="s">
        <v>66</v>
      </c>
      <c r="I16" s="13" t="s">
        <v>71</v>
      </c>
      <c r="J16" s="13" t="s">
        <v>59</v>
      </c>
      <c r="K16" s="13"/>
      <c r="L16" s="12"/>
      <c r="M16" s="12"/>
      <c r="N16" s="15" t="s">
        <v>62</v>
      </c>
      <c r="O16" s="13" t="s">
        <v>72</v>
      </c>
    </row>
    <row r="17" spans="1:15" ht="23.85">
      <c r="A17" s="12"/>
      <c r="B17" s="13" t="s">
        <v>19</v>
      </c>
      <c r="C17" s="14" t="s">
        <v>73</v>
      </c>
      <c r="D17" s="12" t="s">
        <v>65</v>
      </c>
      <c r="E17" s="13" t="s">
        <v>34</v>
      </c>
      <c r="F17" s="12" t="s">
        <v>23</v>
      </c>
      <c r="G17" s="13" t="s">
        <v>24</v>
      </c>
      <c r="H17" s="13" t="s">
        <v>66</v>
      </c>
      <c r="I17" s="13" t="s">
        <v>74</v>
      </c>
      <c r="J17" s="13" t="s">
        <v>59</v>
      </c>
      <c r="K17" s="13"/>
      <c r="L17" s="12"/>
      <c r="M17" s="12"/>
      <c r="N17" s="15" t="s">
        <v>62</v>
      </c>
      <c r="O17" s="13" t="s">
        <v>75</v>
      </c>
    </row>
    <row r="18" spans="1:15" ht="23.85">
      <c r="A18" s="12"/>
      <c r="B18" s="13" t="s">
        <v>19</v>
      </c>
      <c r="C18" s="14" t="s">
        <v>76</v>
      </c>
      <c r="D18" s="12" t="s">
        <v>65</v>
      </c>
      <c r="E18" s="13" t="s">
        <v>34</v>
      </c>
      <c r="F18" s="12" t="s">
        <v>23</v>
      </c>
      <c r="G18" s="13" t="s">
        <v>77</v>
      </c>
      <c r="H18" s="13" t="s">
        <v>59</v>
      </c>
      <c r="I18" s="13"/>
      <c r="J18" s="13" t="s">
        <v>59</v>
      </c>
      <c r="K18" s="13"/>
      <c r="L18" s="12"/>
      <c r="M18" s="12"/>
      <c r="N18" s="15" t="s">
        <v>62</v>
      </c>
      <c r="O18" s="13" t="s">
        <v>78</v>
      </c>
    </row>
    <row r="19" spans="1:15" ht="23.85">
      <c r="A19" s="12"/>
      <c r="B19" s="13" t="s">
        <v>19</v>
      </c>
      <c r="C19" s="14" t="s">
        <v>79</v>
      </c>
      <c r="D19" s="12" t="s">
        <v>80</v>
      </c>
      <c r="E19" s="13" t="s">
        <v>22</v>
      </c>
      <c r="F19" s="12" t="s">
        <v>81</v>
      </c>
      <c r="G19" s="13" t="s">
        <v>82</v>
      </c>
      <c r="H19" s="13" t="s">
        <v>59</v>
      </c>
      <c r="I19" s="13"/>
      <c r="J19" s="13" t="s">
        <v>60</v>
      </c>
      <c r="K19" s="13" t="s">
        <v>83</v>
      </c>
      <c r="L19" s="12"/>
      <c r="M19" s="12"/>
      <c r="N19" s="15" t="s">
        <v>62</v>
      </c>
      <c r="O19" s="13" t="s">
        <v>84</v>
      </c>
    </row>
    <row r="20" spans="1:15" ht="23.85">
      <c r="A20" s="12"/>
      <c r="B20" s="13" t="s">
        <v>19</v>
      </c>
      <c r="C20" s="14" t="s">
        <v>85</v>
      </c>
      <c r="D20" s="12" t="s">
        <v>80</v>
      </c>
      <c r="E20" s="13" t="s">
        <v>22</v>
      </c>
      <c r="F20" s="12" t="s">
        <v>81</v>
      </c>
      <c r="G20" s="13" t="s">
        <v>82</v>
      </c>
      <c r="H20" s="13" t="s">
        <v>59</v>
      </c>
      <c r="I20" s="13"/>
      <c r="J20" s="13" t="s">
        <v>60</v>
      </c>
      <c r="K20" s="13" t="s">
        <v>86</v>
      </c>
      <c r="L20" s="12"/>
      <c r="M20" s="12"/>
      <c r="N20" s="15" t="s">
        <v>62</v>
      </c>
      <c r="O20" s="13" t="s">
        <v>87</v>
      </c>
    </row>
    <row r="21" spans="1:15">
      <c r="A21" s="12"/>
      <c r="B21" s="13" t="s">
        <v>19</v>
      </c>
      <c r="C21" s="14" t="s">
        <v>88</v>
      </c>
      <c r="D21" s="12" t="s">
        <v>80</v>
      </c>
      <c r="E21" s="13" t="s">
        <v>22</v>
      </c>
      <c r="F21" s="12" t="s">
        <v>81</v>
      </c>
      <c r="G21" s="13" t="s">
        <v>82</v>
      </c>
      <c r="H21" s="13" t="s">
        <v>59</v>
      </c>
      <c r="I21" s="13"/>
      <c r="J21" s="13" t="s">
        <v>59</v>
      </c>
      <c r="K21" s="13"/>
      <c r="L21" s="12"/>
      <c r="M21" s="12"/>
      <c r="N21" s="15" t="s">
        <v>62</v>
      </c>
      <c r="O21" s="13" t="s">
        <v>89</v>
      </c>
    </row>
    <row r="22" spans="1:15" ht="15" customHeight="1">
      <c r="A22" s="1" t="s">
        <v>90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85">
      <c r="A23" s="9" t="s">
        <v>91</v>
      </c>
      <c r="B23" s="10" t="s">
        <v>92</v>
      </c>
      <c r="C23" s="11" t="s">
        <v>93</v>
      </c>
      <c r="D23" s="9" t="s">
        <v>33</v>
      </c>
      <c r="E23" s="10" t="s">
        <v>22</v>
      </c>
      <c r="F23" s="9" t="s">
        <v>35</v>
      </c>
      <c r="G23" s="10" t="s">
        <v>92</v>
      </c>
      <c r="H23" s="10" t="s">
        <v>36</v>
      </c>
      <c r="I23" s="10" t="s">
        <v>94</v>
      </c>
      <c r="J23" s="10" t="s">
        <v>36</v>
      </c>
      <c r="K23" s="10" t="s">
        <v>95</v>
      </c>
      <c r="L23" s="9" t="s">
        <v>96</v>
      </c>
      <c r="M23" s="9" t="s">
        <v>28</v>
      </c>
      <c r="N23" s="9" t="s">
        <v>39</v>
      </c>
      <c r="O23" s="10" t="s">
        <v>97</v>
      </c>
    </row>
    <row r="24" spans="1:15">
      <c r="A24" s="9" t="s">
        <v>98</v>
      </c>
      <c r="B24" s="10" t="s">
        <v>92</v>
      </c>
      <c r="C24" s="11" t="s">
        <v>99</v>
      </c>
      <c r="D24" s="9" t="s">
        <v>33</v>
      </c>
      <c r="E24" s="10" t="s">
        <v>22</v>
      </c>
      <c r="F24" s="9" t="s">
        <v>23</v>
      </c>
      <c r="G24" s="10" t="s">
        <v>92</v>
      </c>
      <c r="H24" s="10" t="s">
        <v>36</v>
      </c>
      <c r="I24" s="10" t="s">
        <v>100</v>
      </c>
      <c r="J24" s="10" t="s">
        <v>36</v>
      </c>
      <c r="K24" s="10" t="s">
        <v>101</v>
      </c>
      <c r="L24" s="9" t="s">
        <v>96</v>
      </c>
      <c r="M24" s="9" t="s">
        <v>28</v>
      </c>
      <c r="N24" s="9" t="s">
        <v>39</v>
      </c>
      <c r="O24" s="10" t="s">
        <v>40</v>
      </c>
    </row>
    <row r="25" spans="1:15">
      <c r="A25" s="9" t="s">
        <v>102</v>
      </c>
      <c r="B25" s="10" t="s">
        <v>92</v>
      </c>
      <c r="C25" s="11" t="s">
        <v>103</v>
      </c>
      <c r="D25" s="9" t="s">
        <v>33</v>
      </c>
      <c r="E25" s="10" t="s">
        <v>34</v>
      </c>
      <c r="F25" s="9" t="s">
        <v>35</v>
      </c>
      <c r="G25" s="10" t="s">
        <v>92</v>
      </c>
      <c r="H25" s="10" t="s">
        <v>36</v>
      </c>
      <c r="I25" s="10" t="s">
        <v>104</v>
      </c>
      <c r="J25" s="10" t="s">
        <v>36</v>
      </c>
      <c r="K25" s="10" t="s">
        <v>105</v>
      </c>
      <c r="L25" s="9" t="s">
        <v>96</v>
      </c>
      <c r="M25" s="9" t="s">
        <v>28</v>
      </c>
      <c r="N25" s="9" t="s">
        <v>39</v>
      </c>
      <c r="O25" s="10" t="s">
        <v>106</v>
      </c>
    </row>
    <row r="26" spans="1:15">
      <c r="A26" s="9" t="s">
        <v>107</v>
      </c>
      <c r="B26" s="10" t="s">
        <v>92</v>
      </c>
      <c r="C26" s="11" t="s">
        <v>108</v>
      </c>
      <c r="D26" s="9" t="s">
        <v>33</v>
      </c>
      <c r="E26" s="10" t="s">
        <v>34</v>
      </c>
      <c r="F26" s="9" t="s">
        <v>35</v>
      </c>
      <c r="G26" s="10" t="s">
        <v>92</v>
      </c>
      <c r="H26" s="10" t="s">
        <v>36</v>
      </c>
      <c r="I26" s="10" t="s">
        <v>109</v>
      </c>
      <c r="J26" s="10" t="s">
        <v>36</v>
      </c>
      <c r="K26" s="10" t="s">
        <v>110</v>
      </c>
      <c r="L26" s="9"/>
      <c r="M26" s="9" t="s">
        <v>28</v>
      </c>
      <c r="N26" s="9" t="s">
        <v>39</v>
      </c>
      <c r="O26" s="10" t="s">
        <v>40</v>
      </c>
    </row>
    <row r="27" spans="1:15" ht="23.85">
      <c r="A27" s="9" t="s">
        <v>111</v>
      </c>
      <c r="B27" s="10" t="s">
        <v>92</v>
      </c>
      <c r="C27" s="11" t="s">
        <v>112</v>
      </c>
      <c r="D27" s="9" t="s">
        <v>33</v>
      </c>
      <c r="E27" s="10" t="s">
        <v>34</v>
      </c>
      <c r="F27" s="9" t="s">
        <v>35</v>
      </c>
      <c r="G27" s="10" t="s">
        <v>92</v>
      </c>
      <c r="H27" s="10" t="s">
        <v>36</v>
      </c>
      <c r="I27" s="10" t="s">
        <v>113</v>
      </c>
      <c r="J27" s="10" t="s">
        <v>36</v>
      </c>
      <c r="K27" s="10" t="s">
        <v>114</v>
      </c>
      <c r="L27" s="9"/>
      <c r="M27" s="9" t="s">
        <v>28</v>
      </c>
      <c r="N27" s="9" t="s">
        <v>39</v>
      </c>
      <c r="O27" s="10" t="s">
        <v>115</v>
      </c>
    </row>
    <row r="28" spans="1:15" ht="23.85">
      <c r="A28" s="9" t="s">
        <v>116</v>
      </c>
      <c r="B28" s="10" t="s">
        <v>92</v>
      </c>
      <c r="C28" s="11" t="s">
        <v>117</v>
      </c>
      <c r="D28" s="9" t="s">
        <v>33</v>
      </c>
      <c r="E28" s="10" t="s">
        <v>34</v>
      </c>
      <c r="F28" s="9" t="s">
        <v>35</v>
      </c>
      <c r="G28" s="10" t="s">
        <v>118</v>
      </c>
      <c r="H28" s="10" t="s">
        <v>36</v>
      </c>
      <c r="I28" s="10" t="s">
        <v>119</v>
      </c>
      <c r="J28" s="10" t="s">
        <v>36</v>
      </c>
      <c r="K28" s="10" t="s">
        <v>120</v>
      </c>
      <c r="L28" s="9"/>
      <c r="M28" s="9" t="s">
        <v>28</v>
      </c>
      <c r="N28" s="9" t="s">
        <v>39</v>
      </c>
      <c r="O28" s="10" t="s">
        <v>121</v>
      </c>
    </row>
    <row r="29" spans="1:15" ht="23.85">
      <c r="A29" s="12" t="s">
        <v>122</v>
      </c>
      <c r="B29" s="13" t="s">
        <v>92</v>
      </c>
      <c r="C29" s="14" t="s">
        <v>123</v>
      </c>
      <c r="D29" s="12" t="s">
        <v>33</v>
      </c>
      <c r="E29" s="13" t="s">
        <v>34</v>
      </c>
      <c r="F29" s="12" t="s">
        <v>23</v>
      </c>
      <c r="G29" s="13" t="s">
        <v>118</v>
      </c>
      <c r="H29" s="13" t="s">
        <v>66</v>
      </c>
      <c r="I29" s="13" t="s">
        <v>124</v>
      </c>
      <c r="J29" s="13" t="s">
        <v>60</v>
      </c>
      <c r="K29" s="13" t="s">
        <v>125</v>
      </c>
      <c r="L29" s="12"/>
      <c r="M29" s="12"/>
      <c r="N29" s="15" t="s">
        <v>62</v>
      </c>
      <c r="O29" s="13" t="s">
        <v>126</v>
      </c>
    </row>
    <row r="30" spans="1:15" ht="35.1">
      <c r="A30" s="9" t="s">
        <v>127</v>
      </c>
      <c r="B30" s="10" t="s">
        <v>92</v>
      </c>
      <c r="C30" s="11" t="s">
        <v>128</v>
      </c>
      <c r="D30" s="9" t="s">
        <v>80</v>
      </c>
      <c r="E30" s="10" t="s">
        <v>22</v>
      </c>
      <c r="F30" s="9" t="s">
        <v>81</v>
      </c>
      <c r="G30" s="10" t="s">
        <v>92</v>
      </c>
      <c r="H30" s="10" t="s">
        <v>36</v>
      </c>
      <c r="I30" s="10" t="s">
        <v>129</v>
      </c>
      <c r="J30" s="10" t="s">
        <v>36</v>
      </c>
      <c r="K30" s="10" t="s">
        <v>130</v>
      </c>
      <c r="L30" s="9"/>
      <c r="M30" s="9"/>
      <c r="N30" s="9" t="s">
        <v>39</v>
      </c>
      <c r="O30" s="10" t="s">
        <v>131</v>
      </c>
    </row>
    <row r="31" spans="1:15" ht="35.1">
      <c r="A31" s="9" t="s">
        <v>132</v>
      </c>
      <c r="B31" s="10" t="s">
        <v>92</v>
      </c>
      <c r="C31" s="11" t="s">
        <v>133</v>
      </c>
      <c r="D31" s="9" t="s">
        <v>33</v>
      </c>
      <c r="E31" s="10" t="s">
        <v>34</v>
      </c>
      <c r="F31" s="9" t="s">
        <v>35</v>
      </c>
      <c r="G31" s="10" t="s">
        <v>134</v>
      </c>
      <c r="H31" s="10" t="s">
        <v>36</v>
      </c>
      <c r="I31" s="10" t="s">
        <v>135</v>
      </c>
      <c r="J31" s="10" t="s">
        <v>36</v>
      </c>
      <c r="K31" s="10" t="s">
        <v>136</v>
      </c>
      <c r="L31" s="9"/>
      <c r="M31" s="9" t="s">
        <v>28</v>
      </c>
      <c r="N31" s="9" t="s">
        <v>39</v>
      </c>
      <c r="O31" s="10" t="s">
        <v>137</v>
      </c>
    </row>
    <row r="32" spans="1:15">
      <c r="A32" s="16"/>
      <c r="B32" s="17" t="s">
        <v>92</v>
      </c>
      <c r="C32" s="18" t="s">
        <v>138</v>
      </c>
      <c r="D32" s="16" t="s">
        <v>33</v>
      </c>
      <c r="E32" s="17" t="s">
        <v>22</v>
      </c>
      <c r="F32" s="16" t="s">
        <v>23</v>
      </c>
      <c r="G32" s="17" t="s">
        <v>92</v>
      </c>
      <c r="H32" s="17" t="s">
        <v>59</v>
      </c>
      <c r="I32" s="17"/>
      <c r="J32" s="17" t="s">
        <v>59</v>
      </c>
      <c r="K32" s="17"/>
      <c r="L32" s="16"/>
      <c r="M32" s="16"/>
      <c r="N32" s="19" t="s">
        <v>62</v>
      </c>
      <c r="O32" s="17" t="s">
        <v>139</v>
      </c>
    </row>
    <row r="33" spans="1:15">
      <c r="A33" s="16"/>
      <c r="B33" s="17" t="s">
        <v>92</v>
      </c>
      <c r="C33" s="18" t="s">
        <v>140</v>
      </c>
      <c r="D33" s="16" t="s">
        <v>33</v>
      </c>
      <c r="E33" s="17" t="s">
        <v>22</v>
      </c>
      <c r="F33" s="16" t="s">
        <v>23</v>
      </c>
      <c r="G33" s="17" t="s">
        <v>92</v>
      </c>
      <c r="H33" s="17" t="s">
        <v>59</v>
      </c>
      <c r="I33" s="17"/>
      <c r="J33" s="17" t="s">
        <v>59</v>
      </c>
      <c r="K33" s="17"/>
      <c r="L33" s="16"/>
      <c r="M33" s="16"/>
      <c r="N33" s="19" t="s">
        <v>62</v>
      </c>
      <c r="O33" s="17" t="s">
        <v>141</v>
      </c>
    </row>
    <row r="34" spans="1:15" ht="23.85">
      <c r="A34" s="16"/>
      <c r="B34" s="17" t="s">
        <v>92</v>
      </c>
      <c r="C34" s="18" t="s">
        <v>142</v>
      </c>
      <c r="D34" s="16" t="s">
        <v>33</v>
      </c>
      <c r="E34" s="17" t="s">
        <v>34</v>
      </c>
      <c r="F34" s="16" t="s">
        <v>35</v>
      </c>
      <c r="G34" s="17" t="s">
        <v>143</v>
      </c>
      <c r="H34" s="17" t="s">
        <v>59</v>
      </c>
      <c r="I34" s="17" t="s">
        <v>144</v>
      </c>
      <c r="J34" s="17" t="s">
        <v>60</v>
      </c>
      <c r="K34" s="17" t="s">
        <v>145</v>
      </c>
      <c r="L34" s="16"/>
      <c r="M34" s="16"/>
      <c r="N34" s="19" t="s">
        <v>62</v>
      </c>
      <c r="O34" s="17" t="s">
        <v>146</v>
      </c>
    </row>
    <row r="35" spans="1:15" ht="23.85">
      <c r="A35" s="12"/>
      <c r="B35" s="13" t="s">
        <v>92</v>
      </c>
      <c r="C35" s="14" t="s">
        <v>147</v>
      </c>
      <c r="D35" s="12" t="s">
        <v>21</v>
      </c>
      <c r="E35" s="13" t="s">
        <v>34</v>
      </c>
      <c r="F35" s="12" t="s">
        <v>23</v>
      </c>
      <c r="G35" s="13" t="s">
        <v>148</v>
      </c>
      <c r="H35" s="13" t="s">
        <v>149</v>
      </c>
      <c r="I35" s="13" t="s">
        <v>150</v>
      </c>
      <c r="J35" s="13" t="s">
        <v>149</v>
      </c>
      <c r="K35" s="13" t="s">
        <v>150</v>
      </c>
      <c r="L35" s="12"/>
      <c r="M35" s="12"/>
      <c r="N35" s="15" t="s">
        <v>62</v>
      </c>
      <c r="O35" s="13" t="s">
        <v>151</v>
      </c>
    </row>
    <row r="36" spans="1:15" ht="23.85">
      <c r="A36" s="12"/>
      <c r="B36" s="13" t="s">
        <v>92</v>
      </c>
      <c r="C36" s="14" t="s">
        <v>152</v>
      </c>
      <c r="D36" s="12" t="s">
        <v>21</v>
      </c>
      <c r="E36" s="13" t="s">
        <v>22</v>
      </c>
      <c r="F36" s="12" t="s">
        <v>23</v>
      </c>
      <c r="G36" s="13" t="s">
        <v>92</v>
      </c>
      <c r="H36" s="13" t="s">
        <v>59</v>
      </c>
      <c r="I36" s="13"/>
      <c r="J36" s="13" t="s">
        <v>60</v>
      </c>
      <c r="K36" s="13" t="s">
        <v>153</v>
      </c>
      <c r="L36" s="12"/>
      <c r="M36" s="12"/>
      <c r="N36" s="15" t="s">
        <v>62</v>
      </c>
      <c r="O36" s="13" t="s">
        <v>154</v>
      </c>
    </row>
    <row r="37" spans="1:15">
      <c r="A37" s="12"/>
      <c r="B37" s="13" t="s">
        <v>92</v>
      </c>
      <c r="C37" s="14" t="s">
        <v>155</v>
      </c>
      <c r="D37" s="12" t="s">
        <v>21</v>
      </c>
      <c r="E37" s="13" t="s">
        <v>22</v>
      </c>
      <c r="F37" s="12" t="s">
        <v>23</v>
      </c>
      <c r="G37" s="13" t="s">
        <v>92</v>
      </c>
      <c r="H37" s="13" t="s">
        <v>59</v>
      </c>
      <c r="I37" s="13"/>
      <c r="J37" s="13" t="s">
        <v>59</v>
      </c>
      <c r="K37" s="13"/>
      <c r="L37" s="12"/>
      <c r="M37" s="12"/>
      <c r="N37" s="15" t="s">
        <v>62</v>
      </c>
      <c r="O37" s="13" t="s">
        <v>156</v>
      </c>
    </row>
    <row r="38" spans="1:15">
      <c r="A38" s="12"/>
      <c r="B38" s="13" t="s">
        <v>92</v>
      </c>
      <c r="C38" s="14" t="s">
        <v>157</v>
      </c>
      <c r="D38" s="12" t="s">
        <v>21</v>
      </c>
      <c r="E38" s="13" t="s">
        <v>22</v>
      </c>
      <c r="F38" s="12" t="s">
        <v>23</v>
      </c>
      <c r="G38" s="13" t="s">
        <v>92</v>
      </c>
      <c r="H38" s="13" t="s">
        <v>59</v>
      </c>
      <c r="I38" s="13"/>
      <c r="J38" s="13" t="s">
        <v>59</v>
      </c>
      <c r="K38" s="13"/>
      <c r="L38" s="12"/>
      <c r="M38" s="12"/>
      <c r="N38" s="15" t="s">
        <v>62</v>
      </c>
      <c r="O38" s="13" t="s">
        <v>89</v>
      </c>
    </row>
    <row r="39" spans="1:15" ht="23.85">
      <c r="A39" s="12"/>
      <c r="B39" s="13" t="s">
        <v>92</v>
      </c>
      <c r="C39" s="14" t="s">
        <v>158</v>
      </c>
      <c r="D39" s="12" t="s">
        <v>21</v>
      </c>
      <c r="E39" s="13" t="s">
        <v>22</v>
      </c>
      <c r="F39" s="12" t="s">
        <v>23</v>
      </c>
      <c r="G39" s="13" t="s">
        <v>92</v>
      </c>
      <c r="H39" s="13" t="s">
        <v>59</v>
      </c>
      <c r="I39" s="13"/>
      <c r="J39" s="13" t="s">
        <v>60</v>
      </c>
      <c r="K39" s="13" t="s">
        <v>159</v>
      </c>
      <c r="L39" s="12"/>
      <c r="M39" s="12"/>
      <c r="N39" s="15" t="s">
        <v>62</v>
      </c>
      <c r="O39" s="13" t="s">
        <v>160</v>
      </c>
    </row>
    <row r="40" spans="1:15">
      <c r="A40" s="12"/>
      <c r="B40" s="13" t="s">
        <v>92</v>
      </c>
      <c r="C40" s="14" t="s">
        <v>161</v>
      </c>
      <c r="D40" s="12" t="s">
        <v>21</v>
      </c>
      <c r="E40" s="13" t="s">
        <v>22</v>
      </c>
      <c r="F40" s="12" t="s">
        <v>23</v>
      </c>
      <c r="G40" s="13" t="s">
        <v>92</v>
      </c>
      <c r="H40" s="13" t="s">
        <v>59</v>
      </c>
      <c r="I40" s="13"/>
      <c r="J40" s="13" t="s">
        <v>59</v>
      </c>
      <c r="K40" s="13"/>
      <c r="L40" s="12"/>
      <c r="M40" s="12"/>
      <c r="N40" s="15" t="s">
        <v>62</v>
      </c>
      <c r="O40" s="13" t="s">
        <v>89</v>
      </c>
    </row>
    <row r="41" spans="1:15" ht="23.85">
      <c r="A41" s="12"/>
      <c r="B41" s="13" t="s">
        <v>92</v>
      </c>
      <c r="C41" s="14" t="s">
        <v>162</v>
      </c>
      <c r="D41" s="12" t="s">
        <v>65</v>
      </c>
      <c r="E41" s="13"/>
      <c r="F41" s="12"/>
      <c r="G41" s="13" t="s">
        <v>163</v>
      </c>
      <c r="H41" s="13" t="s">
        <v>59</v>
      </c>
      <c r="I41" s="13"/>
      <c r="J41" s="13" t="s">
        <v>59</v>
      </c>
      <c r="K41" s="13"/>
      <c r="L41" s="12"/>
      <c r="M41" s="12"/>
      <c r="N41" s="15" t="s">
        <v>62</v>
      </c>
      <c r="O41" s="13" t="s">
        <v>89</v>
      </c>
    </row>
    <row r="42" spans="1:15" ht="23.85">
      <c r="A42" s="12"/>
      <c r="B42" s="13" t="s">
        <v>92</v>
      </c>
      <c r="C42" s="14" t="s">
        <v>164</v>
      </c>
      <c r="D42" s="12" t="s">
        <v>65</v>
      </c>
      <c r="E42" s="13"/>
      <c r="F42" s="12"/>
      <c r="G42" s="13" t="s">
        <v>165</v>
      </c>
      <c r="H42" s="13" t="s">
        <v>59</v>
      </c>
      <c r="I42" s="13"/>
      <c r="J42" s="13" t="s">
        <v>59</v>
      </c>
      <c r="K42" s="13"/>
      <c r="L42" s="12"/>
      <c r="M42" s="12"/>
      <c r="N42" s="15" t="s">
        <v>62</v>
      </c>
      <c r="O42" s="13" t="s">
        <v>166</v>
      </c>
    </row>
    <row r="43" spans="1:15" ht="23.85">
      <c r="A43" s="12"/>
      <c r="B43" s="13" t="s">
        <v>92</v>
      </c>
      <c r="C43" s="14" t="s">
        <v>167</v>
      </c>
      <c r="D43" s="12" t="s">
        <v>65</v>
      </c>
      <c r="E43" s="13"/>
      <c r="F43" s="12"/>
      <c r="G43" s="13" t="s">
        <v>168</v>
      </c>
      <c r="H43" s="13" t="s">
        <v>59</v>
      </c>
      <c r="I43" s="13"/>
      <c r="J43" s="13" t="s">
        <v>59</v>
      </c>
      <c r="K43" s="13"/>
      <c r="L43" s="12"/>
      <c r="M43" s="12"/>
      <c r="N43" s="15" t="s">
        <v>62</v>
      </c>
      <c r="O43" s="13" t="s">
        <v>89</v>
      </c>
    </row>
    <row r="44" spans="1:15" ht="23.85">
      <c r="A44" s="12"/>
      <c r="B44" s="13" t="s">
        <v>92</v>
      </c>
      <c r="C44" s="14" t="s">
        <v>169</v>
      </c>
      <c r="D44" s="12" t="s">
        <v>65</v>
      </c>
      <c r="E44" s="13"/>
      <c r="F44" s="12"/>
      <c r="G44" s="13" t="s">
        <v>92</v>
      </c>
      <c r="H44" s="13" t="s">
        <v>59</v>
      </c>
      <c r="I44" s="13"/>
      <c r="J44" s="13" t="s">
        <v>59</v>
      </c>
      <c r="K44" s="13"/>
      <c r="L44" s="12"/>
      <c r="M44" s="12"/>
      <c r="N44" s="15" t="s">
        <v>62</v>
      </c>
      <c r="O44" s="13" t="s">
        <v>89</v>
      </c>
    </row>
    <row r="45" spans="1:15" ht="23.85">
      <c r="A45" s="12"/>
      <c r="B45" s="13" t="s">
        <v>92</v>
      </c>
      <c r="C45" s="14" t="s">
        <v>170</v>
      </c>
      <c r="D45" s="12" t="s">
        <v>65</v>
      </c>
      <c r="E45" s="13"/>
      <c r="F45" s="12"/>
      <c r="G45" s="13" t="s">
        <v>171</v>
      </c>
      <c r="H45" s="13" t="s">
        <v>59</v>
      </c>
      <c r="I45" s="13"/>
      <c r="J45" s="13" t="s">
        <v>59</v>
      </c>
      <c r="K45" s="13"/>
      <c r="L45" s="12"/>
      <c r="M45" s="12"/>
      <c r="N45" s="15" t="s">
        <v>62</v>
      </c>
      <c r="O45" s="13" t="s">
        <v>172</v>
      </c>
    </row>
    <row r="46" spans="1:15" ht="23.85">
      <c r="A46" s="12"/>
      <c r="B46" s="13" t="s">
        <v>92</v>
      </c>
      <c r="C46" s="14" t="s">
        <v>173</v>
      </c>
      <c r="D46" s="12" t="s">
        <v>65</v>
      </c>
      <c r="E46" s="13"/>
      <c r="F46" s="12"/>
      <c r="G46" s="13" t="s">
        <v>92</v>
      </c>
      <c r="H46" s="13" t="s">
        <v>59</v>
      </c>
      <c r="I46" s="13"/>
      <c r="J46" s="13" t="s">
        <v>59</v>
      </c>
      <c r="K46" s="13"/>
      <c r="L46" s="12"/>
      <c r="M46" s="12"/>
      <c r="N46" s="15" t="s">
        <v>62</v>
      </c>
      <c r="O46" s="13" t="s">
        <v>89</v>
      </c>
    </row>
    <row r="47" spans="1:15" ht="23.85">
      <c r="A47" s="12"/>
      <c r="B47" s="13" t="s">
        <v>92</v>
      </c>
      <c r="C47" s="14" t="s">
        <v>174</v>
      </c>
      <c r="D47" s="12" t="s">
        <v>80</v>
      </c>
      <c r="E47" s="13" t="s">
        <v>22</v>
      </c>
      <c r="F47" s="12" t="s">
        <v>81</v>
      </c>
      <c r="G47" s="13" t="s">
        <v>118</v>
      </c>
      <c r="H47" s="13" t="s">
        <v>59</v>
      </c>
      <c r="I47" s="13"/>
      <c r="J47" s="13" t="s">
        <v>60</v>
      </c>
      <c r="K47" s="13" t="s">
        <v>175</v>
      </c>
      <c r="L47" s="12"/>
      <c r="M47" s="12"/>
      <c r="N47" s="15" t="s">
        <v>62</v>
      </c>
      <c r="O47" s="13" t="s">
        <v>176</v>
      </c>
    </row>
    <row r="48" spans="1:15" ht="23.85">
      <c r="A48" s="12"/>
      <c r="B48" s="13" t="s">
        <v>92</v>
      </c>
      <c r="C48" s="14" t="s">
        <v>177</v>
      </c>
      <c r="D48" s="12" t="s">
        <v>65</v>
      </c>
      <c r="E48" s="13"/>
      <c r="F48" s="12"/>
      <c r="G48" s="13" t="s">
        <v>92</v>
      </c>
      <c r="H48" s="13" t="s">
        <v>59</v>
      </c>
      <c r="I48" s="13"/>
      <c r="J48" s="13" t="s">
        <v>60</v>
      </c>
      <c r="K48" s="13" t="s">
        <v>178</v>
      </c>
      <c r="L48" s="12"/>
      <c r="M48" s="12"/>
      <c r="N48" s="15" t="s">
        <v>62</v>
      </c>
      <c r="O48" s="13" t="s">
        <v>179</v>
      </c>
    </row>
    <row r="49" spans="1:15" ht="15" customHeight="1">
      <c r="A49" s="1" t="s">
        <v>180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35.1">
      <c r="A50" s="5" t="s">
        <v>181</v>
      </c>
      <c r="B50" s="6" t="s">
        <v>182</v>
      </c>
      <c r="C50" s="7" t="s">
        <v>183</v>
      </c>
      <c r="D50" s="5" t="s">
        <v>33</v>
      </c>
      <c r="E50" s="6" t="s">
        <v>34</v>
      </c>
      <c r="F50" s="5" t="s">
        <v>23</v>
      </c>
      <c r="G50" s="6" t="s">
        <v>118</v>
      </c>
      <c r="H50" s="6" t="s">
        <v>184</v>
      </c>
      <c r="I50" s="6" t="s">
        <v>185</v>
      </c>
      <c r="J50" s="6" t="s">
        <v>184</v>
      </c>
      <c r="K50" s="6" t="s">
        <v>186</v>
      </c>
      <c r="L50" s="5"/>
      <c r="M50" s="5"/>
      <c r="N50" s="8" t="s">
        <v>29</v>
      </c>
      <c r="O50" s="6" t="s">
        <v>187</v>
      </c>
    </row>
    <row r="51" spans="1:15" ht="23.85">
      <c r="A51" s="9" t="s">
        <v>188</v>
      </c>
      <c r="B51" s="10" t="s">
        <v>182</v>
      </c>
      <c r="C51" s="11" t="s">
        <v>189</v>
      </c>
      <c r="D51" s="9" t="s">
        <v>33</v>
      </c>
      <c r="E51" s="10" t="s">
        <v>34</v>
      </c>
      <c r="F51" s="9" t="s">
        <v>35</v>
      </c>
      <c r="G51" s="10" t="s">
        <v>118</v>
      </c>
      <c r="H51" s="10" t="s">
        <v>36</v>
      </c>
      <c r="I51" s="10" t="s">
        <v>190</v>
      </c>
      <c r="J51" s="10" t="s">
        <v>36</v>
      </c>
      <c r="K51" s="10"/>
      <c r="L51" s="9"/>
      <c r="M51" s="9" t="s">
        <v>28</v>
      </c>
      <c r="N51" s="9" t="s">
        <v>39</v>
      </c>
      <c r="O51" s="10" t="s">
        <v>191</v>
      </c>
    </row>
    <row r="52" spans="1:15" ht="46.35">
      <c r="A52" s="9" t="s">
        <v>192</v>
      </c>
      <c r="B52" s="10" t="s">
        <v>182</v>
      </c>
      <c r="C52" s="11" t="s">
        <v>193</v>
      </c>
      <c r="D52" s="9" t="s">
        <v>33</v>
      </c>
      <c r="E52" s="10" t="s">
        <v>34</v>
      </c>
      <c r="F52" s="9" t="s">
        <v>35</v>
      </c>
      <c r="G52" s="10" t="s">
        <v>118</v>
      </c>
      <c r="H52" s="10" t="s">
        <v>36</v>
      </c>
      <c r="I52" s="10" t="s">
        <v>194</v>
      </c>
      <c r="J52" s="10" t="s">
        <v>36</v>
      </c>
      <c r="K52" s="10" t="s">
        <v>195</v>
      </c>
      <c r="L52" s="9"/>
      <c r="M52" s="9"/>
      <c r="N52" s="9" t="s">
        <v>39</v>
      </c>
      <c r="O52" s="10" t="s">
        <v>196</v>
      </c>
    </row>
    <row r="53" spans="1:15" ht="23.85">
      <c r="A53" s="12"/>
      <c r="B53" s="13" t="s">
        <v>182</v>
      </c>
      <c r="C53" s="14" t="s">
        <v>197</v>
      </c>
      <c r="D53" s="12" t="s">
        <v>33</v>
      </c>
      <c r="E53" s="13" t="s">
        <v>34</v>
      </c>
      <c r="F53" s="12" t="s">
        <v>35</v>
      </c>
      <c r="G53" s="13" t="s">
        <v>118</v>
      </c>
      <c r="H53" s="13" t="s">
        <v>66</v>
      </c>
      <c r="I53" s="13" t="s">
        <v>198</v>
      </c>
      <c r="J53" s="13" t="s">
        <v>60</v>
      </c>
      <c r="K53" s="13" t="s">
        <v>199</v>
      </c>
      <c r="L53" s="12"/>
      <c r="M53" s="12"/>
      <c r="N53" s="15" t="s">
        <v>62</v>
      </c>
      <c r="O53" s="13" t="s">
        <v>200</v>
      </c>
    </row>
    <row r="54" spans="1:15" ht="35.1">
      <c r="A54" s="12"/>
      <c r="B54" s="13" t="s">
        <v>182</v>
      </c>
      <c r="C54" s="14" t="s">
        <v>201</v>
      </c>
      <c r="D54" s="12" t="s">
        <v>21</v>
      </c>
      <c r="E54" s="13" t="s">
        <v>34</v>
      </c>
      <c r="F54" s="12" t="s">
        <v>23</v>
      </c>
      <c r="G54" s="13" t="s">
        <v>118</v>
      </c>
      <c r="H54" s="13" t="s">
        <v>59</v>
      </c>
      <c r="I54" s="13"/>
      <c r="J54" s="13" t="s">
        <v>60</v>
      </c>
      <c r="K54" s="13" t="s">
        <v>202</v>
      </c>
      <c r="L54" s="12"/>
      <c r="M54" s="12"/>
      <c r="N54" s="15" t="s">
        <v>62</v>
      </c>
      <c r="O54" s="13" t="s">
        <v>203</v>
      </c>
    </row>
    <row r="55" spans="1:15" ht="23.85">
      <c r="A55" s="12"/>
      <c r="B55" s="13" t="s">
        <v>182</v>
      </c>
      <c r="C55" s="14" t="s">
        <v>204</v>
      </c>
      <c r="D55" s="12" t="s">
        <v>21</v>
      </c>
      <c r="E55" s="13" t="s">
        <v>34</v>
      </c>
      <c r="F55" s="12" t="s">
        <v>23</v>
      </c>
      <c r="G55" s="13" t="s">
        <v>205</v>
      </c>
      <c r="H55" s="13" t="s">
        <v>59</v>
      </c>
      <c r="I55" s="13"/>
      <c r="J55" s="13" t="s">
        <v>59</v>
      </c>
      <c r="K55" s="13"/>
      <c r="L55" s="12"/>
      <c r="M55" s="12"/>
      <c r="N55" s="15" t="s">
        <v>62</v>
      </c>
      <c r="O55" s="13" t="s">
        <v>89</v>
      </c>
    </row>
    <row r="56" spans="1:15" ht="23.85">
      <c r="A56" s="12"/>
      <c r="B56" s="13" t="s">
        <v>182</v>
      </c>
      <c r="C56" s="14" t="s">
        <v>206</v>
      </c>
      <c r="D56" s="12" t="s">
        <v>21</v>
      </c>
      <c r="E56" s="13" t="s">
        <v>22</v>
      </c>
      <c r="F56" s="12" t="s">
        <v>23</v>
      </c>
      <c r="G56" s="13" t="s">
        <v>205</v>
      </c>
      <c r="H56" s="13" t="s">
        <v>59</v>
      </c>
      <c r="I56" s="13"/>
      <c r="J56" s="13" t="s">
        <v>59</v>
      </c>
      <c r="K56" s="13"/>
      <c r="L56" s="12"/>
      <c r="M56" s="12"/>
      <c r="N56" s="15" t="s">
        <v>62</v>
      </c>
      <c r="O56" s="13" t="s">
        <v>89</v>
      </c>
    </row>
    <row r="57" spans="1:15" ht="23.85">
      <c r="A57" s="12"/>
      <c r="B57" s="13" t="s">
        <v>182</v>
      </c>
      <c r="C57" s="14" t="s">
        <v>207</v>
      </c>
      <c r="D57" s="12" t="s">
        <v>21</v>
      </c>
      <c r="E57" s="13" t="s">
        <v>22</v>
      </c>
      <c r="F57" s="12" t="s">
        <v>23</v>
      </c>
      <c r="G57" s="13" t="s">
        <v>205</v>
      </c>
      <c r="H57" s="13" t="s">
        <v>59</v>
      </c>
      <c r="I57" s="13"/>
      <c r="J57" s="13" t="s">
        <v>59</v>
      </c>
      <c r="K57" s="13"/>
      <c r="L57" s="12"/>
      <c r="M57" s="12"/>
      <c r="N57" s="15" t="s">
        <v>62</v>
      </c>
      <c r="O57" s="13" t="s">
        <v>89</v>
      </c>
    </row>
    <row r="58" spans="1:15" ht="23.85">
      <c r="A58" s="12"/>
      <c r="B58" s="13" t="s">
        <v>182</v>
      </c>
      <c r="C58" s="14" t="s">
        <v>208</v>
      </c>
      <c r="D58" s="12" t="s">
        <v>21</v>
      </c>
      <c r="E58" s="13" t="s">
        <v>22</v>
      </c>
      <c r="F58" s="12" t="s">
        <v>23</v>
      </c>
      <c r="G58" s="13" t="s">
        <v>205</v>
      </c>
      <c r="H58" s="13" t="s">
        <v>59</v>
      </c>
      <c r="I58" s="13"/>
      <c r="J58" s="13" t="s">
        <v>59</v>
      </c>
      <c r="K58" s="13"/>
      <c r="L58" s="12"/>
      <c r="M58" s="12"/>
      <c r="N58" s="15" t="s">
        <v>62</v>
      </c>
      <c r="O58" s="13" t="s">
        <v>209</v>
      </c>
    </row>
    <row r="59" spans="1:15" ht="23.85">
      <c r="A59" s="12"/>
      <c r="B59" s="13" t="s">
        <v>182</v>
      </c>
      <c r="C59" s="14" t="s">
        <v>210</v>
      </c>
      <c r="D59" s="12" t="s">
        <v>21</v>
      </c>
      <c r="E59" s="13" t="s">
        <v>34</v>
      </c>
      <c r="F59" s="12" t="s">
        <v>23</v>
      </c>
      <c r="G59" s="13" t="s">
        <v>205</v>
      </c>
      <c r="H59" s="13" t="s">
        <v>66</v>
      </c>
      <c r="I59" s="13" t="s">
        <v>211</v>
      </c>
      <c r="J59" s="13" t="s">
        <v>59</v>
      </c>
      <c r="K59" s="13"/>
      <c r="L59" s="12"/>
      <c r="M59" s="12"/>
      <c r="N59" s="15" t="s">
        <v>62</v>
      </c>
      <c r="O59" s="13" t="s">
        <v>212</v>
      </c>
    </row>
    <row r="60" spans="1:15" ht="23.85">
      <c r="A60" s="12"/>
      <c r="B60" s="13" t="s">
        <v>182</v>
      </c>
      <c r="C60" s="14" t="s">
        <v>213</v>
      </c>
      <c r="D60" s="12" t="s">
        <v>65</v>
      </c>
      <c r="E60" s="13"/>
      <c r="F60" s="12"/>
      <c r="G60" s="13" t="s">
        <v>118</v>
      </c>
      <c r="H60" s="13" t="s">
        <v>59</v>
      </c>
      <c r="I60" s="13"/>
      <c r="J60" s="13" t="s">
        <v>59</v>
      </c>
      <c r="K60" s="13"/>
      <c r="L60" s="12"/>
      <c r="M60" s="12"/>
      <c r="N60" s="15" t="s">
        <v>62</v>
      </c>
      <c r="O60" s="13" t="s">
        <v>89</v>
      </c>
    </row>
    <row r="61" spans="1:15" ht="23.85">
      <c r="A61" s="12"/>
      <c r="B61" s="13" t="s">
        <v>182</v>
      </c>
      <c r="C61" s="14" t="s">
        <v>214</v>
      </c>
      <c r="D61" s="12" t="s">
        <v>65</v>
      </c>
      <c r="E61" s="13"/>
      <c r="F61" s="12"/>
      <c r="G61" s="13" t="s">
        <v>205</v>
      </c>
      <c r="H61" s="13" t="s">
        <v>59</v>
      </c>
      <c r="I61" s="13"/>
      <c r="J61" s="13" t="s">
        <v>59</v>
      </c>
      <c r="K61" s="13"/>
      <c r="L61" s="12"/>
      <c r="M61" s="12"/>
      <c r="N61" s="15" t="s">
        <v>62</v>
      </c>
      <c r="O61" s="13" t="s">
        <v>89</v>
      </c>
    </row>
    <row r="62" spans="1:15" ht="23.85">
      <c r="A62" s="12"/>
      <c r="B62" s="13" t="s">
        <v>182</v>
      </c>
      <c r="C62" s="14" t="s">
        <v>215</v>
      </c>
      <c r="D62" s="12" t="s">
        <v>80</v>
      </c>
      <c r="E62" s="13" t="s">
        <v>22</v>
      </c>
      <c r="F62" s="12" t="s">
        <v>81</v>
      </c>
      <c r="G62" s="13" t="s">
        <v>205</v>
      </c>
      <c r="H62" s="13" t="s">
        <v>59</v>
      </c>
      <c r="I62" s="13"/>
      <c r="J62" s="13" t="s">
        <v>60</v>
      </c>
      <c r="K62" s="13" t="s">
        <v>216</v>
      </c>
      <c r="L62" s="12"/>
      <c r="M62" s="12"/>
      <c r="N62" s="15" t="s">
        <v>62</v>
      </c>
      <c r="O62" s="13" t="s">
        <v>217</v>
      </c>
    </row>
    <row r="63" spans="1:15" ht="23.85">
      <c r="A63" s="12"/>
      <c r="B63" s="13" t="s">
        <v>182</v>
      </c>
      <c r="C63" s="14" t="s">
        <v>218</v>
      </c>
      <c r="D63" s="12" t="s">
        <v>80</v>
      </c>
      <c r="E63" s="13" t="s">
        <v>22</v>
      </c>
      <c r="F63" s="12" t="s">
        <v>81</v>
      </c>
      <c r="G63" s="13" t="s">
        <v>219</v>
      </c>
      <c r="H63" s="13" t="s">
        <v>59</v>
      </c>
      <c r="I63" s="13"/>
      <c r="J63" s="13" t="s">
        <v>59</v>
      </c>
      <c r="K63" s="13"/>
      <c r="L63" s="12"/>
      <c r="M63" s="12"/>
      <c r="N63" s="15" t="s">
        <v>62</v>
      </c>
      <c r="O63" s="13" t="s">
        <v>89</v>
      </c>
    </row>
    <row r="64" spans="1:15" ht="23.85">
      <c r="A64" s="12"/>
      <c r="B64" s="13" t="s">
        <v>182</v>
      </c>
      <c r="C64" s="14" t="s">
        <v>220</v>
      </c>
      <c r="D64" s="12" t="s">
        <v>80</v>
      </c>
      <c r="E64" s="13" t="s">
        <v>22</v>
      </c>
      <c r="F64" s="12" t="s">
        <v>81</v>
      </c>
      <c r="G64" s="13" t="s">
        <v>221</v>
      </c>
      <c r="H64" s="13" t="s">
        <v>59</v>
      </c>
      <c r="I64" s="13"/>
      <c r="J64" s="13" t="s">
        <v>59</v>
      </c>
      <c r="K64" s="13"/>
      <c r="L64" s="12"/>
      <c r="M64" s="12"/>
      <c r="N64" s="15" t="s">
        <v>62</v>
      </c>
      <c r="O64" s="13" t="s">
        <v>89</v>
      </c>
    </row>
    <row r="65" spans="1:15" ht="23.85">
      <c r="A65" s="12"/>
      <c r="B65" s="13" t="s">
        <v>182</v>
      </c>
      <c r="C65" s="14" t="s">
        <v>222</v>
      </c>
      <c r="D65" s="12" t="s">
        <v>65</v>
      </c>
      <c r="E65" s="13"/>
      <c r="F65" s="12"/>
      <c r="G65" s="13" t="s">
        <v>118</v>
      </c>
      <c r="H65" s="13" t="s">
        <v>66</v>
      </c>
      <c r="I65" s="13" t="s">
        <v>223</v>
      </c>
      <c r="J65" s="13" t="s">
        <v>59</v>
      </c>
      <c r="K65" s="13"/>
      <c r="L65" s="12"/>
      <c r="M65" s="12"/>
      <c r="N65" s="15" t="s">
        <v>62</v>
      </c>
      <c r="O65" s="13" t="s">
        <v>224</v>
      </c>
    </row>
    <row r="66" spans="1:15" ht="23.85">
      <c r="A66" s="12"/>
      <c r="B66" s="13" t="s">
        <v>182</v>
      </c>
      <c r="C66" s="14" t="s">
        <v>225</v>
      </c>
      <c r="D66" s="12" t="s">
        <v>65</v>
      </c>
      <c r="E66" s="13"/>
      <c r="F66" s="12"/>
      <c r="G66" s="13" t="s">
        <v>205</v>
      </c>
      <c r="H66" s="13" t="s">
        <v>59</v>
      </c>
      <c r="I66" s="13"/>
      <c r="J66" s="13" t="s">
        <v>60</v>
      </c>
      <c r="K66" s="13" t="s">
        <v>226</v>
      </c>
      <c r="L66" s="12"/>
      <c r="M66" s="12"/>
      <c r="N66" s="15" t="s">
        <v>62</v>
      </c>
      <c r="O66" s="13" t="s">
        <v>227</v>
      </c>
    </row>
    <row r="67" spans="1:15" ht="15" customHeight="1">
      <c r="A67" s="1" t="s">
        <v>228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23.85">
      <c r="A68" s="9" t="s">
        <v>229</v>
      </c>
      <c r="B68" s="10" t="s">
        <v>230</v>
      </c>
      <c r="C68" s="11" t="s">
        <v>231</v>
      </c>
      <c r="D68" s="9" t="s">
        <v>80</v>
      </c>
      <c r="E68" s="10" t="s">
        <v>232</v>
      </c>
      <c r="F68" s="9" t="s">
        <v>23</v>
      </c>
      <c r="G68" s="10" t="s">
        <v>230</v>
      </c>
      <c r="H68" s="10" t="s">
        <v>36</v>
      </c>
      <c r="I68" s="10" t="s">
        <v>233</v>
      </c>
      <c r="J68" s="10" t="s">
        <v>36</v>
      </c>
      <c r="K68" s="10" t="s">
        <v>234</v>
      </c>
      <c r="L68" s="9"/>
      <c r="M68" s="9" t="s">
        <v>28</v>
      </c>
      <c r="N68" s="9" t="s">
        <v>39</v>
      </c>
      <c r="O68" s="10" t="s">
        <v>235</v>
      </c>
    </row>
    <row r="69" spans="1:15">
      <c r="A69" s="9" t="s">
        <v>236</v>
      </c>
      <c r="B69" s="10" t="s">
        <v>230</v>
      </c>
      <c r="C69" s="11" t="s">
        <v>237</v>
      </c>
      <c r="D69" s="9" t="s">
        <v>21</v>
      </c>
      <c r="E69" s="10" t="s">
        <v>22</v>
      </c>
      <c r="F69" s="9" t="s">
        <v>23</v>
      </c>
      <c r="G69" s="10" t="s">
        <v>230</v>
      </c>
      <c r="H69" s="10" t="s">
        <v>36</v>
      </c>
      <c r="I69" s="10" t="s">
        <v>238</v>
      </c>
      <c r="J69" s="10" t="s">
        <v>36</v>
      </c>
      <c r="K69" s="10" t="s">
        <v>239</v>
      </c>
      <c r="L69" s="9"/>
      <c r="M69" s="9" t="s">
        <v>28</v>
      </c>
      <c r="N69" s="9" t="s">
        <v>39</v>
      </c>
      <c r="O69" s="10" t="s">
        <v>40</v>
      </c>
    </row>
    <row r="70" spans="1:15" ht="23.85">
      <c r="A70" s="9" t="s">
        <v>240</v>
      </c>
      <c r="B70" s="10" t="s">
        <v>230</v>
      </c>
      <c r="C70" s="11" t="s">
        <v>241</v>
      </c>
      <c r="D70" s="9" t="s">
        <v>21</v>
      </c>
      <c r="E70" s="10" t="s">
        <v>232</v>
      </c>
      <c r="F70" s="9" t="s">
        <v>23</v>
      </c>
      <c r="G70" s="10" t="s">
        <v>230</v>
      </c>
      <c r="H70" s="10" t="s">
        <v>36</v>
      </c>
      <c r="I70" s="10" t="s">
        <v>242</v>
      </c>
      <c r="J70" s="10" t="s">
        <v>36</v>
      </c>
      <c r="K70" s="10" t="s">
        <v>243</v>
      </c>
      <c r="L70" s="9"/>
      <c r="M70" s="9" t="s">
        <v>28</v>
      </c>
      <c r="N70" s="9" t="s">
        <v>39</v>
      </c>
      <c r="O70" s="10" t="s">
        <v>244</v>
      </c>
    </row>
    <row r="71" spans="1:15" ht="23.85">
      <c r="A71" s="9" t="s">
        <v>245</v>
      </c>
      <c r="B71" s="10" t="s">
        <v>230</v>
      </c>
      <c r="C71" s="11" t="s">
        <v>246</v>
      </c>
      <c r="D71" s="9" t="s">
        <v>65</v>
      </c>
      <c r="E71" s="10" t="s">
        <v>34</v>
      </c>
      <c r="F71" s="9" t="s">
        <v>23</v>
      </c>
      <c r="G71" s="10" t="s">
        <v>247</v>
      </c>
      <c r="H71" s="10" t="s">
        <v>36</v>
      </c>
      <c r="I71" s="10" t="s">
        <v>248</v>
      </c>
      <c r="J71" s="10" t="s">
        <v>36</v>
      </c>
      <c r="K71" s="10" t="s">
        <v>249</v>
      </c>
      <c r="L71" s="9"/>
      <c r="M71" s="9" t="s">
        <v>28</v>
      </c>
      <c r="N71" s="9" t="s">
        <v>39</v>
      </c>
      <c r="O71" s="10" t="s">
        <v>40</v>
      </c>
    </row>
    <row r="72" spans="1:15" ht="23.85">
      <c r="A72" s="9" t="s">
        <v>250</v>
      </c>
      <c r="B72" s="10" t="s">
        <v>230</v>
      </c>
      <c r="C72" s="11" t="s">
        <v>251</v>
      </c>
      <c r="D72" s="9" t="s">
        <v>65</v>
      </c>
      <c r="E72" s="10" t="s">
        <v>34</v>
      </c>
      <c r="F72" s="9" t="s">
        <v>23</v>
      </c>
      <c r="G72" s="10" t="s">
        <v>247</v>
      </c>
      <c r="H72" s="10" t="s">
        <v>36</v>
      </c>
      <c r="I72" s="10" t="s">
        <v>252</v>
      </c>
      <c r="J72" s="10" t="s">
        <v>36</v>
      </c>
      <c r="K72" s="10" t="s">
        <v>253</v>
      </c>
      <c r="L72" s="9"/>
      <c r="M72" s="9" t="s">
        <v>28</v>
      </c>
      <c r="N72" s="9" t="s">
        <v>39</v>
      </c>
      <c r="O72" s="10" t="s">
        <v>40</v>
      </c>
    </row>
    <row r="73" spans="1:15" ht="23.85">
      <c r="A73" s="12"/>
      <c r="B73" s="13" t="s">
        <v>230</v>
      </c>
      <c r="C73" s="14" t="s">
        <v>254</v>
      </c>
      <c r="D73" s="12" t="s">
        <v>21</v>
      </c>
      <c r="E73" s="13" t="s">
        <v>232</v>
      </c>
      <c r="F73" s="12" t="s">
        <v>23</v>
      </c>
      <c r="G73" s="13" t="s">
        <v>230</v>
      </c>
      <c r="H73" s="13" t="s">
        <v>66</v>
      </c>
      <c r="I73" s="13" t="s">
        <v>255</v>
      </c>
      <c r="J73" s="13" t="s">
        <v>59</v>
      </c>
      <c r="K73" s="13"/>
      <c r="L73" s="12"/>
      <c r="M73" s="12"/>
      <c r="N73" s="15" t="s">
        <v>62</v>
      </c>
      <c r="O73" s="13" t="s">
        <v>256</v>
      </c>
    </row>
    <row r="74" spans="1:15">
      <c r="A74" s="16"/>
      <c r="B74" s="17" t="s">
        <v>230</v>
      </c>
      <c r="C74" s="18" t="s">
        <v>257</v>
      </c>
      <c r="D74" s="16" t="s">
        <v>33</v>
      </c>
      <c r="E74" s="17" t="s">
        <v>34</v>
      </c>
      <c r="F74" s="16" t="s">
        <v>23</v>
      </c>
      <c r="G74" s="17" t="s">
        <v>143</v>
      </c>
      <c r="H74" s="17" t="s">
        <v>59</v>
      </c>
      <c r="I74" s="17"/>
      <c r="J74" s="17" t="s">
        <v>59</v>
      </c>
      <c r="K74" s="17"/>
      <c r="L74" s="16"/>
      <c r="M74" s="16"/>
      <c r="N74" s="19" t="s">
        <v>62</v>
      </c>
      <c r="O74" s="17" t="s">
        <v>258</v>
      </c>
    </row>
    <row r="75" spans="1:15">
      <c r="A75" s="16"/>
      <c r="B75" s="17" t="s">
        <v>230</v>
      </c>
      <c r="C75" s="18" t="s">
        <v>259</v>
      </c>
      <c r="D75" s="16" t="s">
        <v>33</v>
      </c>
      <c r="E75" s="17" t="s">
        <v>34</v>
      </c>
      <c r="F75" s="16" t="s">
        <v>23</v>
      </c>
      <c r="G75" s="17" t="s">
        <v>143</v>
      </c>
      <c r="H75" s="17" t="s">
        <v>59</v>
      </c>
      <c r="I75" s="17"/>
      <c r="J75" s="17" t="s">
        <v>59</v>
      </c>
      <c r="K75" s="17"/>
      <c r="L75" s="16"/>
      <c r="M75" s="16"/>
      <c r="N75" s="19" t="s">
        <v>62</v>
      </c>
      <c r="O75" s="17" t="s">
        <v>260</v>
      </c>
    </row>
    <row r="76" spans="1:15" ht="23.85">
      <c r="A76" s="12"/>
      <c r="B76" s="13" t="s">
        <v>230</v>
      </c>
      <c r="C76" s="14" t="s">
        <v>261</v>
      </c>
      <c r="D76" s="12" t="s">
        <v>21</v>
      </c>
      <c r="E76" s="13" t="s">
        <v>22</v>
      </c>
      <c r="F76" s="12" t="s">
        <v>35</v>
      </c>
      <c r="G76" s="13" t="s">
        <v>230</v>
      </c>
      <c r="H76" s="13" t="s">
        <v>59</v>
      </c>
      <c r="I76" s="13"/>
      <c r="J76" s="13" t="s">
        <v>60</v>
      </c>
      <c r="K76" s="13" t="s">
        <v>262</v>
      </c>
      <c r="L76" s="12"/>
      <c r="M76" s="12"/>
      <c r="N76" s="15" t="s">
        <v>62</v>
      </c>
      <c r="O76" s="13" t="s">
        <v>263</v>
      </c>
    </row>
    <row r="77" spans="1:15" ht="23.85">
      <c r="A77" s="12"/>
      <c r="B77" s="13" t="s">
        <v>230</v>
      </c>
      <c r="C77" s="14" t="s">
        <v>264</v>
      </c>
      <c r="D77" s="12" t="s">
        <v>21</v>
      </c>
      <c r="E77" s="13" t="s">
        <v>232</v>
      </c>
      <c r="F77" s="12" t="s">
        <v>23</v>
      </c>
      <c r="G77" s="13" t="s">
        <v>230</v>
      </c>
      <c r="H77" s="13" t="s">
        <v>59</v>
      </c>
      <c r="I77" s="13"/>
      <c r="J77" s="13" t="s">
        <v>59</v>
      </c>
      <c r="K77" s="13"/>
      <c r="L77" s="12"/>
      <c r="M77" s="12"/>
      <c r="N77" s="15" t="s">
        <v>62</v>
      </c>
      <c r="O77" s="13" t="s">
        <v>265</v>
      </c>
    </row>
    <row r="78" spans="1:15">
      <c r="A78" s="12"/>
      <c r="B78" s="13" t="s">
        <v>230</v>
      </c>
      <c r="C78" s="14" t="s">
        <v>266</v>
      </c>
      <c r="D78" s="12" t="s">
        <v>21</v>
      </c>
      <c r="E78" s="13" t="s">
        <v>232</v>
      </c>
      <c r="F78" s="12" t="s">
        <v>35</v>
      </c>
      <c r="G78" s="13" t="s">
        <v>230</v>
      </c>
      <c r="H78" s="13" t="s">
        <v>59</v>
      </c>
      <c r="I78" s="13"/>
      <c r="J78" s="13" t="s">
        <v>59</v>
      </c>
      <c r="K78" s="13"/>
      <c r="L78" s="12"/>
      <c r="M78" s="12"/>
      <c r="N78" s="15" t="s">
        <v>62</v>
      </c>
      <c r="O78" s="13" t="s">
        <v>89</v>
      </c>
    </row>
    <row r="79" spans="1:15">
      <c r="A79" s="12"/>
      <c r="B79" s="13" t="s">
        <v>230</v>
      </c>
      <c r="C79" s="14" t="s">
        <v>267</v>
      </c>
      <c r="D79" s="12" t="s">
        <v>21</v>
      </c>
      <c r="E79" s="13" t="s">
        <v>22</v>
      </c>
      <c r="F79" s="12" t="s">
        <v>23</v>
      </c>
      <c r="G79" s="13" t="s">
        <v>230</v>
      </c>
      <c r="H79" s="13" t="s">
        <v>59</v>
      </c>
      <c r="I79" s="13"/>
      <c r="J79" s="13" t="s">
        <v>59</v>
      </c>
      <c r="K79" s="13"/>
      <c r="L79" s="12"/>
      <c r="M79" s="12"/>
      <c r="N79" s="15" t="s">
        <v>62</v>
      </c>
      <c r="O79" s="13" t="s">
        <v>89</v>
      </c>
    </row>
    <row r="80" spans="1:15">
      <c r="A80" s="12"/>
      <c r="B80" s="13" t="s">
        <v>230</v>
      </c>
      <c r="C80" s="14" t="s">
        <v>268</v>
      </c>
      <c r="D80" s="12" t="s">
        <v>21</v>
      </c>
      <c r="E80" s="13" t="s">
        <v>232</v>
      </c>
      <c r="F80" s="12" t="s">
        <v>23</v>
      </c>
      <c r="G80" s="13" t="s">
        <v>230</v>
      </c>
      <c r="H80" s="13" t="s">
        <v>59</v>
      </c>
      <c r="I80" s="13"/>
      <c r="J80" s="13" t="s">
        <v>59</v>
      </c>
      <c r="K80" s="13"/>
      <c r="L80" s="12"/>
      <c r="M80" s="12"/>
      <c r="N80" s="15" t="s">
        <v>62</v>
      </c>
      <c r="O80" s="13" t="s">
        <v>89</v>
      </c>
    </row>
    <row r="81" spans="1:15">
      <c r="A81" s="12"/>
      <c r="B81" s="13" t="s">
        <v>230</v>
      </c>
      <c r="C81" s="14" t="s">
        <v>269</v>
      </c>
      <c r="D81" s="12" t="s">
        <v>21</v>
      </c>
      <c r="E81" s="13" t="s">
        <v>232</v>
      </c>
      <c r="F81" s="12" t="s">
        <v>35</v>
      </c>
      <c r="G81" s="13" t="s">
        <v>230</v>
      </c>
      <c r="H81" s="13" t="s">
        <v>59</v>
      </c>
      <c r="I81" s="13"/>
      <c r="J81" s="13" t="s">
        <v>59</v>
      </c>
      <c r="K81" s="13"/>
      <c r="L81" s="12"/>
      <c r="M81" s="12"/>
      <c r="N81" s="15" t="s">
        <v>62</v>
      </c>
      <c r="O81" s="13" t="s">
        <v>89</v>
      </c>
    </row>
    <row r="82" spans="1:15" ht="23.85">
      <c r="A82" s="12"/>
      <c r="B82" s="13" t="s">
        <v>230</v>
      </c>
      <c r="C82" s="14" t="s">
        <v>270</v>
      </c>
      <c r="D82" s="12" t="s">
        <v>21</v>
      </c>
      <c r="E82" s="13" t="s">
        <v>232</v>
      </c>
      <c r="F82" s="12" t="s">
        <v>23</v>
      </c>
      <c r="G82" s="13" t="s">
        <v>230</v>
      </c>
      <c r="H82" s="13" t="s">
        <v>59</v>
      </c>
      <c r="I82" s="13"/>
      <c r="J82" s="13" t="s">
        <v>60</v>
      </c>
      <c r="K82" s="13" t="s">
        <v>271</v>
      </c>
      <c r="L82" s="12"/>
      <c r="M82" s="12"/>
      <c r="N82" s="15" t="s">
        <v>62</v>
      </c>
      <c r="O82" s="13" t="s">
        <v>272</v>
      </c>
    </row>
    <row r="83" spans="1:15" ht="23.85">
      <c r="A83" s="9" t="s">
        <v>273</v>
      </c>
      <c r="B83" s="10" t="s">
        <v>230</v>
      </c>
      <c r="C83" s="11" t="s">
        <v>274</v>
      </c>
      <c r="D83" s="9" t="s">
        <v>80</v>
      </c>
      <c r="E83" s="10" t="s">
        <v>22</v>
      </c>
      <c r="F83" s="9" t="s">
        <v>81</v>
      </c>
      <c r="G83" s="10" t="s">
        <v>230</v>
      </c>
      <c r="H83" s="10" t="s">
        <v>36</v>
      </c>
      <c r="I83" s="10" t="s">
        <v>275</v>
      </c>
      <c r="J83" s="10" t="s">
        <v>36</v>
      </c>
      <c r="K83" s="10" t="s">
        <v>276</v>
      </c>
      <c r="L83" s="9"/>
      <c r="M83" s="9" t="s">
        <v>28</v>
      </c>
      <c r="N83" s="9" t="s">
        <v>39</v>
      </c>
      <c r="O83" s="10" t="s">
        <v>277</v>
      </c>
    </row>
    <row r="84" spans="1:15" ht="23.85">
      <c r="A84" s="12"/>
      <c r="B84" s="13" t="s">
        <v>230</v>
      </c>
      <c r="C84" s="14" t="s">
        <v>278</v>
      </c>
      <c r="D84" s="12" t="s">
        <v>80</v>
      </c>
      <c r="E84" s="13" t="s">
        <v>232</v>
      </c>
      <c r="F84" s="12" t="s">
        <v>81</v>
      </c>
      <c r="G84" s="13" t="s">
        <v>230</v>
      </c>
      <c r="H84" s="13" t="s">
        <v>59</v>
      </c>
      <c r="I84" s="13"/>
      <c r="J84" s="13" t="s">
        <v>60</v>
      </c>
      <c r="K84" s="13" t="s">
        <v>279</v>
      </c>
      <c r="L84" s="12"/>
      <c r="M84" s="12"/>
      <c r="N84" s="15" t="s">
        <v>62</v>
      </c>
      <c r="O84" s="13" t="s">
        <v>280</v>
      </c>
    </row>
    <row r="85" spans="1:15" ht="23.85">
      <c r="A85" s="12"/>
      <c r="B85" s="13" t="s">
        <v>230</v>
      </c>
      <c r="C85" s="14" t="s">
        <v>281</v>
      </c>
      <c r="D85" s="12" t="s">
        <v>80</v>
      </c>
      <c r="E85" s="13" t="s">
        <v>232</v>
      </c>
      <c r="F85" s="12" t="s">
        <v>35</v>
      </c>
      <c r="G85" s="13" t="s">
        <v>230</v>
      </c>
      <c r="H85" s="13" t="s">
        <v>59</v>
      </c>
      <c r="I85" s="13"/>
      <c r="J85" s="13" t="s">
        <v>60</v>
      </c>
      <c r="K85" s="13" t="s">
        <v>282</v>
      </c>
      <c r="L85" s="12"/>
      <c r="M85" s="12"/>
      <c r="N85" s="15" t="s">
        <v>62</v>
      </c>
      <c r="O85" s="13" t="s">
        <v>280</v>
      </c>
    </row>
    <row r="86" spans="1:15">
      <c r="A86" s="12"/>
      <c r="B86" s="13" t="s">
        <v>230</v>
      </c>
      <c r="C86" s="14" t="s">
        <v>283</v>
      </c>
      <c r="D86" s="12" t="s">
        <v>80</v>
      </c>
      <c r="E86" s="13" t="s">
        <v>22</v>
      </c>
      <c r="F86" s="12" t="s">
        <v>23</v>
      </c>
      <c r="G86" s="13" t="s">
        <v>230</v>
      </c>
      <c r="H86" s="13" t="s">
        <v>59</v>
      </c>
      <c r="I86" s="13"/>
      <c r="J86" s="13" t="s">
        <v>59</v>
      </c>
      <c r="K86" s="13"/>
      <c r="L86" s="12"/>
      <c r="M86" s="12"/>
      <c r="N86" s="15" t="s">
        <v>62</v>
      </c>
      <c r="O86" s="13" t="s">
        <v>89</v>
      </c>
    </row>
    <row r="87" spans="1:15">
      <c r="A87" s="12"/>
      <c r="B87" s="13" t="s">
        <v>230</v>
      </c>
      <c r="C87" s="14" t="s">
        <v>284</v>
      </c>
      <c r="D87" s="12" t="s">
        <v>80</v>
      </c>
      <c r="E87" s="13" t="s">
        <v>232</v>
      </c>
      <c r="F87" s="12" t="s">
        <v>23</v>
      </c>
      <c r="G87" s="13" t="s">
        <v>230</v>
      </c>
      <c r="H87" s="13" t="s">
        <v>59</v>
      </c>
      <c r="I87" s="13"/>
      <c r="J87" s="13" t="s">
        <v>59</v>
      </c>
      <c r="K87" s="13"/>
      <c r="L87" s="12"/>
      <c r="M87" s="12"/>
      <c r="N87" s="15" t="s">
        <v>62</v>
      </c>
      <c r="O87" s="13" t="s">
        <v>285</v>
      </c>
    </row>
    <row r="88" spans="1:15" ht="15" customHeight="1">
      <c r="A88" s="1" t="s">
        <v>286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23.85">
      <c r="A89" s="12"/>
      <c r="B89" s="13" t="s">
        <v>287</v>
      </c>
      <c r="C89" s="14" t="s">
        <v>288</v>
      </c>
      <c r="D89" s="12" t="s">
        <v>33</v>
      </c>
      <c r="E89" s="13" t="s">
        <v>34</v>
      </c>
      <c r="F89" s="12" t="s">
        <v>35</v>
      </c>
      <c r="G89" s="13" t="s">
        <v>289</v>
      </c>
      <c r="H89" s="13" t="s">
        <v>66</v>
      </c>
      <c r="I89" s="13" t="s">
        <v>290</v>
      </c>
      <c r="J89" s="13" t="s">
        <v>59</v>
      </c>
      <c r="K89" s="13"/>
      <c r="L89" s="12"/>
      <c r="M89" s="12"/>
      <c r="N89" s="15" t="s">
        <v>62</v>
      </c>
      <c r="O89" s="13" t="s">
        <v>291</v>
      </c>
    </row>
    <row r="90" spans="1:15" ht="23.85">
      <c r="A90" s="16"/>
      <c r="B90" s="17" t="s">
        <v>287</v>
      </c>
      <c r="C90" s="18" t="s">
        <v>292</v>
      </c>
      <c r="D90" s="16" t="s">
        <v>33</v>
      </c>
      <c r="E90" s="17" t="s">
        <v>34</v>
      </c>
      <c r="F90" s="16" t="s">
        <v>35</v>
      </c>
      <c r="G90" s="17" t="s">
        <v>289</v>
      </c>
      <c r="H90" s="17" t="s">
        <v>59</v>
      </c>
      <c r="I90" s="17"/>
      <c r="J90" s="17" t="s">
        <v>60</v>
      </c>
      <c r="K90" s="17" t="s">
        <v>293</v>
      </c>
      <c r="L90" s="16"/>
      <c r="M90" s="16"/>
      <c r="N90" s="19" t="s">
        <v>62</v>
      </c>
      <c r="O90" s="17" t="s">
        <v>294</v>
      </c>
    </row>
    <row r="91" spans="1:15" ht="23.85">
      <c r="A91" s="16"/>
      <c r="B91" s="17" t="s">
        <v>287</v>
      </c>
      <c r="C91" s="18" t="s">
        <v>295</v>
      </c>
      <c r="D91" s="16" t="s">
        <v>33</v>
      </c>
      <c r="E91" s="17" t="s">
        <v>34</v>
      </c>
      <c r="F91" s="16" t="s">
        <v>35</v>
      </c>
      <c r="G91" s="17" t="s">
        <v>143</v>
      </c>
      <c r="H91" s="17" t="s">
        <v>59</v>
      </c>
      <c r="I91" s="17"/>
      <c r="J91" s="17" t="s">
        <v>59</v>
      </c>
      <c r="K91" s="17"/>
      <c r="L91" s="16"/>
      <c r="M91" s="16"/>
      <c r="N91" s="19" t="s">
        <v>62</v>
      </c>
      <c r="O91" s="17" t="s">
        <v>296</v>
      </c>
    </row>
    <row r="92" spans="1:15" ht="23.85">
      <c r="A92" s="12"/>
      <c r="B92" s="13" t="s">
        <v>287</v>
      </c>
      <c r="C92" s="14" t="s">
        <v>297</v>
      </c>
      <c r="D92" s="12" t="s">
        <v>21</v>
      </c>
      <c r="E92" s="13" t="s">
        <v>34</v>
      </c>
      <c r="F92" s="12" t="s">
        <v>23</v>
      </c>
      <c r="G92" s="13" t="s">
        <v>289</v>
      </c>
      <c r="H92" s="13" t="s">
        <v>59</v>
      </c>
      <c r="I92" s="13"/>
      <c r="J92" s="13" t="s">
        <v>59</v>
      </c>
      <c r="K92" s="13"/>
      <c r="L92" s="12"/>
      <c r="M92" s="12"/>
      <c r="N92" s="15" t="s">
        <v>62</v>
      </c>
      <c r="O92" s="13" t="s">
        <v>89</v>
      </c>
    </row>
    <row r="93" spans="1:15" ht="23.85">
      <c r="A93" s="12"/>
      <c r="B93" s="13" t="s">
        <v>287</v>
      </c>
      <c r="C93" s="14" t="s">
        <v>298</v>
      </c>
      <c r="D93" s="12" t="s">
        <v>65</v>
      </c>
      <c r="E93" s="13"/>
      <c r="F93" s="12"/>
      <c r="G93" s="13" t="s">
        <v>289</v>
      </c>
      <c r="H93" s="13" t="s">
        <v>59</v>
      </c>
      <c r="I93" s="13"/>
      <c r="J93" s="13" t="s">
        <v>59</v>
      </c>
      <c r="K93" s="13"/>
      <c r="L93" s="12"/>
      <c r="M93" s="12"/>
      <c r="N93" s="15" t="s">
        <v>62</v>
      </c>
      <c r="O93" s="13" t="s">
        <v>299</v>
      </c>
    </row>
    <row r="94" spans="1:15" ht="15" customHeight="1">
      <c r="A94" s="1" t="s">
        <v>300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23.85">
      <c r="A95" s="9"/>
      <c r="B95" s="10" t="s">
        <v>301</v>
      </c>
      <c r="C95" s="11" t="s">
        <v>302</v>
      </c>
      <c r="D95" s="9" t="s">
        <v>33</v>
      </c>
      <c r="E95" s="10" t="s">
        <v>34</v>
      </c>
      <c r="F95" s="9" t="s">
        <v>35</v>
      </c>
      <c r="G95" s="10" t="s">
        <v>301</v>
      </c>
      <c r="H95" s="10" t="s">
        <v>36</v>
      </c>
      <c r="I95" s="10" t="s">
        <v>303</v>
      </c>
      <c r="J95" s="10" t="s">
        <v>36</v>
      </c>
      <c r="K95" s="10" t="s">
        <v>304</v>
      </c>
      <c r="L95" s="9"/>
      <c r="M95" s="9"/>
      <c r="N95" s="9" t="s">
        <v>39</v>
      </c>
      <c r="O95" s="10" t="s">
        <v>305</v>
      </c>
    </row>
    <row r="96" spans="1:15" ht="23.85">
      <c r="A96" s="9"/>
      <c r="B96" s="10" t="s">
        <v>301</v>
      </c>
      <c r="C96" s="11" t="s">
        <v>306</v>
      </c>
      <c r="D96" s="9" t="s">
        <v>65</v>
      </c>
      <c r="E96" s="10" t="s">
        <v>34</v>
      </c>
      <c r="F96" s="9" t="s">
        <v>23</v>
      </c>
      <c r="G96" s="10" t="s">
        <v>301</v>
      </c>
      <c r="H96" s="10" t="s">
        <v>36</v>
      </c>
      <c r="I96" s="10" t="s">
        <v>307</v>
      </c>
      <c r="J96" s="10" t="s">
        <v>36</v>
      </c>
      <c r="K96" s="10" t="s">
        <v>308</v>
      </c>
      <c r="L96" s="9"/>
      <c r="M96" s="9"/>
      <c r="N96" s="9" t="s">
        <v>39</v>
      </c>
      <c r="O96" s="10" t="s">
        <v>309</v>
      </c>
    </row>
    <row r="97" spans="1:15" ht="35.1">
      <c r="A97" s="12"/>
      <c r="B97" s="13" t="s">
        <v>301</v>
      </c>
      <c r="C97" s="14" t="s">
        <v>310</v>
      </c>
      <c r="D97" s="12" t="s">
        <v>33</v>
      </c>
      <c r="E97" s="13" t="s">
        <v>34</v>
      </c>
      <c r="F97" s="12" t="s">
        <v>35</v>
      </c>
      <c r="G97" s="13" t="s">
        <v>301</v>
      </c>
      <c r="H97" s="13" t="s">
        <v>66</v>
      </c>
      <c r="I97" s="13"/>
      <c r="J97" s="13" t="s">
        <v>66</v>
      </c>
      <c r="K97" s="13" t="s">
        <v>311</v>
      </c>
      <c r="L97" s="12"/>
      <c r="M97" s="12"/>
      <c r="N97" s="15" t="s">
        <v>62</v>
      </c>
      <c r="O97" s="13" t="s">
        <v>312</v>
      </c>
    </row>
    <row r="98" spans="1:15" ht="23.85">
      <c r="A98" s="9" t="s">
        <v>313</v>
      </c>
      <c r="B98" s="10" t="s">
        <v>301</v>
      </c>
      <c r="C98" s="11" t="s">
        <v>314</v>
      </c>
      <c r="D98" s="9" t="s">
        <v>33</v>
      </c>
      <c r="E98" s="10" t="s">
        <v>34</v>
      </c>
      <c r="F98" s="9" t="s">
        <v>35</v>
      </c>
      <c r="G98" s="10" t="s">
        <v>301</v>
      </c>
      <c r="H98" s="10" t="s">
        <v>36</v>
      </c>
      <c r="I98" s="10" t="s">
        <v>315</v>
      </c>
      <c r="J98" s="10" t="s">
        <v>36</v>
      </c>
      <c r="K98" s="10" t="s">
        <v>316</v>
      </c>
      <c r="L98" s="9"/>
      <c r="M98" s="9" t="s">
        <v>28</v>
      </c>
      <c r="N98" s="9" t="s">
        <v>39</v>
      </c>
      <c r="O98" s="10" t="s">
        <v>317</v>
      </c>
    </row>
    <row r="99" spans="1:15" ht="23.85">
      <c r="A99" s="9" t="s">
        <v>318</v>
      </c>
      <c r="B99" s="10" t="s">
        <v>301</v>
      </c>
      <c r="C99" s="11" t="s">
        <v>319</v>
      </c>
      <c r="D99" s="9" t="s">
        <v>33</v>
      </c>
      <c r="E99" s="10" t="s">
        <v>34</v>
      </c>
      <c r="F99" s="9" t="s">
        <v>35</v>
      </c>
      <c r="G99" s="10" t="s">
        <v>301</v>
      </c>
      <c r="H99" s="10" t="s">
        <v>36</v>
      </c>
      <c r="I99" s="10" t="s">
        <v>320</v>
      </c>
      <c r="J99" s="10" t="s">
        <v>36</v>
      </c>
      <c r="K99" s="10" t="s">
        <v>321</v>
      </c>
      <c r="L99" s="9"/>
      <c r="M99" s="9" t="s">
        <v>28</v>
      </c>
      <c r="N99" s="9" t="s">
        <v>39</v>
      </c>
      <c r="O99" s="10" t="s">
        <v>322</v>
      </c>
    </row>
    <row r="100" spans="1:15" ht="23.85">
      <c r="A100" s="9" t="s">
        <v>323</v>
      </c>
      <c r="B100" s="10" t="s">
        <v>301</v>
      </c>
      <c r="C100" s="11" t="s">
        <v>324</v>
      </c>
      <c r="D100" s="9" t="s">
        <v>21</v>
      </c>
      <c r="E100" s="10" t="s">
        <v>34</v>
      </c>
      <c r="F100" s="9" t="s">
        <v>23</v>
      </c>
      <c r="G100" s="10" t="s">
        <v>301</v>
      </c>
      <c r="H100" s="10" t="s">
        <v>36</v>
      </c>
      <c r="I100" s="10" t="s">
        <v>325</v>
      </c>
      <c r="J100" s="10" t="s">
        <v>36</v>
      </c>
      <c r="K100" s="10" t="s">
        <v>326</v>
      </c>
      <c r="L100" s="9"/>
      <c r="M100" s="9" t="s">
        <v>28</v>
      </c>
      <c r="N100" s="9" t="s">
        <v>39</v>
      </c>
      <c r="O100" s="10" t="s">
        <v>327</v>
      </c>
    </row>
    <row r="101" spans="1:15" ht="23.85">
      <c r="A101" s="12"/>
      <c r="B101" s="13" t="s">
        <v>301</v>
      </c>
      <c r="C101" s="14" t="s">
        <v>328</v>
      </c>
      <c r="D101" s="12" t="s">
        <v>21</v>
      </c>
      <c r="E101" s="13" t="s">
        <v>34</v>
      </c>
      <c r="F101" s="12" t="s">
        <v>23</v>
      </c>
      <c r="G101" s="13" t="s">
        <v>301</v>
      </c>
      <c r="H101" s="13" t="s">
        <v>59</v>
      </c>
      <c r="I101" s="13"/>
      <c r="J101" s="13" t="s">
        <v>60</v>
      </c>
      <c r="K101" s="13" t="s">
        <v>329</v>
      </c>
      <c r="L101" s="12"/>
      <c r="M101" s="12"/>
      <c r="N101" s="15" t="s">
        <v>62</v>
      </c>
      <c r="O101" s="13" t="s">
        <v>330</v>
      </c>
    </row>
    <row r="102" spans="1:15" ht="23.85">
      <c r="A102" s="9" t="s">
        <v>331</v>
      </c>
      <c r="B102" s="10" t="s">
        <v>301</v>
      </c>
      <c r="C102" s="11" t="s">
        <v>332</v>
      </c>
      <c r="D102" s="9" t="s">
        <v>21</v>
      </c>
      <c r="E102" s="10" t="s">
        <v>22</v>
      </c>
      <c r="F102" s="9" t="s">
        <v>23</v>
      </c>
      <c r="G102" s="10" t="s">
        <v>301</v>
      </c>
      <c r="H102" s="10" t="s">
        <v>36</v>
      </c>
      <c r="I102" s="10" t="s">
        <v>333</v>
      </c>
      <c r="J102" s="10" t="s">
        <v>36</v>
      </c>
      <c r="K102" s="10" t="s">
        <v>334</v>
      </c>
      <c r="L102" s="9"/>
      <c r="M102" s="9" t="s">
        <v>28</v>
      </c>
      <c r="N102" s="9" t="s">
        <v>39</v>
      </c>
      <c r="O102" s="10" t="s">
        <v>335</v>
      </c>
    </row>
    <row r="103" spans="1:15" ht="23.85">
      <c r="A103" s="12"/>
      <c r="B103" s="13" t="s">
        <v>301</v>
      </c>
      <c r="C103" s="14" t="s">
        <v>336</v>
      </c>
      <c r="D103" s="12" t="s">
        <v>21</v>
      </c>
      <c r="E103" s="13" t="s">
        <v>22</v>
      </c>
      <c r="F103" s="12" t="s">
        <v>81</v>
      </c>
      <c r="G103" s="13" t="s">
        <v>337</v>
      </c>
      <c r="H103" s="13" t="s">
        <v>59</v>
      </c>
      <c r="I103" s="13"/>
      <c r="J103" s="13" t="s">
        <v>60</v>
      </c>
      <c r="K103" s="13" t="s">
        <v>338</v>
      </c>
      <c r="L103" s="12"/>
      <c r="M103" s="12"/>
      <c r="N103" s="15" t="s">
        <v>62</v>
      </c>
      <c r="O103" s="13" t="s">
        <v>330</v>
      </c>
    </row>
    <row r="104" spans="1:15" ht="23.85">
      <c r="A104" s="12"/>
      <c r="B104" s="13" t="s">
        <v>301</v>
      </c>
      <c r="C104" s="14" t="s">
        <v>339</v>
      </c>
      <c r="D104" s="12" t="s">
        <v>21</v>
      </c>
      <c r="E104" s="13" t="s">
        <v>22</v>
      </c>
      <c r="F104" s="12" t="s">
        <v>23</v>
      </c>
      <c r="G104" s="13" t="s">
        <v>340</v>
      </c>
      <c r="H104" s="13" t="s">
        <v>59</v>
      </c>
      <c r="I104" s="13"/>
      <c r="J104" s="13" t="s">
        <v>60</v>
      </c>
      <c r="K104" s="13" t="s">
        <v>341</v>
      </c>
      <c r="L104" s="12"/>
      <c r="M104" s="12"/>
      <c r="N104" s="15" t="s">
        <v>62</v>
      </c>
      <c r="O104" s="13" t="s">
        <v>280</v>
      </c>
    </row>
    <row r="105" spans="1:15" ht="23.85">
      <c r="A105" s="12"/>
      <c r="B105" s="13" t="s">
        <v>301</v>
      </c>
      <c r="C105" s="14" t="s">
        <v>342</v>
      </c>
      <c r="D105" s="12" t="s">
        <v>21</v>
      </c>
      <c r="E105" s="13" t="s">
        <v>34</v>
      </c>
      <c r="F105" s="12" t="s">
        <v>23</v>
      </c>
      <c r="G105" s="13" t="s">
        <v>301</v>
      </c>
      <c r="H105" s="13" t="s">
        <v>59</v>
      </c>
      <c r="I105" s="13"/>
      <c r="J105" s="13" t="s">
        <v>60</v>
      </c>
      <c r="K105" s="13" t="s">
        <v>343</v>
      </c>
      <c r="L105" s="12"/>
      <c r="M105" s="12"/>
      <c r="N105" s="15" t="s">
        <v>62</v>
      </c>
      <c r="O105" s="13" t="s">
        <v>344</v>
      </c>
    </row>
    <row r="106" spans="1:15" ht="35.1">
      <c r="A106" s="9" t="s">
        <v>345</v>
      </c>
      <c r="B106" s="10" t="s">
        <v>301</v>
      </c>
      <c r="C106" s="11" t="s">
        <v>346</v>
      </c>
      <c r="D106" s="9" t="s">
        <v>65</v>
      </c>
      <c r="E106" s="10"/>
      <c r="F106" s="9"/>
      <c r="G106" s="10" t="s">
        <v>134</v>
      </c>
      <c r="H106" s="10" t="s">
        <v>36</v>
      </c>
      <c r="I106" s="10" t="s">
        <v>347</v>
      </c>
      <c r="J106" s="10" t="s">
        <v>36</v>
      </c>
      <c r="K106" s="10" t="s">
        <v>348</v>
      </c>
      <c r="L106" s="9"/>
      <c r="M106" s="9" t="s">
        <v>28</v>
      </c>
      <c r="N106" s="9" t="s">
        <v>39</v>
      </c>
      <c r="O106" s="10" t="s">
        <v>349</v>
      </c>
    </row>
    <row r="107" spans="1:15" ht="23.85">
      <c r="A107" s="9" t="s">
        <v>350</v>
      </c>
      <c r="B107" s="10" t="s">
        <v>301</v>
      </c>
      <c r="C107" s="11" t="s">
        <v>351</v>
      </c>
      <c r="D107" s="9" t="s">
        <v>21</v>
      </c>
      <c r="E107" s="10" t="s">
        <v>34</v>
      </c>
      <c r="F107" s="9" t="s">
        <v>23</v>
      </c>
      <c r="G107" s="10" t="s">
        <v>301</v>
      </c>
      <c r="H107" s="10" t="s">
        <v>36</v>
      </c>
      <c r="I107" s="10" t="s">
        <v>352</v>
      </c>
      <c r="J107" s="10" t="s">
        <v>36</v>
      </c>
      <c r="K107" s="10" t="s">
        <v>353</v>
      </c>
      <c r="L107" s="9"/>
      <c r="M107" s="9" t="s">
        <v>28</v>
      </c>
      <c r="N107" s="9" t="s">
        <v>39</v>
      </c>
      <c r="O107" s="10" t="s">
        <v>354</v>
      </c>
    </row>
    <row r="108" spans="1:15" ht="35.1">
      <c r="A108" s="9" t="s">
        <v>355</v>
      </c>
      <c r="B108" s="10" t="s">
        <v>301</v>
      </c>
      <c r="C108" s="11" t="s">
        <v>356</v>
      </c>
      <c r="D108" s="9" t="s">
        <v>33</v>
      </c>
      <c r="E108" s="10" t="s">
        <v>34</v>
      </c>
      <c r="F108" s="9" t="s">
        <v>35</v>
      </c>
      <c r="G108" s="10" t="s">
        <v>301</v>
      </c>
      <c r="H108" s="10" t="s">
        <v>36</v>
      </c>
      <c r="I108" s="10" t="s">
        <v>357</v>
      </c>
      <c r="J108" s="10" t="s">
        <v>36</v>
      </c>
      <c r="K108" s="10" t="s">
        <v>358</v>
      </c>
      <c r="L108" s="9"/>
      <c r="M108" s="9" t="s">
        <v>28</v>
      </c>
      <c r="N108" s="9" t="s">
        <v>39</v>
      </c>
      <c r="O108" s="10" t="s">
        <v>359</v>
      </c>
    </row>
    <row r="109" spans="1:15" ht="23.85">
      <c r="A109" s="9" t="s">
        <v>360</v>
      </c>
      <c r="B109" s="10" t="s">
        <v>301</v>
      </c>
      <c r="C109" s="11" t="s">
        <v>361</v>
      </c>
      <c r="D109" s="9" t="s">
        <v>65</v>
      </c>
      <c r="E109" s="10"/>
      <c r="F109" s="9"/>
      <c r="G109" s="10" t="s">
        <v>134</v>
      </c>
      <c r="H109" s="10" t="s">
        <v>36</v>
      </c>
      <c r="I109" s="10" t="s">
        <v>362</v>
      </c>
      <c r="J109" s="10" t="s">
        <v>36</v>
      </c>
      <c r="K109" s="10" t="s">
        <v>363</v>
      </c>
      <c r="L109" s="9"/>
      <c r="M109" s="9" t="s">
        <v>28</v>
      </c>
      <c r="N109" s="9" t="s">
        <v>39</v>
      </c>
      <c r="O109" s="10" t="s">
        <v>364</v>
      </c>
    </row>
    <row r="110" spans="1:15" ht="23.85">
      <c r="A110" s="9" t="s">
        <v>365</v>
      </c>
      <c r="B110" s="10" t="s">
        <v>301</v>
      </c>
      <c r="C110" s="11" t="s">
        <v>366</v>
      </c>
      <c r="D110" s="9" t="s">
        <v>21</v>
      </c>
      <c r="E110" s="10" t="s">
        <v>22</v>
      </c>
      <c r="F110" s="9" t="s">
        <v>23</v>
      </c>
      <c r="G110" s="10" t="s">
        <v>367</v>
      </c>
      <c r="H110" s="10" t="s">
        <v>36</v>
      </c>
      <c r="I110" s="10" t="s">
        <v>368</v>
      </c>
      <c r="J110" s="10" t="s">
        <v>36</v>
      </c>
      <c r="K110" s="10" t="s">
        <v>369</v>
      </c>
      <c r="L110" s="9"/>
      <c r="M110" s="9" t="s">
        <v>28</v>
      </c>
      <c r="N110" s="9" t="s">
        <v>39</v>
      </c>
      <c r="O110" s="10" t="s">
        <v>370</v>
      </c>
    </row>
    <row r="111" spans="1:15" ht="35.1">
      <c r="A111" s="9" t="s">
        <v>371</v>
      </c>
      <c r="B111" s="10" t="s">
        <v>301</v>
      </c>
      <c r="C111" s="11" t="s">
        <v>372</v>
      </c>
      <c r="D111" s="9" t="s">
        <v>21</v>
      </c>
      <c r="E111" s="10" t="s">
        <v>34</v>
      </c>
      <c r="F111" s="9" t="s">
        <v>23</v>
      </c>
      <c r="G111" s="10" t="s">
        <v>301</v>
      </c>
      <c r="H111" s="10" t="s">
        <v>36</v>
      </c>
      <c r="I111" s="10" t="s">
        <v>373</v>
      </c>
      <c r="J111" s="10" t="s">
        <v>36</v>
      </c>
      <c r="K111" s="10" t="s">
        <v>374</v>
      </c>
      <c r="L111" s="9"/>
      <c r="M111" s="9" t="s">
        <v>28</v>
      </c>
      <c r="N111" s="9" t="s">
        <v>39</v>
      </c>
      <c r="O111" s="10" t="s">
        <v>375</v>
      </c>
    </row>
    <row r="112" spans="1:15" ht="35.1">
      <c r="A112" s="9" t="s">
        <v>376</v>
      </c>
      <c r="B112" s="10" t="s">
        <v>301</v>
      </c>
      <c r="C112" s="11" t="s">
        <v>377</v>
      </c>
      <c r="D112" s="9" t="s">
        <v>33</v>
      </c>
      <c r="E112" s="10" t="s">
        <v>34</v>
      </c>
      <c r="F112" s="9" t="s">
        <v>35</v>
      </c>
      <c r="G112" s="10" t="s">
        <v>301</v>
      </c>
      <c r="H112" s="10" t="s">
        <v>36</v>
      </c>
      <c r="I112" s="10" t="s">
        <v>378</v>
      </c>
      <c r="J112" s="10" t="s">
        <v>36</v>
      </c>
      <c r="K112" s="10" t="s">
        <v>379</v>
      </c>
      <c r="L112" s="9"/>
      <c r="M112" s="9" t="s">
        <v>28</v>
      </c>
      <c r="N112" s="9" t="s">
        <v>39</v>
      </c>
      <c r="O112" s="10" t="s">
        <v>380</v>
      </c>
    </row>
    <row r="113" spans="1:15" ht="23.85">
      <c r="A113" s="9" t="s">
        <v>381</v>
      </c>
      <c r="B113" s="10" t="s">
        <v>301</v>
      </c>
      <c r="C113" s="11" t="s">
        <v>382</v>
      </c>
      <c r="D113" s="9" t="s">
        <v>65</v>
      </c>
      <c r="E113" s="10"/>
      <c r="F113" s="9"/>
      <c r="G113" s="10" t="s">
        <v>134</v>
      </c>
      <c r="H113" s="10" t="s">
        <v>36</v>
      </c>
      <c r="I113" s="10" t="s">
        <v>383</v>
      </c>
      <c r="J113" s="10" t="s">
        <v>36</v>
      </c>
      <c r="K113" s="10" t="s">
        <v>384</v>
      </c>
      <c r="L113" s="9"/>
      <c r="M113" s="9" t="s">
        <v>28</v>
      </c>
      <c r="N113" s="9" t="s">
        <v>39</v>
      </c>
      <c r="O113" s="10" t="s">
        <v>385</v>
      </c>
    </row>
    <row r="114" spans="1:15" ht="23.85">
      <c r="A114" s="9" t="s">
        <v>386</v>
      </c>
      <c r="B114" s="10" t="s">
        <v>301</v>
      </c>
      <c r="C114" s="11" t="s">
        <v>387</v>
      </c>
      <c r="D114" s="9" t="s">
        <v>80</v>
      </c>
      <c r="E114" s="10" t="s">
        <v>22</v>
      </c>
      <c r="F114" s="9" t="s">
        <v>81</v>
      </c>
      <c r="G114" s="10" t="s">
        <v>367</v>
      </c>
      <c r="H114" s="10" t="s">
        <v>36</v>
      </c>
      <c r="I114" s="10" t="s">
        <v>388</v>
      </c>
      <c r="J114" s="10" t="s">
        <v>36</v>
      </c>
      <c r="K114" s="10" t="s">
        <v>389</v>
      </c>
      <c r="L114" s="9"/>
      <c r="M114" s="9" t="s">
        <v>28</v>
      </c>
      <c r="N114" s="9" t="s">
        <v>39</v>
      </c>
      <c r="O114" s="10" t="s">
        <v>390</v>
      </c>
    </row>
    <row r="115" spans="1:15" ht="15" customHeight="1">
      <c r="A115" s="1" t="s">
        <v>391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23.85">
      <c r="A116" s="12"/>
      <c r="B116" s="13" t="s">
        <v>392</v>
      </c>
      <c r="C116" s="14" t="s">
        <v>393</v>
      </c>
      <c r="D116" s="12" t="s">
        <v>21</v>
      </c>
      <c r="E116" s="13" t="s">
        <v>34</v>
      </c>
      <c r="F116" s="12" t="s">
        <v>23</v>
      </c>
      <c r="G116" s="13" t="s">
        <v>394</v>
      </c>
      <c r="H116" s="13" t="s">
        <v>59</v>
      </c>
      <c r="I116" s="13"/>
      <c r="J116" s="13" t="s">
        <v>60</v>
      </c>
      <c r="K116" s="13" t="s">
        <v>395</v>
      </c>
      <c r="L116" s="12"/>
      <c r="M116" s="12"/>
      <c r="N116" s="15" t="s">
        <v>62</v>
      </c>
      <c r="O116" s="13" t="s">
        <v>330</v>
      </c>
    </row>
    <row r="117" spans="1:15" ht="23.85">
      <c r="A117" s="12"/>
      <c r="B117" s="13" t="s">
        <v>392</v>
      </c>
      <c r="C117" s="14" t="s">
        <v>396</v>
      </c>
      <c r="D117" s="12" t="s">
        <v>80</v>
      </c>
      <c r="E117" s="13" t="s">
        <v>22</v>
      </c>
      <c r="F117" s="12" t="s">
        <v>81</v>
      </c>
      <c r="G117" s="13" t="s">
        <v>394</v>
      </c>
      <c r="H117" s="13" t="s">
        <v>59</v>
      </c>
      <c r="I117" s="13"/>
      <c r="J117" s="13" t="s">
        <v>60</v>
      </c>
      <c r="K117" s="13" t="s">
        <v>397</v>
      </c>
      <c r="L117" s="12"/>
      <c r="M117" s="12"/>
      <c r="N117" s="15" t="s">
        <v>62</v>
      </c>
      <c r="O117" s="13" t="s">
        <v>398</v>
      </c>
    </row>
    <row r="118" spans="1:15">
      <c r="A118" s="12"/>
      <c r="B118" s="13" t="s">
        <v>392</v>
      </c>
      <c r="C118" s="14" t="s">
        <v>399</v>
      </c>
      <c r="D118" s="12" t="s">
        <v>21</v>
      </c>
      <c r="E118" s="13" t="s">
        <v>22</v>
      </c>
      <c r="F118" s="12" t="s">
        <v>23</v>
      </c>
      <c r="G118" s="13" t="s">
        <v>394</v>
      </c>
      <c r="H118" s="13" t="s">
        <v>59</v>
      </c>
      <c r="I118" s="13"/>
      <c r="J118" s="13" t="s">
        <v>59</v>
      </c>
      <c r="K118" s="13"/>
      <c r="L118" s="12"/>
      <c r="M118" s="12"/>
      <c r="N118" s="15" t="s">
        <v>62</v>
      </c>
      <c r="O118" s="13" t="s">
        <v>89</v>
      </c>
    </row>
    <row r="119" spans="1:15" ht="23.85">
      <c r="A119" s="12"/>
      <c r="B119" s="13" t="s">
        <v>392</v>
      </c>
      <c r="C119" s="14" t="s">
        <v>400</v>
      </c>
      <c r="D119" s="12" t="s">
        <v>65</v>
      </c>
      <c r="E119" s="13"/>
      <c r="F119" s="12"/>
      <c r="G119" s="13" t="s">
        <v>401</v>
      </c>
      <c r="H119" s="13" t="s">
        <v>59</v>
      </c>
      <c r="I119" s="13"/>
      <c r="J119" s="13" t="s">
        <v>59</v>
      </c>
      <c r="K119" s="13"/>
      <c r="L119" s="12"/>
      <c r="M119" s="12"/>
      <c r="N119" s="15" t="s">
        <v>62</v>
      </c>
      <c r="O119" s="13" t="s">
        <v>402</v>
      </c>
    </row>
    <row r="120" spans="1:15">
      <c r="A120" s="12"/>
      <c r="B120" s="13" t="s">
        <v>392</v>
      </c>
      <c r="C120" s="14" t="s">
        <v>403</v>
      </c>
      <c r="D120" s="12" t="s">
        <v>80</v>
      </c>
      <c r="E120" s="13" t="s">
        <v>232</v>
      </c>
      <c r="F120" s="12" t="s">
        <v>81</v>
      </c>
      <c r="G120" s="13" t="s">
        <v>394</v>
      </c>
      <c r="H120" s="13" t="s">
        <v>59</v>
      </c>
      <c r="I120" s="13"/>
      <c r="J120" s="13" t="s">
        <v>59</v>
      </c>
      <c r="K120" s="13"/>
      <c r="L120" s="12"/>
      <c r="M120" s="12"/>
      <c r="N120" s="15" t="s">
        <v>62</v>
      </c>
      <c r="O120" s="13" t="s">
        <v>89</v>
      </c>
    </row>
    <row r="121" spans="1:15" ht="15" customHeight="1">
      <c r="A121" s="1" t="s">
        <v>404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2"/>
      <c r="B122" s="13" t="s">
        <v>405</v>
      </c>
      <c r="C122" s="14" t="s">
        <v>406</v>
      </c>
      <c r="D122" s="12" t="s">
        <v>21</v>
      </c>
      <c r="E122" s="13" t="s">
        <v>232</v>
      </c>
      <c r="F122" s="12" t="s">
        <v>23</v>
      </c>
      <c r="G122" s="13" t="s">
        <v>407</v>
      </c>
      <c r="H122" s="13" t="s">
        <v>66</v>
      </c>
      <c r="I122" s="13" t="s">
        <v>408</v>
      </c>
      <c r="J122" s="13" t="s">
        <v>59</v>
      </c>
      <c r="K122" s="13"/>
      <c r="L122" s="12"/>
      <c r="M122" s="12"/>
      <c r="N122" s="15" t="s">
        <v>62</v>
      </c>
      <c r="O122" s="13" t="s">
        <v>409</v>
      </c>
    </row>
    <row r="123" spans="1:15" ht="23.85">
      <c r="A123" s="12"/>
      <c r="B123" s="13" t="s">
        <v>405</v>
      </c>
      <c r="C123" s="14" t="s">
        <v>410</v>
      </c>
      <c r="D123" s="12" t="s">
        <v>21</v>
      </c>
      <c r="E123" s="13" t="s">
        <v>22</v>
      </c>
      <c r="F123" s="12" t="s">
        <v>23</v>
      </c>
      <c r="G123" s="13" t="s">
        <v>407</v>
      </c>
      <c r="H123" s="13" t="s">
        <v>59</v>
      </c>
      <c r="I123" s="13"/>
      <c r="J123" s="13" t="s">
        <v>60</v>
      </c>
      <c r="K123" s="13" t="s">
        <v>411</v>
      </c>
      <c r="L123" s="12"/>
      <c r="M123" s="12"/>
      <c r="N123" s="15" t="s">
        <v>62</v>
      </c>
      <c r="O123" s="13" t="s">
        <v>330</v>
      </c>
    </row>
    <row r="125" spans="1:15">
      <c r="B125" s="20" t="s">
        <v>412</v>
      </c>
    </row>
    <row r="126" spans="1:15">
      <c r="B126" s="31" t="s">
        <v>413</v>
      </c>
      <c r="C126" s="31"/>
      <c r="D126" s="31"/>
    </row>
    <row r="127" spans="1:15">
      <c r="B127" s="32" t="s">
        <v>414</v>
      </c>
      <c r="C127" s="32"/>
      <c r="D127" s="32"/>
    </row>
    <row r="128" spans="1:15">
      <c r="B128" s="33" t="s">
        <v>415</v>
      </c>
      <c r="C128" s="33"/>
      <c r="D128" s="33"/>
    </row>
  </sheetData>
  <autoFilter ref="A6:O123" xr:uid="{00000000-0009-0000-0000-000000000000}"/>
  <mergeCells count="13">
    <mergeCell ref="B126:D126"/>
    <mergeCell ref="B127:D127"/>
    <mergeCell ref="B128:D128"/>
    <mergeCell ref="A67:O67"/>
    <mergeCell ref="A88:O88"/>
    <mergeCell ref="A94:O94"/>
    <mergeCell ref="A115:O115"/>
    <mergeCell ref="A121:O121"/>
    <mergeCell ref="B3:P3"/>
    <mergeCell ref="B4:P4"/>
    <mergeCell ref="A7:O7"/>
    <mergeCell ref="A22:O22"/>
    <mergeCell ref="A49:O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9"/>
  <sheetViews>
    <sheetView zoomScaleNormal="100" workbookViewId="0"/>
  </sheetViews>
  <sheetFormatPr defaultColWidth="8.7109375" defaultRowHeight="15"/>
  <cols>
    <col min="2" max="2" width="36" customWidth="1"/>
    <col min="3" max="3" width="30" customWidth="1"/>
    <col min="4" max="4" width="12" customWidth="1"/>
  </cols>
  <sheetData>
    <row r="2" spans="2:4" ht="24.4">
      <c r="B2" s="2" t="s">
        <v>416</v>
      </c>
    </row>
    <row r="3" spans="2:4">
      <c r="B3" s="3" t="s">
        <v>417</v>
      </c>
    </row>
    <row r="5" spans="2:4">
      <c r="B5" s="4" t="s">
        <v>418</v>
      </c>
      <c r="C5" s="4" t="s">
        <v>419</v>
      </c>
      <c r="D5" s="4" t="s">
        <v>420</v>
      </c>
    </row>
    <row r="6" spans="2:4">
      <c r="B6" s="21" t="s">
        <v>184</v>
      </c>
      <c r="C6" s="22">
        <f>COUNTIF('SOP Tracker'!$H$7:$H$123,B6)</f>
        <v>1</v>
      </c>
      <c r="D6" s="22">
        <f>COUNTIF('SOP Tracker'!$J$7:$J$123,B6)</f>
        <v>1</v>
      </c>
    </row>
    <row r="7" spans="2:4">
      <c r="B7" s="21" t="s">
        <v>25</v>
      </c>
      <c r="C7" s="22">
        <f>COUNTIF('SOP Tracker'!$H$7:$H$123,B7)</f>
        <v>1</v>
      </c>
      <c r="D7" s="22">
        <f>COUNTIF('SOP Tracker'!$J$7:$J$123,B7)</f>
        <v>1</v>
      </c>
    </row>
    <row r="8" spans="2:4">
      <c r="B8" s="21" t="s">
        <v>36</v>
      </c>
      <c r="C8" s="22">
        <f>COUNTIF('SOP Tracker'!$H$7:$H$123,B8)</f>
        <v>36</v>
      </c>
      <c r="D8" s="22">
        <f>COUNTIF('SOP Tracker'!$J$7:$J$123,B8)</f>
        <v>36</v>
      </c>
    </row>
    <row r="9" spans="2:4">
      <c r="B9" s="21" t="s">
        <v>66</v>
      </c>
      <c r="C9" s="22">
        <f>COUNTIF('SOP Tracker'!$H$7:$H$123,B9)</f>
        <v>11</v>
      </c>
      <c r="D9" s="22">
        <f>COUNTIF('SOP Tracker'!$J$7:$J$123,B9)</f>
        <v>1</v>
      </c>
    </row>
    <row r="10" spans="2:4">
      <c r="B10" s="21" t="s">
        <v>60</v>
      </c>
      <c r="C10" s="22">
        <f>COUNTIF('SOP Tracker'!$H$7:$H$123,B10)</f>
        <v>0</v>
      </c>
      <c r="D10" s="22">
        <f>COUNTIF('SOP Tracker'!$J$7:$J$123,B10)</f>
        <v>26</v>
      </c>
    </row>
    <row r="11" spans="2:4">
      <c r="B11" s="21" t="s">
        <v>149</v>
      </c>
      <c r="C11" s="22">
        <f>COUNTIF('SOP Tracker'!$H$7:$H$123,B11)</f>
        <v>1</v>
      </c>
      <c r="D11" s="22">
        <f>COUNTIF('SOP Tracker'!$J$7:$J$123,B11)</f>
        <v>1</v>
      </c>
    </row>
    <row r="12" spans="2:4">
      <c r="B12" s="21" t="s">
        <v>59</v>
      </c>
      <c r="C12" s="22">
        <f>COUNTIF('SOP Tracker'!$H$7:$H$123,B12)</f>
        <v>59</v>
      </c>
      <c r="D12" s="22">
        <f>COUNTIF('SOP Tracker'!$J$7:$J$123,B12)</f>
        <v>43</v>
      </c>
    </row>
    <row r="13" spans="2:4">
      <c r="B13" s="23" t="s">
        <v>421</v>
      </c>
      <c r="C13" s="24">
        <f>SUM(C6:C12)</f>
        <v>109</v>
      </c>
      <c r="D13" s="24">
        <f>SUM(D6:D12)</f>
        <v>109</v>
      </c>
    </row>
    <row r="15" spans="2:4">
      <c r="B15" s="23" t="s">
        <v>422</v>
      </c>
      <c r="C15" s="25">
        <f>COUNTIF('SOP Tracker'!$N$7:$N$123,"YES")</f>
        <v>71</v>
      </c>
    </row>
    <row r="17" spans="2:3">
      <c r="B17" s="23" t="s">
        <v>423</v>
      </c>
      <c r="C17" s="25">
        <f>COUNTIFS('SOP Tracker'!$D$7:$D$123,"Tier 1 - Critical",'SOP Tracker'!$H$7:$H$123,"Not started")</f>
        <v>7</v>
      </c>
    </row>
    <row r="20" spans="2:3" ht="17.45">
      <c r="B20" s="26" t="s">
        <v>424</v>
      </c>
    </row>
    <row r="21" spans="2:3">
      <c r="B21" s="20" t="s">
        <v>425</v>
      </c>
      <c r="C21" t="s">
        <v>426</v>
      </c>
    </row>
    <row r="22" spans="2:3">
      <c r="B22" s="20" t="s">
        <v>427</v>
      </c>
      <c r="C22" t="s">
        <v>92</v>
      </c>
    </row>
    <row r="23" spans="2:3">
      <c r="B23" s="20" t="s">
        <v>428</v>
      </c>
      <c r="C23" t="s">
        <v>205</v>
      </c>
    </row>
    <row r="24" spans="2:3">
      <c r="B24" s="20" t="s">
        <v>429</v>
      </c>
      <c r="C24" t="s">
        <v>430</v>
      </c>
    </row>
    <row r="25" spans="2:3">
      <c r="B25" s="20" t="s">
        <v>431</v>
      </c>
      <c r="C25" t="s">
        <v>432</v>
      </c>
    </row>
    <row r="26" spans="2:3">
      <c r="B26" s="20" t="s">
        <v>433</v>
      </c>
      <c r="C26" t="s">
        <v>434</v>
      </c>
    </row>
    <row r="27" spans="2:3">
      <c r="B27" s="20" t="s">
        <v>435</v>
      </c>
      <c r="C27" t="s">
        <v>436</v>
      </c>
    </row>
    <row r="28" spans="2:3">
      <c r="B28" s="20" t="s">
        <v>437</v>
      </c>
      <c r="C28" t="s">
        <v>394</v>
      </c>
    </row>
    <row r="29" spans="2:3">
      <c r="B29" s="20" t="s">
        <v>438</v>
      </c>
      <c r="C29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9"/>
  <sheetViews>
    <sheetView zoomScaleNormal="100" workbookViewId="0"/>
  </sheetViews>
  <sheetFormatPr defaultColWidth="8.7109375" defaultRowHeight="15"/>
  <cols>
    <col min="2" max="2" width="18" customWidth="1"/>
    <col min="3" max="3" width="120" customWidth="1"/>
  </cols>
  <sheetData>
    <row r="2" spans="2:3" ht="24.4">
      <c r="B2" s="2" t="s">
        <v>440</v>
      </c>
    </row>
    <row r="4" spans="2:3">
      <c r="B4" s="4" t="s">
        <v>441</v>
      </c>
      <c r="C4" s="4" t="s">
        <v>442</v>
      </c>
    </row>
    <row r="5" spans="2:3">
      <c r="B5" s="14" t="s">
        <v>443</v>
      </c>
      <c r="C5" s="13" t="s">
        <v>444</v>
      </c>
    </row>
    <row r="6" spans="2:3" ht="23.85">
      <c r="B6" s="27" t="s">
        <v>443</v>
      </c>
      <c r="C6" s="28" t="s">
        <v>445</v>
      </c>
    </row>
    <row r="7" spans="2:3">
      <c r="B7" s="14" t="s">
        <v>443</v>
      </c>
      <c r="C7" s="13" t="s">
        <v>446</v>
      </c>
    </row>
    <row r="8" spans="2:3">
      <c r="B8" s="27" t="s">
        <v>443</v>
      </c>
      <c r="C8" s="28" t="s">
        <v>447</v>
      </c>
    </row>
    <row r="9" spans="2:3">
      <c r="B9" s="14" t="s">
        <v>443</v>
      </c>
      <c r="C9" s="13" t="s">
        <v>448</v>
      </c>
    </row>
    <row r="10" spans="2:3">
      <c r="B10" s="27" t="s">
        <v>443</v>
      </c>
      <c r="C10" s="28" t="s">
        <v>449</v>
      </c>
    </row>
    <row r="11" spans="2:3">
      <c r="B11" s="14" t="s">
        <v>443</v>
      </c>
      <c r="C11" s="13" t="s">
        <v>450</v>
      </c>
    </row>
    <row r="12" spans="2:3" ht="23.85">
      <c r="B12" s="27" t="s">
        <v>451</v>
      </c>
      <c r="C12" s="28" t="s">
        <v>452</v>
      </c>
    </row>
    <row r="13" spans="2:3">
      <c r="B13" s="14" t="s">
        <v>453</v>
      </c>
      <c r="C13" s="13" t="s">
        <v>454</v>
      </c>
    </row>
    <row r="14" spans="2:3">
      <c r="B14" s="27" t="s">
        <v>453</v>
      </c>
      <c r="C14" s="28" t="s">
        <v>455</v>
      </c>
    </row>
    <row r="15" spans="2:3">
      <c r="B15" s="14" t="s">
        <v>453</v>
      </c>
      <c r="C15" s="13" t="s">
        <v>456</v>
      </c>
    </row>
    <row r="16" spans="2:3">
      <c r="B16" s="27" t="s">
        <v>453</v>
      </c>
      <c r="C16" s="28" t="s">
        <v>457</v>
      </c>
    </row>
    <row r="17" spans="2:3" ht="23.85">
      <c r="B17" s="14" t="s">
        <v>453</v>
      </c>
      <c r="C17" s="13" t="s">
        <v>458</v>
      </c>
    </row>
    <row r="18" spans="2:3" ht="23.85">
      <c r="B18" s="27" t="s">
        <v>459</v>
      </c>
      <c r="C18" s="28" t="s">
        <v>460</v>
      </c>
    </row>
    <row r="19" spans="2:3" ht="23.85">
      <c r="B19" s="14" t="s">
        <v>461</v>
      </c>
      <c r="C19" s="13" t="s">
        <v>462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  <DocumentType xmlns="8b946ec2-561f-4a03-a63a-0eab221a5776" xsi:nil="true"/>
    <PropertyShortName xmlns="8b946ec2-561f-4a03-a63a-0eab221a57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06DF46-7E58-4753-A83B-5D720575E7A6}"/>
</file>

<file path=customXml/itemProps2.xml><?xml version="1.0" encoding="utf-8"?>
<ds:datastoreItem xmlns:ds="http://schemas.openxmlformats.org/officeDocument/2006/customXml" ds:itemID="{D732A257-6930-4974-9792-D609F3D521D9}"/>
</file>

<file path=customXml/itemProps3.xml><?xml version="1.0" encoding="utf-8"?>
<ds:datastoreItem xmlns:ds="http://schemas.openxmlformats.org/officeDocument/2006/customXml" ds:itemID="{C70182AC-AB1F-4429-9CD9-1AD758AA7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Natalie Magurne</cp:lastModifiedBy>
  <cp:revision>0</cp:revision>
  <dcterms:created xsi:type="dcterms:W3CDTF">2026-08-06T22:15:27Z</dcterms:created>
  <dcterms:modified xsi:type="dcterms:W3CDTF">2026-08-07T19:05:23Z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