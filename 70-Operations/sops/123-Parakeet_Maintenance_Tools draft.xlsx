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ParakeetBirdcage/Corporate/Process &amp; Procedures Working Folder/"/>
    </mc:Choice>
  </mc:AlternateContent>
  <xr:revisionPtr revIDLastSave="0" documentId="8_{1B66CC16-A8F1-4354-8FA6-6D6B8CCD9B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tenance Tool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" l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3" i="1"/>
  <c r="D86" i="1" s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<sst xmlns="http://schemas.openxmlformats.org/spreadsheetml/2006/main" count="154" uniqueCount="153">
  <si>
    <t>PARAKEET COMMUNITIES</t>
  </si>
  <si>
    <t>Maintenance Tools Standard  ·  Average Market Pricing Reference</t>
  </si>
  <si>
    <t>Pricing reflects mid-range commercial/professional grade tools (2025-2026 market avg). Adjust Qty column per property size. All costs are estimates - obtain quotes before purchasing.</t>
  </si>
  <si>
    <t>Tool / Item</t>
  </si>
  <si>
    <t>Avg. Unit Cost</t>
  </si>
  <si>
    <t>Rec'd Qty</t>
  </si>
  <si>
    <t>Est. Total</t>
  </si>
  <si>
    <t>Notes / Use</t>
  </si>
  <si>
    <t>ELECTRICAL TOOLS</t>
  </si>
  <si>
    <t>Multimeter</t>
  </si>
  <si>
    <t>Diagnose voltage, current, resistance</t>
  </si>
  <si>
    <t>Non-contact voltage tester</t>
  </si>
  <si>
    <t>Safe live-wire detection; keep 2 on hand</t>
  </si>
  <si>
    <t>Electrical tester / receptacle tester</t>
  </si>
  <si>
    <t>Outlet polarity &amp; GFCI verification</t>
  </si>
  <si>
    <t>Insulated screwdriver set</t>
  </si>
  <si>
    <t>1,000V rated; required for panel work</t>
  </si>
  <si>
    <t>Standard screwdriver set</t>
  </si>
  <si>
    <t>General use; flat &amp; Phillips assorted</t>
  </si>
  <si>
    <t>Wire strippers</t>
  </si>
  <si>
    <t>10-24 AWG range recommended</t>
  </si>
  <si>
    <t>Wire cutters</t>
  </si>
  <si>
    <t>Flush-cut for clean terminations</t>
  </si>
  <si>
    <t>Needle-nose pliers</t>
  </si>
  <si>
    <t>Tight-space wire routing</t>
  </si>
  <si>
    <t>Channel-lock pliers</t>
  </si>
  <si>
    <t>Conduit &amp; fixture work</t>
  </si>
  <si>
    <t>Electrical crimpers</t>
  </si>
  <si>
    <t>Butt connectors &amp; ring terminals</t>
  </si>
  <si>
    <t>Electrical tape (pack of 10)</t>
  </si>
  <si>
    <t>600V vinyl; stock multiple colors</t>
  </si>
  <si>
    <t>Wire nuts / connectors (assorted)</t>
  </si>
  <si>
    <t>Keep assorted sizes stocked</t>
  </si>
  <si>
    <t>Flashlight / headlamp</t>
  </si>
  <si>
    <t>Hands-free preferred; panel &amp; attic work</t>
  </si>
  <si>
    <t>Circuit breaker finder</t>
  </si>
  <si>
    <t>Transmitter + receiver set</t>
  </si>
  <si>
    <t>Portable work light</t>
  </si>
  <si>
    <t>LED flood; bright enough for panel rooms</t>
  </si>
  <si>
    <t>Lockout/Tagout (LOTO) kit</t>
  </si>
  <si>
    <t>Required per SOP 108 / OSHA 1910.147</t>
  </si>
  <si>
    <t>ELECTRICAL TOOLS  -  Subtotal</t>
  </si>
  <si>
    <t>PLUMBING TOOLS</t>
  </si>
  <si>
    <t>Pipe wrench set (10", 14", 18")</t>
  </si>
  <si>
    <t>Heavy-duty cast iron; threaded pipe work</t>
  </si>
  <si>
    <t>Adjustable wrench set</t>
  </si>
  <si>
    <t>6", 10", 12" combination set</t>
  </si>
  <si>
    <t>Slip-joint; packing nut &amp; valve work</t>
  </si>
  <si>
    <t>PVC cutter</t>
  </si>
  <si>
    <t>Ratcheting; clean cut up to 2" pipe</t>
  </si>
  <si>
    <t>Hacksaw</t>
  </si>
  <si>
    <t>Metal/CPVC; keep extra blades on hand</t>
  </si>
  <si>
    <t>Strap wrench</t>
  </si>
  <si>
    <t>No-scratch grip for chrome/plastic fittings</t>
  </si>
  <si>
    <t>PVC primer and cement (kit)</t>
  </si>
  <si>
    <t>Keep extra; expires - check dates</t>
  </si>
  <si>
    <t>Teflon tape (pack of 5)</t>
  </si>
  <si>
    <t>White for water, yellow for gas</t>
  </si>
  <si>
    <t>Assorted fittings kit</t>
  </si>
  <si>
    <t>PVC, CPVC, copper couplings &amp; elbows</t>
  </si>
  <si>
    <t>Pipe clamps (assorted)</t>
  </si>
  <si>
    <t>Stainless screw clamps; 1/2" to 2"</t>
  </si>
  <si>
    <t>Plumbing repair kits (assorted)</t>
  </si>
  <si>
    <t>Fill valves, flappers, cartridges</t>
  </si>
  <si>
    <t>Trash pump - extra hoses</t>
  </si>
  <si>
    <t>2" discharge &amp; suction hose set</t>
  </si>
  <si>
    <t>Submersible pump with water hose</t>
  </si>
  <si>
    <t>1/2 HP minimum; flood response</t>
  </si>
  <si>
    <t>PLUMBING TOOLS  -  Subtotal</t>
  </si>
  <si>
    <t>LAWN CARE / GROUNDS</t>
  </si>
  <si>
    <t>Commercial push mower</t>
  </si>
  <si>
    <t>21" deck; self-propelled; tight areas</t>
  </si>
  <si>
    <t>Zero-turn mower</t>
  </si>
  <si>
    <t>48"-52" commercial deck; open areas</t>
  </si>
  <si>
    <t>String trimmer (commercial)</t>
  </si>
  <si>
    <t>25-30cc; split shaft preferred</t>
  </si>
  <si>
    <t>Backpack blower (commercial)</t>
  </si>
  <si>
    <t>50-65cc; curved tube &amp; concentrator nozzle</t>
  </si>
  <si>
    <t>Hedge trimmer</t>
  </si>
  <si>
    <t>24" blade; dual-action</t>
  </si>
  <si>
    <t>Chainsaw</t>
  </si>
  <si>
    <t>16"-18" bar; safety gear required</t>
  </si>
  <si>
    <t>Pole saw</t>
  </si>
  <si>
    <t>10" bar; 8-10 ft reach extension</t>
  </si>
  <si>
    <t>Edger</t>
  </si>
  <si>
    <t>Stick edger; keep blade sharp</t>
  </si>
  <si>
    <t>Loppers</t>
  </si>
  <si>
    <t>30" bypass loppers; 1.5" cutting capacity</t>
  </si>
  <si>
    <t>Rakes (leaf + landscape)</t>
  </si>
  <si>
    <t>One leaf, one bow rake</t>
  </si>
  <si>
    <t>Shovels (round point + flat)</t>
  </si>
  <si>
    <t>One each; fiberglass handles</t>
  </si>
  <si>
    <t>Post-hole digger</t>
  </si>
  <si>
    <t>Manual clamshell; fencing &amp; signage</t>
  </si>
  <si>
    <t>Wheelbarrow</t>
  </si>
  <si>
    <t>6 cu ft; pneumatic tire</t>
  </si>
  <si>
    <t>Hand tools set</t>
  </si>
  <si>
    <t>Trowels, hand cultivator, weeder</t>
  </si>
  <si>
    <t>Backpack sprayer</t>
  </si>
  <si>
    <t>4-gallon; herbicide &amp; pest control use</t>
  </si>
  <si>
    <t>Pressure washer</t>
  </si>
  <si>
    <t>3,000 PSI electric or gas; decks &amp; walkways</t>
  </si>
  <si>
    <t>Hoses (50 ft x 2)</t>
  </si>
  <si>
    <t>Kink-resistant; garden grade minimum</t>
  </si>
  <si>
    <t>Fuel cans (2.5 gal + 5 gal)</t>
  </si>
  <si>
    <t>Separate labeled cans for gas &amp; mixed fuel</t>
  </si>
  <si>
    <t>Traffic cones / signage (set)</t>
  </si>
  <si>
    <t>Minimum 6 cones + 2 caution signs</t>
  </si>
  <si>
    <t>Trash bucket / debris hauler</t>
  </si>
  <si>
    <t>20-gal heavy-duty contractor buckets</t>
  </si>
  <si>
    <t>Trash grabber / litter tool</t>
  </si>
  <si>
    <t>40" reach; spring-grip jaw</t>
  </si>
  <si>
    <t>LAWN CARE / GROUNDS  -  Subtotal</t>
  </si>
  <si>
    <t>ESSENTIAL GENERAL MAINTENANCE TOOLS</t>
  </si>
  <si>
    <t>Complete socket set (SAE + metric)</t>
  </si>
  <si>
    <t>1/4", 3/8", 1/2" drives; 6-point preferred</t>
  </si>
  <si>
    <t>Combination wrench set</t>
  </si>
  <si>
    <t>1/4" to 1" SAE + 8-19mm metric</t>
  </si>
  <si>
    <t>Ratchets and extensions</t>
  </si>
  <si>
    <t>3", 6", 10" extensions; wobble type useful</t>
  </si>
  <si>
    <t>Impact driver (cordless)</t>
  </si>
  <si>
    <t>18-20V; 1,750 in-lbs minimum</t>
  </si>
  <si>
    <t>Impact wrench (cordless)</t>
  </si>
  <si>
    <t>1/2" drive; 250+ ft-lbs</t>
  </si>
  <si>
    <t>Cordless drill / driver</t>
  </si>
  <si>
    <t>18-20V; brushless; includes drill bits</t>
  </si>
  <si>
    <t>Cordless tool batteries / chargers</t>
  </si>
  <si>
    <t>Match brand to existing tool inventory</t>
  </si>
  <si>
    <t>Hammer (16 oz)</t>
  </si>
  <si>
    <t>Fiberglass handle; finish &amp; framing uses</t>
  </si>
  <si>
    <t>Level (24" + 48")</t>
  </si>
  <si>
    <t>Two levels - one each size</t>
  </si>
  <si>
    <t>Tape measures (25 ft, 2-pack)</t>
  </si>
  <si>
    <t>Auto-lock; wide blade stands alone</t>
  </si>
  <si>
    <t>Pliers set</t>
  </si>
  <si>
    <t>Lineman, slip-joint, needle-nose, diagonal</t>
  </si>
  <si>
    <t>Allen / hex key set (SAE + metric)</t>
  </si>
  <si>
    <t>Folding or T-handle; covers appliances</t>
  </si>
  <si>
    <t>Sawzall / reciprocating saw</t>
  </si>
  <si>
    <t>15A corded or 20V cordless; drywall &amp; pipe</t>
  </si>
  <si>
    <t>Circular saw</t>
  </si>
  <si>
    <t>7-1/4" blade; framing &amp; repair cuts</t>
  </si>
  <si>
    <t>Angle grinder (4.5")</t>
  </si>
  <si>
    <t>Grinding, cutting, wire wheel</t>
  </si>
  <si>
    <t>Extension cords (25 ft + 50 ft)</t>
  </si>
  <si>
    <t>12 AWG minimum; 3-prong grounded</t>
  </si>
  <si>
    <t>Tool bags / rolling toolbox</t>
  </si>
  <si>
    <t>Heavy-duty canvas bag + rolling chest</t>
  </si>
  <si>
    <t>Caution tape (roll, 1000 ft)</t>
  </si>
  <si>
    <t>Yellow; stock extra for larger job sites</t>
  </si>
  <si>
    <t>ESSENTIAL GENERAL MAINTENANCE TOOLS  -  Subtotal</t>
  </si>
  <si>
    <t>TOTAL ESTIMATED INVESTMENT</t>
  </si>
  <si>
    <t>Source: 2025-2026 market average pricing (Home Depot Pro, Grainger, Amazon Business).  Adjust quantities per community size and existing inventory.  Parakeet Communities - Property Management Standards  |  Facilities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</si>
</sst>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2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404040"/>
      <name val="Arial"/>
      <family val="2"/>
    </font>
    <font>
      <b/>
      <sz val="12"/>
      <color rgb="FFFFFFFF"/>
      <name val="Arial"/>
      <family val="2"/>
    </font>
    <font>
      <i/>
      <sz val="8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pane ySplit="5" topLeftCell="A72" activePane="bottomLeft" state="frozen"/>
      <selection pane="bottomLeft"/>
    </sheetView>
  </sheetViews>
  <sheetFormatPr defaultRowHeight="14.4" x14ac:dyDescent="0.3"/>
  <cols>
    <col min="1" max="1" width="38.6640625" customWidth="1"/>
    <col min="2" max="2" width="16.6640625" customWidth="1"/>
    <col min="3" max="3" width="12.6640625" customWidth="1"/>
    <col min="4" max="4" width="14.6640625" customWidth="1"/>
    <col min="5" max="5" width="42.6640625" customWidth="1"/>
  </cols>
  <sheetData>
    <row r="1" spans="1:5" ht="31.95" customHeight="1" x14ac:dyDescent="0.3">
      <c r="A1" s="14" t="s">
        <v>0</v>
      </c>
      <c r="B1" s="14"/>
      <c r="C1" s="14"/>
      <c r="D1" s="14"/>
      <c r="E1" s="14"/>
    </row>
    <row r="2" spans="1:5" ht="22.05" customHeight="1" x14ac:dyDescent="0.3">
      <c r="A2" s="15" t="s">
        <v>1</v>
      </c>
      <c r="B2" s="15"/>
      <c r="C2" s="15"/>
      <c r="D2" s="15"/>
      <c r="E2" s="15"/>
    </row>
    <row r="3" spans="1:5" ht="28.05" customHeight="1" x14ac:dyDescent="0.3">
      <c r="A3" s="16" t="s">
        <v>2</v>
      </c>
      <c r="B3" s="16"/>
      <c r="C3" s="16"/>
      <c r="D3" s="16"/>
      <c r="E3" s="16"/>
    </row>
    <row r="4" spans="1:5" ht="6" customHeight="1" x14ac:dyDescent="0.3"/>
    <row r="5" spans="1:5" ht="19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2.05" customHeight="1" x14ac:dyDescent="0.3">
      <c r="A6" s="17" t="s">
        <v>8</v>
      </c>
      <c r="B6" s="17"/>
      <c r="C6" s="17"/>
      <c r="D6" s="17"/>
      <c r="E6" s="17"/>
    </row>
    <row r="7" spans="1:5" ht="16.95" customHeight="1" x14ac:dyDescent="0.3">
      <c r="A7" s="2" t="s">
        <v>9</v>
      </c>
      <c r="B7" s="3">
        <v>45</v>
      </c>
      <c r="C7" s="4">
        <v>1</v>
      </c>
      <c r="D7" s="3">
        <f t="shared" ref="D7:D22" si="0">B7*C7</f>
        <v>45</v>
      </c>
      <c r="E7" s="5" t="s">
        <v>10</v>
      </c>
    </row>
    <row r="8" spans="1:5" ht="16.95" customHeight="1" x14ac:dyDescent="0.3">
      <c r="A8" s="6" t="s">
        <v>11</v>
      </c>
      <c r="B8" s="7">
        <v>25</v>
      </c>
      <c r="C8" s="8">
        <v>2</v>
      </c>
      <c r="D8" s="7">
        <f t="shared" si="0"/>
        <v>50</v>
      </c>
      <c r="E8" s="9" t="s">
        <v>12</v>
      </c>
    </row>
    <row r="9" spans="1:5" ht="16.95" customHeight="1" x14ac:dyDescent="0.3">
      <c r="A9" s="2" t="s">
        <v>13</v>
      </c>
      <c r="B9" s="3">
        <v>20</v>
      </c>
      <c r="C9" s="4">
        <v>1</v>
      </c>
      <c r="D9" s="3">
        <f t="shared" si="0"/>
        <v>20</v>
      </c>
      <c r="E9" s="5" t="s">
        <v>14</v>
      </c>
    </row>
    <row r="10" spans="1:5" ht="16.95" customHeight="1" x14ac:dyDescent="0.3">
      <c r="A10" s="6" t="s">
        <v>15</v>
      </c>
      <c r="B10" s="7">
        <v>40</v>
      </c>
      <c r="C10" s="8">
        <v>1</v>
      </c>
      <c r="D10" s="7">
        <f t="shared" si="0"/>
        <v>40</v>
      </c>
      <c r="E10" s="9" t="s">
        <v>16</v>
      </c>
    </row>
    <row r="11" spans="1:5" ht="16.95" customHeight="1" x14ac:dyDescent="0.3">
      <c r="A11" s="2" t="s">
        <v>17</v>
      </c>
      <c r="B11" s="3">
        <v>30</v>
      </c>
      <c r="C11" s="4">
        <v>1</v>
      </c>
      <c r="D11" s="3">
        <f t="shared" si="0"/>
        <v>30</v>
      </c>
      <c r="E11" s="5" t="s">
        <v>18</v>
      </c>
    </row>
    <row r="12" spans="1:5" ht="16.95" customHeight="1" x14ac:dyDescent="0.3">
      <c r="A12" s="6" t="s">
        <v>19</v>
      </c>
      <c r="B12" s="7">
        <v>20</v>
      </c>
      <c r="C12" s="8">
        <v>1</v>
      </c>
      <c r="D12" s="7">
        <f t="shared" si="0"/>
        <v>20</v>
      </c>
      <c r="E12" s="9" t="s">
        <v>20</v>
      </c>
    </row>
    <row r="13" spans="1:5" ht="16.95" customHeight="1" x14ac:dyDescent="0.3">
      <c r="A13" s="2" t="s">
        <v>21</v>
      </c>
      <c r="B13" s="3">
        <v>20</v>
      </c>
      <c r="C13" s="4">
        <v>1</v>
      </c>
      <c r="D13" s="3">
        <f t="shared" si="0"/>
        <v>20</v>
      </c>
      <c r="E13" s="5" t="s">
        <v>22</v>
      </c>
    </row>
    <row r="14" spans="1:5" ht="16.95" customHeight="1" x14ac:dyDescent="0.3">
      <c r="A14" s="6" t="s">
        <v>23</v>
      </c>
      <c r="B14" s="7">
        <v>18</v>
      </c>
      <c r="C14" s="8">
        <v>1</v>
      </c>
      <c r="D14" s="7">
        <f t="shared" si="0"/>
        <v>18</v>
      </c>
      <c r="E14" s="9" t="s">
        <v>24</v>
      </c>
    </row>
    <row r="15" spans="1:5" ht="16.95" customHeight="1" x14ac:dyDescent="0.3">
      <c r="A15" s="2" t="s">
        <v>25</v>
      </c>
      <c r="B15" s="3">
        <v>30</v>
      </c>
      <c r="C15" s="4">
        <v>1</v>
      </c>
      <c r="D15" s="3">
        <f t="shared" si="0"/>
        <v>30</v>
      </c>
      <c r="E15" s="5" t="s">
        <v>26</v>
      </c>
    </row>
    <row r="16" spans="1:5" ht="16.95" customHeight="1" x14ac:dyDescent="0.3">
      <c r="A16" s="6" t="s">
        <v>27</v>
      </c>
      <c r="B16" s="7">
        <v>30</v>
      </c>
      <c r="C16" s="8">
        <v>1</v>
      </c>
      <c r="D16" s="7">
        <f t="shared" si="0"/>
        <v>30</v>
      </c>
      <c r="E16" s="9" t="s">
        <v>28</v>
      </c>
    </row>
    <row r="17" spans="1:5" ht="16.95" customHeight="1" x14ac:dyDescent="0.3">
      <c r="A17" s="2" t="s">
        <v>29</v>
      </c>
      <c r="B17" s="3">
        <v>12</v>
      </c>
      <c r="C17" s="4">
        <v>1</v>
      </c>
      <c r="D17" s="3">
        <f t="shared" si="0"/>
        <v>12</v>
      </c>
      <c r="E17" s="5" t="s">
        <v>30</v>
      </c>
    </row>
    <row r="18" spans="1:5" ht="16.95" customHeight="1" x14ac:dyDescent="0.3">
      <c r="A18" s="6" t="s">
        <v>31</v>
      </c>
      <c r="B18" s="7">
        <v>12</v>
      </c>
      <c r="C18" s="8">
        <v>1</v>
      </c>
      <c r="D18" s="7">
        <f t="shared" si="0"/>
        <v>12</v>
      </c>
      <c r="E18" s="9" t="s">
        <v>32</v>
      </c>
    </row>
    <row r="19" spans="1:5" ht="16.95" customHeight="1" x14ac:dyDescent="0.3">
      <c r="A19" s="2" t="s">
        <v>33</v>
      </c>
      <c r="B19" s="3">
        <v>35</v>
      </c>
      <c r="C19" s="4">
        <v>2</v>
      </c>
      <c r="D19" s="3">
        <f t="shared" si="0"/>
        <v>70</v>
      </c>
      <c r="E19" s="5" t="s">
        <v>34</v>
      </c>
    </row>
    <row r="20" spans="1:5" ht="16.95" customHeight="1" x14ac:dyDescent="0.3">
      <c r="A20" s="6" t="s">
        <v>35</v>
      </c>
      <c r="B20" s="7">
        <v>55</v>
      </c>
      <c r="C20" s="8">
        <v>1</v>
      </c>
      <c r="D20" s="7">
        <f t="shared" si="0"/>
        <v>55</v>
      </c>
      <c r="E20" s="9" t="s">
        <v>36</v>
      </c>
    </row>
    <row r="21" spans="1:5" ht="16.95" customHeight="1" x14ac:dyDescent="0.3">
      <c r="A21" s="2" t="s">
        <v>37</v>
      </c>
      <c r="B21" s="3">
        <v>50</v>
      </c>
      <c r="C21" s="4">
        <v>1</v>
      </c>
      <c r="D21" s="3">
        <f t="shared" si="0"/>
        <v>50</v>
      </c>
      <c r="E21" s="5" t="s">
        <v>38</v>
      </c>
    </row>
    <row r="22" spans="1:5" ht="16.95" customHeight="1" x14ac:dyDescent="0.3">
      <c r="A22" s="6" t="s">
        <v>39</v>
      </c>
      <c r="B22" s="7">
        <v>75</v>
      </c>
      <c r="C22" s="8">
        <v>1</v>
      </c>
      <c r="D22" s="7">
        <f t="shared" si="0"/>
        <v>75</v>
      </c>
      <c r="E22" s="9" t="s">
        <v>40</v>
      </c>
    </row>
    <row r="23" spans="1:5" ht="19.95" customHeight="1" x14ac:dyDescent="0.3">
      <c r="A23" s="18" t="s">
        <v>41</v>
      </c>
      <c r="B23" s="18"/>
      <c r="C23" s="18"/>
      <c r="D23" s="10">
        <f>SUM(D7:D22)</f>
        <v>577</v>
      </c>
      <c r="E23" s="11"/>
    </row>
    <row r="25" spans="1:5" ht="22.05" customHeight="1" x14ac:dyDescent="0.3">
      <c r="A25" s="17" t="s">
        <v>42</v>
      </c>
      <c r="B25" s="17"/>
      <c r="C25" s="17"/>
      <c r="D25" s="17"/>
      <c r="E25" s="17"/>
    </row>
    <row r="26" spans="1:5" ht="16.95" customHeight="1" x14ac:dyDescent="0.3">
      <c r="A26" s="2" t="s">
        <v>43</v>
      </c>
      <c r="B26" s="3">
        <v>65</v>
      </c>
      <c r="C26" s="4">
        <v>1</v>
      </c>
      <c r="D26" s="3">
        <f t="shared" ref="D26:D38" si="1">B26*C26</f>
        <v>65</v>
      </c>
      <c r="E26" s="5" t="s">
        <v>44</v>
      </c>
    </row>
    <row r="27" spans="1:5" ht="16.95" customHeight="1" x14ac:dyDescent="0.3">
      <c r="A27" s="6" t="s">
        <v>45</v>
      </c>
      <c r="B27" s="7">
        <v>50</v>
      </c>
      <c r="C27" s="8">
        <v>1</v>
      </c>
      <c r="D27" s="7">
        <f t="shared" si="1"/>
        <v>50</v>
      </c>
      <c r="E27" s="9" t="s">
        <v>46</v>
      </c>
    </row>
    <row r="28" spans="1:5" ht="16.95" customHeight="1" x14ac:dyDescent="0.3">
      <c r="A28" s="2" t="s">
        <v>25</v>
      </c>
      <c r="B28" s="3">
        <v>30</v>
      </c>
      <c r="C28" s="4">
        <v>1</v>
      </c>
      <c r="D28" s="3">
        <f t="shared" si="1"/>
        <v>30</v>
      </c>
      <c r="E28" s="5" t="s">
        <v>47</v>
      </c>
    </row>
    <row r="29" spans="1:5" ht="16.95" customHeight="1" x14ac:dyDescent="0.3">
      <c r="A29" s="6" t="s">
        <v>48</v>
      </c>
      <c r="B29" s="7">
        <v>35</v>
      </c>
      <c r="C29" s="8">
        <v>1</v>
      </c>
      <c r="D29" s="7">
        <f t="shared" si="1"/>
        <v>35</v>
      </c>
      <c r="E29" s="9" t="s">
        <v>49</v>
      </c>
    </row>
    <row r="30" spans="1:5" ht="16.95" customHeight="1" x14ac:dyDescent="0.3">
      <c r="A30" s="2" t="s">
        <v>50</v>
      </c>
      <c r="B30" s="3">
        <v>28</v>
      </c>
      <c r="C30" s="4">
        <v>1</v>
      </c>
      <c r="D30" s="3">
        <f t="shared" si="1"/>
        <v>28</v>
      </c>
      <c r="E30" s="5" t="s">
        <v>51</v>
      </c>
    </row>
    <row r="31" spans="1:5" ht="16.95" customHeight="1" x14ac:dyDescent="0.3">
      <c r="A31" s="6" t="s">
        <v>52</v>
      </c>
      <c r="B31" s="7">
        <v>28</v>
      </c>
      <c r="C31" s="8">
        <v>1</v>
      </c>
      <c r="D31" s="7">
        <f t="shared" si="1"/>
        <v>28</v>
      </c>
      <c r="E31" s="9" t="s">
        <v>53</v>
      </c>
    </row>
    <row r="32" spans="1:5" ht="16.95" customHeight="1" x14ac:dyDescent="0.3">
      <c r="A32" s="2" t="s">
        <v>54</v>
      </c>
      <c r="B32" s="3">
        <v>20</v>
      </c>
      <c r="C32" s="4">
        <v>2</v>
      </c>
      <c r="D32" s="3">
        <f t="shared" si="1"/>
        <v>40</v>
      </c>
      <c r="E32" s="5" t="s">
        <v>55</v>
      </c>
    </row>
    <row r="33" spans="1:5" ht="16.95" customHeight="1" x14ac:dyDescent="0.3">
      <c r="A33" s="6" t="s">
        <v>56</v>
      </c>
      <c r="B33" s="7">
        <v>8</v>
      </c>
      <c r="C33" s="8">
        <v>2</v>
      </c>
      <c r="D33" s="7">
        <f t="shared" si="1"/>
        <v>16</v>
      </c>
      <c r="E33" s="9" t="s">
        <v>57</v>
      </c>
    </row>
    <row r="34" spans="1:5" ht="16.95" customHeight="1" x14ac:dyDescent="0.3">
      <c r="A34" s="2" t="s">
        <v>58</v>
      </c>
      <c r="B34" s="3">
        <v>45</v>
      </c>
      <c r="C34" s="4">
        <v>1</v>
      </c>
      <c r="D34" s="3">
        <f t="shared" si="1"/>
        <v>45</v>
      </c>
      <c r="E34" s="5" t="s">
        <v>59</v>
      </c>
    </row>
    <row r="35" spans="1:5" ht="16.95" customHeight="1" x14ac:dyDescent="0.3">
      <c r="A35" s="6" t="s">
        <v>60</v>
      </c>
      <c r="B35" s="7">
        <v>22</v>
      </c>
      <c r="C35" s="8">
        <v>1</v>
      </c>
      <c r="D35" s="7">
        <f t="shared" si="1"/>
        <v>22</v>
      </c>
      <c r="E35" s="9" t="s">
        <v>61</v>
      </c>
    </row>
    <row r="36" spans="1:5" ht="16.95" customHeight="1" x14ac:dyDescent="0.3">
      <c r="A36" s="2" t="s">
        <v>62</v>
      </c>
      <c r="B36" s="3">
        <v>35</v>
      </c>
      <c r="C36" s="4">
        <v>2</v>
      </c>
      <c r="D36" s="3">
        <f t="shared" si="1"/>
        <v>70</v>
      </c>
      <c r="E36" s="5" t="s">
        <v>63</v>
      </c>
    </row>
    <row r="37" spans="1:5" ht="16.95" customHeight="1" x14ac:dyDescent="0.3">
      <c r="A37" s="6" t="s">
        <v>64</v>
      </c>
      <c r="B37" s="7">
        <v>50</v>
      </c>
      <c r="C37" s="8">
        <v>1</v>
      </c>
      <c r="D37" s="7">
        <f t="shared" si="1"/>
        <v>50</v>
      </c>
      <c r="E37" s="9" t="s">
        <v>65</v>
      </c>
    </row>
    <row r="38" spans="1:5" ht="16.95" customHeight="1" x14ac:dyDescent="0.3">
      <c r="A38" s="2" t="s">
        <v>66</v>
      </c>
      <c r="B38" s="3">
        <v>150</v>
      </c>
      <c r="C38" s="4">
        <v>1</v>
      </c>
      <c r="D38" s="3">
        <f t="shared" si="1"/>
        <v>150</v>
      </c>
      <c r="E38" s="5" t="s">
        <v>67</v>
      </c>
    </row>
    <row r="39" spans="1:5" ht="19.95" customHeight="1" x14ac:dyDescent="0.3">
      <c r="A39" s="18" t="s">
        <v>68</v>
      </c>
      <c r="B39" s="18"/>
      <c r="C39" s="18"/>
      <c r="D39" s="10">
        <f>SUM(D26:D38)</f>
        <v>629</v>
      </c>
      <c r="E39" s="11"/>
    </row>
    <row r="41" spans="1:5" ht="22.05" customHeight="1" x14ac:dyDescent="0.3">
      <c r="A41" s="17" t="s">
        <v>69</v>
      </c>
      <c r="B41" s="17"/>
      <c r="C41" s="17"/>
      <c r="D41" s="17"/>
      <c r="E41" s="17"/>
    </row>
    <row r="42" spans="1:5" ht="16.95" customHeight="1" x14ac:dyDescent="0.3">
      <c r="A42" s="2" t="s">
        <v>70</v>
      </c>
      <c r="B42" s="3">
        <v>600</v>
      </c>
      <c r="C42" s="4">
        <v>1</v>
      </c>
      <c r="D42" s="3">
        <f t="shared" ref="D42:D62" si="2">B42*C42</f>
        <v>600</v>
      </c>
      <c r="E42" s="5" t="s">
        <v>71</v>
      </c>
    </row>
    <row r="43" spans="1:5" ht="16.95" customHeight="1" x14ac:dyDescent="0.3">
      <c r="A43" s="6" t="s">
        <v>72</v>
      </c>
      <c r="B43" s="7">
        <v>4500</v>
      </c>
      <c r="C43" s="8">
        <v>1</v>
      </c>
      <c r="D43" s="7">
        <f t="shared" si="2"/>
        <v>4500</v>
      </c>
      <c r="E43" s="9" t="s">
        <v>73</v>
      </c>
    </row>
    <row r="44" spans="1:5" ht="16.95" customHeight="1" x14ac:dyDescent="0.3">
      <c r="A44" s="2" t="s">
        <v>74</v>
      </c>
      <c r="B44" s="3">
        <v>250</v>
      </c>
      <c r="C44" s="4">
        <v>2</v>
      </c>
      <c r="D44" s="3">
        <f t="shared" si="2"/>
        <v>500</v>
      </c>
      <c r="E44" s="5" t="s">
        <v>75</v>
      </c>
    </row>
    <row r="45" spans="1:5" ht="16.95" customHeight="1" x14ac:dyDescent="0.3">
      <c r="A45" s="6" t="s">
        <v>76</v>
      </c>
      <c r="B45" s="7">
        <v>400</v>
      </c>
      <c r="C45" s="8">
        <v>2</v>
      </c>
      <c r="D45" s="7">
        <f t="shared" si="2"/>
        <v>800</v>
      </c>
      <c r="E45" s="9" t="s">
        <v>77</v>
      </c>
    </row>
    <row r="46" spans="1:5" ht="16.95" customHeight="1" x14ac:dyDescent="0.3">
      <c r="A46" s="2" t="s">
        <v>78</v>
      </c>
      <c r="B46" s="3">
        <v>200</v>
      </c>
      <c r="C46" s="4">
        <v>1</v>
      </c>
      <c r="D46" s="3">
        <f t="shared" si="2"/>
        <v>200</v>
      </c>
      <c r="E46" s="5" t="s">
        <v>79</v>
      </c>
    </row>
    <row r="47" spans="1:5" ht="16.95" customHeight="1" x14ac:dyDescent="0.3">
      <c r="A47" s="6" t="s">
        <v>80</v>
      </c>
      <c r="B47" s="7">
        <v>300</v>
      </c>
      <c r="C47" s="8">
        <v>1</v>
      </c>
      <c r="D47" s="7">
        <f t="shared" si="2"/>
        <v>300</v>
      </c>
      <c r="E47" s="9" t="s">
        <v>81</v>
      </c>
    </row>
    <row r="48" spans="1:5" ht="16.95" customHeight="1" x14ac:dyDescent="0.3">
      <c r="A48" s="2" t="s">
        <v>82</v>
      </c>
      <c r="B48" s="3">
        <v>250</v>
      </c>
      <c r="C48" s="4">
        <v>1</v>
      </c>
      <c r="D48" s="3">
        <f t="shared" si="2"/>
        <v>250</v>
      </c>
      <c r="E48" s="5" t="s">
        <v>83</v>
      </c>
    </row>
    <row r="49" spans="1:5" ht="16.95" customHeight="1" x14ac:dyDescent="0.3">
      <c r="A49" s="6" t="s">
        <v>84</v>
      </c>
      <c r="B49" s="7">
        <v>200</v>
      </c>
      <c r="C49" s="8">
        <v>1</v>
      </c>
      <c r="D49" s="7">
        <f t="shared" si="2"/>
        <v>200</v>
      </c>
      <c r="E49" s="9" t="s">
        <v>85</v>
      </c>
    </row>
    <row r="50" spans="1:5" ht="16.95" customHeight="1" x14ac:dyDescent="0.3">
      <c r="A50" s="2" t="s">
        <v>86</v>
      </c>
      <c r="B50" s="3">
        <v>45</v>
      </c>
      <c r="C50" s="4">
        <v>1</v>
      </c>
      <c r="D50" s="3">
        <f t="shared" si="2"/>
        <v>45</v>
      </c>
      <c r="E50" s="5" t="s">
        <v>87</v>
      </c>
    </row>
    <row r="51" spans="1:5" ht="16.95" customHeight="1" x14ac:dyDescent="0.3">
      <c r="A51" s="6" t="s">
        <v>88</v>
      </c>
      <c r="B51" s="7">
        <v>30</v>
      </c>
      <c r="C51" s="8">
        <v>2</v>
      </c>
      <c r="D51" s="7">
        <f t="shared" si="2"/>
        <v>60</v>
      </c>
      <c r="E51" s="9" t="s">
        <v>89</v>
      </c>
    </row>
    <row r="52" spans="1:5" ht="16.95" customHeight="1" x14ac:dyDescent="0.3">
      <c r="A52" s="2" t="s">
        <v>90</v>
      </c>
      <c r="B52" s="3">
        <v>35</v>
      </c>
      <c r="C52" s="4">
        <v>2</v>
      </c>
      <c r="D52" s="3">
        <f t="shared" si="2"/>
        <v>70</v>
      </c>
      <c r="E52" s="5" t="s">
        <v>91</v>
      </c>
    </row>
    <row r="53" spans="1:5" ht="16.95" customHeight="1" x14ac:dyDescent="0.3">
      <c r="A53" s="6" t="s">
        <v>92</v>
      </c>
      <c r="B53" s="7">
        <v>75</v>
      </c>
      <c r="C53" s="8">
        <v>1</v>
      </c>
      <c r="D53" s="7">
        <f t="shared" si="2"/>
        <v>75</v>
      </c>
      <c r="E53" s="9" t="s">
        <v>93</v>
      </c>
    </row>
    <row r="54" spans="1:5" ht="16.95" customHeight="1" x14ac:dyDescent="0.3">
      <c r="A54" s="2" t="s">
        <v>94</v>
      </c>
      <c r="B54" s="3">
        <v>120</v>
      </c>
      <c r="C54" s="4">
        <v>1</v>
      </c>
      <c r="D54" s="3">
        <f t="shared" si="2"/>
        <v>120</v>
      </c>
      <c r="E54" s="5" t="s">
        <v>95</v>
      </c>
    </row>
    <row r="55" spans="1:5" ht="16.95" customHeight="1" x14ac:dyDescent="0.3">
      <c r="A55" s="6" t="s">
        <v>96</v>
      </c>
      <c r="B55" s="7">
        <v>45</v>
      </c>
      <c r="C55" s="8">
        <v>1</v>
      </c>
      <c r="D55" s="7">
        <f t="shared" si="2"/>
        <v>45</v>
      </c>
      <c r="E55" s="9" t="s">
        <v>97</v>
      </c>
    </row>
    <row r="56" spans="1:5" ht="16.95" customHeight="1" x14ac:dyDescent="0.3">
      <c r="A56" s="2" t="s">
        <v>98</v>
      </c>
      <c r="B56" s="3">
        <v>75</v>
      </c>
      <c r="C56" s="4">
        <v>1</v>
      </c>
      <c r="D56" s="3">
        <f t="shared" si="2"/>
        <v>75</v>
      </c>
      <c r="E56" s="5" t="s">
        <v>99</v>
      </c>
    </row>
    <row r="57" spans="1:5" ht="16.95" customHeight="1" x14ac:dyDescent="0.3">
      <c r="A57" s="6" t="s">
        <v>100</v>
      </c>
      <c r="B57" s="7">
        <v>450</v>
      </c>
      <c r="C57" s="8">
        <v>1</v>
      </c>
      <c r="D57" s="7">
        <f t="shared" si="2"/>
        <v>450</v>
      </c>
      <c r="E57" s="9" t="s">
        <v>101</v>
      </c>
    </row>
    <row r="58" spans="1:5" ht="16.95" customHeight="1" x14ac:dyDescent="0.3">
      <c r="A58" s="2" t="s">
        <v>102</v>
      </c>
      <c r="B58" s="3">
        <v>45</v>
      </c>
      <c r="C58" s="4">
        <v>2</v>
      </c>
      <c r="D58" s="3">
        <f t="shared" si="2"/>
        <v>90</v>
      </c>
      <c r="E58" s="5" t="s">
        <v>103</v>
      </c>
    </row>
    <row r="59" spans="1:5" ht="16.95" customHeight="1" x14ac:dyDescent="0.3">
      <c r="A59" s="6" t="s">
        <v>104</v>
      </c>
      <c r="B59" s="7">
        <v>25</v>
      </c>
      <c r="C59" s="8">
        <v>2</v>
      </c>
      <c r="D59" s="7">
        <f t="shared" si="2"/>
        <v>50</v>
      </c>
      <c r="E59" s="9" t="s">
        <v>105</v>
      </c>
    </row>
    <row r="60" spans="1:5" ht="16.95" customHeight="1" x14ac:dyDescent="0.3">
      <c r="A60" s="2" t="s">
        <v>106</v>
      </c>
      <c r="B60" s="3">
        <v>75</v>
      </c>
      <c r="C60" s="4">
        <v>1</v>
      </c>
      <c r="D60" s="3">
        <f t="shared" si="2"/>
        <v>75</v>
      </c>
      <c r="E60" s="5" t="s">
        <v>107</v>
      </c>
    </row>
    <row r="61" spans="1:5" ht="16.95" customHeight="1" x14ac:dyDescent="0.3">
      <c r="A61" s="6" t="s">
        <v>108</v>
      </c>
      <c r="B61" s="7">
        <v>20</v>
      </c>
      <c r="C61" s="8">
        <v>2</v>
      </c>
      <c r="D61" s="7">
        <f t="shared" si="2"/>
        <v>40</v>
      </c>
      <c r="E61" s="9" t="s">
        <v>109</v>
      </c>
    </row>
    <row r="62" spans="1:5" ht="16.95" customHeight="1" x14ac:dyDescent="0.3">
      <c r="A62" s="2" t="s">
        <v>110</v>
      </c>
      <c r="B62" s="3">
        <v>20</v>
      </c>
      <c r="C62" s="4">
        <v>2</v>
      </c>
      <c r="D62" s="3">
        <f t="shared" si="2"/>
        <v>40</v>
      </c>
      <c r="E62" s="5" t="s">
        <v>111</v>
      </c>
    </row>
    <row r="63" spans="1:5" ht="19.95" customHeight="1" x14ac:dyDescent="0.3">
      <c r="A63" s="18" t="s">
        <v>112</v>
      </c>
      <c r="B63" s="18"/>
      <c r="C63" s="18"/>
      <c r="D63" s="10">
        <f>SUM(D42:D62)</f>
        <v>8585</v>
      </c>
      <c r="E63" s="11"/>
    </row>
    <row r="65" spans="1:5" ht="22.05" customHeight="1" x14ac:dyDescent="0.3">
      <c r="A65" s="17" t="s">
        <v>113</v>
      </c>
      <c r="B65" s="17"/>
      <c r="C65" s="17"/>
      <c r="D65" s="17"/>
      <c r="E65" s="17"/>
    </row>
    <row r="66" spans="1:5" ht="16.95" customHeight="1" x14ac:dyDescent="0.3">
      <c r="A66" s="2" t="s">
        <v>114</v>
      </c>
      <c r="B66" s="3">
        <v>120</v>
      </c>
      <c r="C66" s="4">
        <v>1</v>
      </c>
      <c r="D66" s="3">
        <f t="shared" ref="D66:D83" si="3">B66*C66</f>
        <v>120</v>
      </c>
      <c r="E66" s="5" t="s">
        <v>115</v>
      </c>
    </row>
    <row r="67" spans="1:5" ht="16.95" customHeight="1" x14ac:dyDescent="0.3">
      <c r="A67" s="6" t="s">
        <v>116</v>
      </c>
      <c r="B67" s="7">
        <v>80</v>
      </c>
      <c r="C67" s="8">
        <v>1</v>
      </c>
      <c r="D67" s="7">
        <f t="shared" si="3"/>
        <v>80</v>
      </c>
      <c r="E67" s="9" t="s">
        <v>117</v>
      </c>
    </row>
    <row r="68" spans="1:5" ht="16.95" customHeight="1" x14ac:dyDescent="0.3">
      <c r="A68" s="2" t="s">
        <v>118</v>
      </c>
      <c r="B68" s="3">
        <v>50</v>
      </c>
      <c r="C68" s="4">
        <v>1</v>
      </c>
      <c r="D68" s="3">
        <f t="shared" si="3"/>
        <v>50</v>
      </c>
      <c r="E68" s="5" t="s">
        <v>119</v>
      </c>
    </row>
    <row r="69" spans="1:5" ht="16.95" customHeight="1" x14ac:dyDescent="0.3">
      <c r="A69" s="6" t="s">
        <v>120</v>
      </c>
      <c r="B69" s="7">
        <v>150</v>
      </c>
      <c r="C69" s="8">
        <v>1</v>
      </c>
      <c r="D69" s="7">
        <f t="shared" si="3"/>
        <v>150</v>
      </c>
      <c r="E69" s="9" t="s">
        <v>121</v>
      </c>
    </row>
    <row r="70" spans="1:5" ht="16.95" customHeight="1" x14ac:dyDescent="0.3">
      <c r="A70" s="2" t="s">
        <v>122</v>
      </c>
      <c r="B70" s="3">
        <v>200</v>
      </c>
      <c r="C70" s="4">
        <v>1</v>
      </c>
      <c r="D70" s="3">
        <f t="shared" si="3"/>
        <v>200</v>
      </c>
      <c r="E70" s="5" t="s">
        <v>123</v>
      </c>
    </row>
    <row r="71" spans="1:5" ht="16.95" customHeight="1" x14ac:dyDescent="0.3">
      <c r="A71" s="6" t="s">
        <v>124</v>
      </c>
      <c r="B71" s="7">
        <v>120</v>
      </c>
      <c r="C71" s="8">
        <v>1</v>
      </c>
      <c r="D71" s="7">
        <f t="shared" si="3"/>
        <v>120</v>
      </c>
      <c r="E71" s="9" t="s">
        <v>125</v>
      </c>
    </row>
    <row r="72" spans="1:5" ht="16.95" customHeight="1" x14ac:dyDescent="0.3">
      <c r="A72" s="2" t="s">
        <v>126</v>
      </c>
      <c r="B72" s="3">
        <v>80</v>
      </c>
      <c r="C72" s="4">
        <v>2</v>
      </c>
      <c r="D72" s="3">
        <f t="shared" si="3"/>
        <v>160</v>
      </c>
      <c r="E72" s="5" t="s">
        <v>127</v>
      </c>
    </row>
    <row r="73" spans="1:5" ht="16.95" customHeight="1" x14ac:dyDescent="0.3">
      <c r="A73" s="6" t="s">
        <v>128</v>
      </c>
      <c r="B73" s="7">
        <v>30</v>
      </c>
      <c r="C73" s="8">
        <v>2</v>
      </c>
      <c r="D73" s="7">
        <f t="shared" si="3"/>
        <v>60</v>
      </c>
      <c r="E73" s="9" t="s">
        <v>129</v>
      </c>
    </row>
    <row r="74" spans="1:5" ht="16.95" customHeight="1" x14ac:dyDescent="0.3">
      <c r="A74" s="2" t="s">
        <v>130</v>
      </c>
      <c r="B74" s="3">
        <v>40</v>
      </c>
      <c r="C74" s="4">
        <v>1</v>
      </c>
      <c r="D74" s="3">
        <f t="shared" si="3"/>
        <v>40</v>
      </c>
      <c r="E74" s="5" t="s">
        <v>131</v>
      </c>
    </row>
    <row r="75" spans="1:5" ht="16.95" customHeight="1" x14ac:dyDescent="0.3">
      <c r="A75" s="6" t="s">
        <v>132</v>
      </c>
      <c r="B75" s="7">
        <v>30</v>
      </c>
      <c r="C75" s="8">
        <v>1</v>
      </c>
      <c r="D75" s="7">
        <f t="shared" si="3"/>
        <v>30</v>
      </c>
      <c r="E75" s="9" t="s">
        <v>133</v>
      </c>
    </row>
    <row r="76" spans="1:5" ht="16.95" customHeight="1" x14ac:dyDescent="0.3">
      <c r="A76" s="2" t="s">
        <v>134</v>
      </c>
      <c r="B76" s="3">
        <v>50</v>
      </c>
      <c r="C76" s="4">
        <v>1</v>
      </c>
      <c r="D76" s="3">
        <f t="shared" si="3"/>
        <v>50</v>
      </c>
      <c r="E76" s="5" t="s">
        <v>135</v>
      </c>
    </row>
    <row r="77" spans="1:5" ht="16.95" customHeight="1" x14ac:dyDescent="0.3">
      <c r="A77" s="6" t="s">
        <v>136</v>
      </c>
      <c r="B77" s="7">
        <v>30</v>
      </c>
      <c r="C77" s="8">
        <v>1</v>
      </c>
      <c r="D77" s="7">
        <f t="shared" si="3"/>
        <v>30</v>
      </c>
      <c r="E77" s="9" t="s">
        <v>137</v>
      </c>
    </row>
    <row r="78" spans="1:5" ht="16.95" customHeight="1" x14ac:dyDescent="0.3">
      <c r="A78" s="2" t="s">
        <v>138</v>
      </c>
      <c r="B78" s="3">
        <v>150</v>
      </c>
      <c r="C78" s="4">
        <v>1</v>
      </c>
      <c r="D78" s="3">
        <f t="shared" si="3"/>
        <v>150</v>
      </c>
      <c r="E78" s="5" t="s">
        <v>139</v>
      </c>
    </row>
    <row r="79" spans="1:5" ht="16.95" customHeight="1" x14ac:dyDescent="0.3">
      <c r="A79" s="6" t="s">
        <v>140</v>
      </c>
      <c r="B79" s="7">
        <v>120</v>
      </c>
      <c r="C79" s="8">
        <v>1</v>
      </c>
      <c r="D79" s="7">
        <f t="shared" si="3"/>
        <v>120</v>
      </c>
      <c r="E79" s="9" t="s">
        <v>141</v>
      </c>
    </row>
    <row r="80" spans="1:5" ht="16.95" customHeight="1" x14ac:dyDescent="0.3">
      <c r="A80" s="2" t="s">
        <v>142</v>
      </c>
      <c r="B80" s="3">
        <v>90</v>
      </c>
      <c r="C80" s="4">
        <v>1</v>
      </c>
      <c r="D80" s="3">
        <f t="shared" si="3"/>
        <v>90</v>
      </c>
      <c r="E80" s="5" t="s">
        <v>143</v>
      </c>
    </row>
    <row r="81" spans="1:5" ht="16.95" customHeight="1" x14ac:dyDescent="0.3">
      <c r="A81" s="6" t="s">
        <v>144</v>
      </c>
      <c r="B81" s="7">
        <v>50</v>
      </c>
      <c r="C81" s="8">
        <v>2</v>
      </c>
      <c r="D81" s="7">
        <f t="shared" si="3"/>
        <v>100</v>
      </c>
      <c r="E81" s="9" t="s">
        <v>145</v>
      </c>
    </row>
    <row r="82" spans="1:5" ht="16.95" customHeight="1" x14ac:dyDescent="0.3">
      <c r="A82" s="2" t="s">
        <v>146</v>
      </c>
      <c r="B82" s="3">
        <v>100</v>
      </c>
      <c r="C82" s="4">
        <v>1</v>
      </c>
      <c r="D82" s="3">
        <f t="shared" si="3"/>
        <v>100</v>
      </c>
      <c r="E82" s="5" t="s">
        <v>147</v>
      </c>
    </row>
    <row r="83" spans="1:5" ht="16.95" customHeight="1" x14ac:dyDescent="0.3">
      <c r="A83" s="6" t="s">
        <v>148</v>
      </c>
      <c r="B83" s="7">
        <v>15</v>
      </c>
      <c r="C83" s="8">
        <v>2</v>
      </c>
      <c r="D83" s="7">
        <f t="shared" si="3"/>
        <v>30</v>
      </c>
      <c r="E83" s="9" t="s">
        <v>149</v>
      </c>
    </row>
    <row r="84" spans="1:5" ht="19.95" customHeight="1" x14ac:dyDescent="0.3">
      <c r="A84" s="18" t="s">
        <v>150</v>
      </c>
      <c r="B84" s="18"/>
      <c r="C84" s="18"/>
      <c r="D84" s="10">
        <f>SUM(D66:D83)</f>
        <v>1680</v>
      </c>
      <c r="E84" s="11"/>
    </row>
    <row r="86" spans="1:5" ht="25.95" customHeight="1" x14ac:dyDescent="0.3">
      <c r="A86" s="19" t="s">
        <v>151</v>
      </c>
      <c r="B86" s="19"/>
      <c r="C86" s="19"/>
      <c r="D86" s="12">
        <f>D23+D39+D63+D84</f>
        <v>11471</v>
      </c>
      <c r="E86" s="13"/>
    </row>
    <row r="88" spans="1:5" ht="18" customHeight="1" x14ac:dyDescent="0.3">
      <c r="A88" s="20" t="s">
        <v>152</v>
      </c>
      <c r="B88" s="20"/>
      <c r="C88" s="20"/>
      <c r="D88" s="20"/>
      <c r="E88" s="20"/>
    </row>
  </sheetData>
  <mergeCells count="13">
    <mergeCell ref="A84:C84"/>
    <mergeCell ref="A86:C86"/>
    <mergeCell ref="A88:E88"/>
    <mergeCell ref="A25:E25"/>
    <mergeCell ref="A39:C39"/>
    <mergeCell ref="A41:E41"/>
    <mergeCell ref="A63:C63"/>
    <mergeCell ref="A65:E65"/>
    <mergeCell ref="A1:E1"/>
    <mergeCell ref="A2:E2"/>
    <mergeCell ref="A3:E3"/>
    <mergeCell ref="A6:E6"/>
    <mergeCell ref="A23:C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192ECDAE-4300-4CA6-A0F9-EC615D7FB116}"/>
</file>

<file path=customXml/itemProps2.xml><?xml version="1.0" encoding="utf-8"?>
<ds:datastoreItem xmlns:ds="http://schemas.openxmlformats.org/officeDocument/2006/customXml" ds:itemID="{550E3302-0702-4D00-91F6-731454AC0B31}"/>
</file>

<file path=customXml/itemProps3.xml><?xml version="1.0" encoding="utf-8"?>
<ds:datastoreItem xmlns:ds="http://schemas.openxmlformats.org/officeDocument/2006/customXml" ds:itemID="{1040061B-EBC7-4BA1-AEB9-160A01600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Magurne</dc:creator>
  <cp:lastModifiedBy>Natalie Magurne</cp:lastModifiedBy>
  <dcterms:created xsi:type="dcterms:W3CDTF">2026-08-24T00:07:01Z</dcterms:created>
  <dcterms:modified xsi:type="dcterms:W3CDTF">2026-08-24T00:09:29Z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