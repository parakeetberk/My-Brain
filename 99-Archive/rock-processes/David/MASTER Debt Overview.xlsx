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Accounting &amp; Finance/Monthly Close/MASTER Files/"/>
    </mc:Choice>
  </mc:AlternateContent>
  <xr:revisionPtr revIDLastSave="5" documentId="14_{D701D25D-CCC6-4BD5-A89E-D82606A354FE}" xr6:coauthVersionLast="47" xr6:coauthVersionMax="47" xr10:uidLastSave="{252DBB96-FC3F-442B-A0B9-2B3EE7604F45}"/>
  <bookViews>
    <workbookView xWindow="-51705" yWindow="0" windowWidth="26010" windowHeight="20985" xr2:uid="{939F78E0-59FC-4E61-8D0C-68C4097C05CA}"/>
  </bookViews>
  <sheets>
    <sheet name="Debt Overview" sheetId="1" r:id="rId1"/>
    <sheet name="Loan Check" sheetId="4" r:id="rId2"/>
    <sheet name="Support" sheetId="3" r:id="rId3"/>
    <sheet name="RM UDF" sheetId="2" r:id="rId4"/>
  </sheets>
  <externalReferences>
    <externalReference r:id="rId5"/>
  </externalReferences>
  <definedNames>
    <definedName name="ExternalData_1" localSheetId="3" hidden="1">'RM UDF'!$A$2:$FB$199</definedName>
    <definedName name="_xlnm.Print_Area" localSheetId="0">'Debt Overview'!$A$1:$S$77</definedName>
  </definedNames>
  <calcPr calcId="191028"/>
  <pivotCaches>
    <pivotCache cacheId="709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73" i="1"/>
  <c r="I61" i="1"/>
  <c r="I60" i="1"/>
  <c r="I59" i="1"/>
  <c r="I58" i="1"/>
  <c r="I57" i="1"/>
  <c r="I56" i="1"/>
  <c r="I55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E61" i="1"/>
  <c r="E60" i="1"/>
  <c r="E59" i="1"/>
  <c r="E58" i="1"/>
  <c r="E57" i="1"/>
  <c r="E56" i="1"/>
  <c r="E55" i="1"/>
  <c r="E13" i="1" l="1"/>
  <c r="E12" i="1"/>
  <c r="E11" i="1"/>
  <c r="E10" i="1"/>
  <c r="E9" i="1"/>
  <c r="E8" i="1"/>
  <c r="E7" i="1"/>
  <c r="K5" i="1" l="1"/>
  <c r="K4" i="1"/>
  <c r="E1" i="2" l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D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0C39C-6A26-4D03-845C-9E279CC53DDF}" keepAlive="1" name="Query - vwr dimProperties" description="Connection to the 'vwr dimProperties' query in the workbook." type="5" refreshedVersion="8" background="1" saveData="1">
    <dbPr connection="Provider=Microsoft.Mashup.OleDb.1;Data Source=$Workbook$;Location=&quot;vwr dimProperties&quot;;Extended Properties=&quot;&quot;" command="SELECT * FROM [vwr dimProperties]"/>
  </connection>
</connections>
</file>

<file path=xl/sharedStrings.xml><?xml version="1.0" encoding="utf-8"?>
<sst xmlns="http://schemas.openxmlformats.org/spreadsheetml/2006/main" count="8845" uniqueCount="2732">
  <si>
    <t>UDF Fields Equivalent &gt;&gt;</t>
  </si>
  <si>
    <t>Debt Amount at Closing</t>
  </si>
  <si>
    <t>Debt - IO Term</t>
  </si>
  <si>
    <t>Short</t>
  </si>
  <si>
    <t>Lender</t>
  </si>
  <si>
    <t>Debt Admin</t>
  </si>
  <si>
    <t>Community</t>
  </si>
  <si>
    <t>Initial Loan Amount</t>
  </si>
  <si>
    <t>Fixed/Floating Rate</t>
  </si>
  <si>
    <t>Spread / Fixed Rate</t>
  </si>
  <si>
    <t>Benchmark</t>
  </si>
  <si>
    <t>Term (Years)</t>
  </si>
  <si>
    <t>Orig Date</t>
  </si>
  <si>
    <t>Maturity Date</t>
  </si>
  <si>
    <t>Extension Option</t>
  </si>
  <si>
    <t>Interest Only (Y/N)</t>
  </si>
  <si>
    <t>Interest Only Period</t>
  </si>
  <si>
    <t>Interest Rate Cap (Y/N/NA)</t>
  </si>
  <si>
    <t>Strike on Cap</t>
  </si>
  <si>
    <t>Prepay</t>
  </si>
  <si>
    <t>DSCR Minimum</t>
  </si>
  <si>
    <t>LLMHC</t>
  </si>
  <si>
    <t>Capital One - Lamberton</t>
  </si>
  <si>
    <t>Capital One</t>
  </si>
  <si>
    <t>Lamberton Lake</t>
  </si>
  <si>
    <t>Fixed</t>
  </si>
  <si>
    <t>N/A</t>
  </si>
  <si>
    <t>MAY</t>
  </si>
  <si>
    <t>Capital One - Mayflower</t>
  </si>
  <si>
    <t>Mayflower</t>
  </si>
  <si>
    <t>Y</t>
  </si>
  <si>
    <t>60 Months</t>
  </si>
  <si>
    <t>1.00x</t>
  </si>
  <si>
    <t>Post (Mezz Debt)</t>
  </si>
  <si>
    <t>Post</t>
  </si>
  <si>
    <t>AMER</t>
  </si>
  <si>
    <t>UBS</t>
  </si>
  <si>
    <t>Trimont</t>
  </si>
  <si>
    <t>American</t>
  </si>
  <si>
    <t>Full Term I/O</t>
  </si>
  <si>
    <t>1.20x</t>
  </si>
  <si>
    <t>MON</t>
  </si>
  <si>
    <t>Monson</t>
  </si>
  <si>
    <t>WPMA</t>
  </si>
  <si>
    <t>Whispering Pines Mass</t>
  </si>
  <si>
    <t>EG</t>
  </si>
  <si>
    <t>Everglades</t>
  </si>
  <si>
    <t>RP</t>
  </si>
  <si>
    <t>Royal Palm</t>
  </si>
  <si>
    <t>HEND</t>
  </si>
  <si>
    <t>Hendersons</t>
  </si>
  <si>
    <t>NALLS</t>
  </si>
  <si>
    <t>Nalls</t>
  </si>
  <si>
    <t>APPLE</t>
  </si>
  <si>
    <t>Walton Street (JREF I)</t>
  </si>
  <si>
    <t>Key Bank</t>
  </si>
  <si>
    <t>Applegate</t>
  </si>
  <si>
    <t>Floating</t>
  </si>
  <si>
    <t>1-MonthTerm SOFR</t>
  </si>
  <si>
    <t>2 1-Year Extensions</t>
  </si>
  <si>
    <t>6/1/25 - 5/31/26: 1.00x
6/1/26 - Initial Maturity: 1.05x
1st, 2nd Extension - 1.10x</t>
  </si>
  <si>
    <t>BELL</t>
  </si>
  <si>
    <t>Belle Haven</t>
  </si>
  <si>
    <t>CARL</t>
  </si>
  <si>
    <t>Carley's</t>
  </si>
  <si>
    <t>CENT</t>
  </si>
  <si>
    <t>Central</t>
  </si>
  <si>
    <t>CONG</t>
  </si>
  <si>
    <t>Congress</t>
  </si>
  <si>
    <t>HARB</t>
  </si>
  <si>
    <t>Harbour</t>
  </si>
  <si>
    <t>JBJ</t>
  </si>
  <si>
    <t>J Bar J</t>
  </si>
  <si>
    <t>LS</t>
  </si>
  <si>
    <t>Lake Saunders</t>
  </si>
  <si>
    <t>LUCK</t>
  </si>
  <si>
    <t>Lucky Clover</t>
  </si>
  <si>
    <t>PPH</t>
  </si>
  <si>
    <t>Palm Haven</t>
  </si>
  <si>
    <t>PL</t>
  </si>
  <si>
    <t>Paradise Lakes</t>
  </si>
  <si>
    <t>RIV</t>
  </si>
  <si>
    <t>Riviera</t>
  </si>
  <si>
    <t>RO</t>
  </si>
  <si>
    <t>River Oaks</t>
  </si>
  <si>
    <t>SS</t>
  </si>
  <si>
    <t>SeaShells</t>
  </si>
  <si>
    <t>SO</t>
  </si>
  <si>
    <t>Shady Oaks</t>
  </si>
  <si>
    <t>SOUTH</t>
  </si>
  <si>
    <t>Southgate</t>
  </si>
  <si>
    <t>TRADE</t>
  </si>
  <si>
    <t>Tradewinds</t>
  </si>
  <si>
    <t>SSS</t>
  </si>
  <si>
    <t>Triple S Marina</t>
  </si>
  <si>
    <t>VO</t>
  </si>
  <si>
    <t>Vantage Oaks</t>
  </si>
  <si>
    <t>WPMH</t>
  </si>
  <si>
    <t>Whispering Pines MH &amp; RV</t>
  </si>
  <si>
    <t>SA</t>
  </si>
  <si>
    <t>Walton Street (JREF II)</t>
  </si>
  <si>
    <t>Shady Acres</t>
  </si>
  <si>
    <t>DO</t>
  </si>
  <si>
    <t>Druid Oaks</t>
  </si>
  <si>
    <t>ARD</t>
  </si>
  <si>
    <t>Auburn Ridge</t>
  </si>
  <si>
    <t>PARK</t>
  </si>
  <si>
    <t>Parkwood</t>
  </si>
  <si>
    <t>Paradise Palms</t>
  </si>
  <si>
    <t>OAK</t>
  </si>
  <si>
    <t>Oakside</t>
  </si>
  <si>
    <t>GPT</t>
  </si>
  <si>
    <t>Greene Pointe</t>
  </si>
  <si>
    <t>RED</t>
  </si>
  <si>
    <t>Redlands</t>
  </si>
  <si>
    <t>SUR</t>
  </si>
  <si>
    <t>Su-Rene</t>
  </si>
  <si>
    <t>BRUN</t>
  </si>
  <si>
    <t>Brunswick</t>
  </si>
  <si>
    <t>HP</t>
  </si>
  <si>
    <t>Hershey Park</t>
  </si>
  <si>
    <t>GO</t>
  </si>
  <si>
    <t>Great Oak</t>
  </si>
  <si>
    <t xml:space="preserve">SH </t>
  </si>
  <si>
    <t>Silver Hill</t>
  </si>
  <si>
    <t>NGMH</t>
  </si>
  <si>
    <t>Nortgate MH</t>
  </si>
  <si>
    <t>NGRV</t>
  </si>
  <si>
    <t>Northgate RV</t>
  </si>
  <si>
    <t>SP</t>
  </si>
  <si>
    <t>Shell Pointe</t>
  </si>
  <si>
    <t>TC</t>
  </si>
  <si>
    <t>Terrace Crossings</t>
  </si>
  <si>
    <t>TO</t>
  </si>
  <si>
    <t>The Oaks</t>
  </si>
  <si>
    <t>RW</t>
  </si>
  <si>
    <t>Riverwalk</t>
  </si>
  <si>
    <t>WIND</t>
  </si>
  <si>
    <t>Windward Knoll</t>
  </si>
  <si>
    <t>FOX</t>
  </si>
  <si>
    <t>Fox Creek</t>
  </si>
  <si>
    <t>BOVI</t>
  </si>
  <si>
    <t>Key Bank - Fund II</t>
  </si>
  <si>
    <t>US Bank - Defeasance Admin</t>
  </si>
  <si>
    <t>Bay Oaks I</t>
  </si>
  <si>
    <t>N</t>
  </si>
  <si>
    <t>1.15x</t>
  </si>
  <si>
    <t>BOVII</t>
  </si>
  <si>
    <t>Bay Oaks II</t>
  </si>
  <si>
    <t>GULF</t>
  </si>
  <si>
    <t>Gulf Breeze</t>
  </si>
  <si>
    <t>LW</t>
  </si>
  <si>
    <t>Lake Wales</t>
  </si>
  <si>
    <t>TCMHC</t>
  </si>
  <si>
    <t>Town &amp; Country</t>
  </si>
  <si>
    <t>WW</t>
  </si>
  <si>
    <t>Westwood</t>
  </si>
  <si>
    <t>WOLF</t>
  </si>
  <si>
    <t>Wolf Bay</t>
  </si>
  <si>
    <t>POBOVI</t>
  </si>
  <si>
    <t>Ascent - Parakeet Origins</t>
  </si>
  <si>
    <t>Ascent</t>
  </si>
  <si>
    <t>2 3-Month Extensions</t>
  </si>
  <si>
    <t>POBOVII</t>
  </si>
  <si>
    <t>POGULF</t>
  </si>
  <si>
    <t>POLW</t>
  </si>
  <si>
    <t>POTCMHC</t>
  </si>
  <si>
    <t>POWW</t>
  </si>
  <si>
    <t>POWOLF</t>
  </si>
  <si>
    <t>POPSE</t>
  </si>
  <si>
    <t>Palm Spring Estates</t>
  </si>
  <si>
    <t>POOBO</t>
  </si>
  <si>
    <t>Ormond Beach Oasis</t>
  </si>
  <si>
    <t>POOCEAN</t>
  </si>
  <si>
    <t>Oceanaire</t>
  </si>
  <si>
    <t>SILVER</t>
  </si>
  <si>
    <t>Seller Financed - Lisa Demar</t>
  </si>
  <si>
    <t>Seller</t>
  </si>
  <si>
    <t>Silver Breeze</t>
  </si>
  <si>
    <t>18 months</t>
  </si>
  <si>
    <t>GKRV</t>
  </si>
  <si>
    <t>First State Bank</t>
  </si>
  <si>
    <t>First Stae Bank</t>
  </si>
  <si>
    <t>Geiger</t>
  </si>
  <si>
    <t>Term SOFR</t>
  </si>
  <si>
    <t>13 Months</t>
  </si>
  <si>
    <t>1/23 - 1/24: 3% Penalty
1/24 - 1/25: 2% Penalty
1/25 - 1/26: 1% Penalty</t>
  </si>
  <si>
    <t>1.35x</t>
  </si>
  <si>
    <t>MWMHP</t>
  </si>
  <si>
    <t>Seller Financed</t>
  </si>
  <si>
    <t>Meadow Woods</t>
  </si>
  <si>
    <t>HSMHC</t>
  </si>
  <si>
    <t>Seller Financed - Parakeet</t>
  </si>
  <si>
    <t>Parakeet</t>
  </si>
  <si>
    <t>Hunter Springs MHP</t>
  </si>
  <si>
    <t xml:space="preserve">CA  </t>
  </si>
  <si>
    <t>Valley National</t>
  </si>
  <si>
    <t>Crystal Acres</t>
  </si>
  <si>
    <t>ROYAL</t>
  </si>
  <si>
    <t>Evermore</t>
  </si>
  <si>
    <t>Royal Oaks</t>
  </si>
  <si>
    <t>Row Labels</t>
  </si>
  <si>
    <t>Sum of Initial Loan Amount</t>
  </si>
  <si>
    <t>Keybank - WSRED</t>
  </si>
  <si>
    <t>Grand Total</t>
  </si>
  <si>
    <t>Keybank - Fund II</t>
  </si>
  <si>
    <t>Property ID</t>
  </si>
  <si>
    <t>Property Short Name</t>
  </si>
  <si>
    <t>Name</t>
  </si>
  <si>
    <t>BillingName1</t>
  </si>
  <si>
    <t>IsActive</t>
  </si>
  <si>
    <t>Address</t>
  </si>
  <si>
    <t>Street</t>
  </si>
  <si>
    <t>City</t>
  </si>
  <si>
    <t>PostalCode</t>
  </si>
  <si>
    <t>PropertyID</t>
  </si>
  <si>
    <t>1st Half Taxes Due</t>
  </si>
  <si>
    <t>2nd Half Taxes Due</t>
  </si>
  <si>
    <t>Acres</t>
  </si>
  <si>
    <t>Age Category</t>
  </si>
  <si>
    <t>App Fee</t>
  </si>
  <si>
    <t>Appraisal Date</t>
  </si>
  <si>
    <t>APT Rent at Purchase</t>
  </si>
  <si>
    <t>Asset Type</t>
  </si>
  <si>
    <t>Boat Slip Rent at Purchase</t>
  </si>
  <si>
    <t>Broker Fee Buyer</t>
  </si>
  <si>
    <t>Broker Fee Paid By</t>
  </si>
  <si>
    <t>Broker Fee Seller</t>
  </si>
  <si>
    <t>Broker Fee</t>
  </si>
  <si>
    <t>Cap Rate at Purchase</t>
  </si>
  <si>
    <t>Commercial Rent at Purchase</t>
  </si>
  <si>
    <t>Community License Expiration Date</t>
  </si>
  <si>
    <t>County</t>
  </si>
  <si>
    <t>Court Filing Day</t>
  </si>
  <si>
    <t>Date Received</t>
  </si>
  <si>
    <t>Deal Type</t>
  </si>
  <si>
    <t>Debt - IO</t>
  </si>
  <si>
    <t>Debt Amortization</t>
  </si>
  <si>
    <t>Debt Lender</t>
  </si>
  <si>
    <t>Debt Rate</t>
  </si>
  <si>
    <t>Debt Term</t>
  </si>
  <si>
    <t>Earnest Money Deposit</t>
  </si>
  <si>
    <t>Equity at Closing</t>
  </si>
  <si>
    <t>Eviction Day</t>
  </si>
  <si>
    <t>Excess Cash</t>
  </si>
  <si>
    <t>Flood Zone</t>
  </si>
  <si>
    <t>Force Mow</t>
  </si>
  <si>
    <t>Goodwill Allocation</t>
  </si>
  <si>
    <t>GP Excess</t>
  </si>
  <si>
    <t>Holding Company</t>
  </si>
  <si>
    <t>Initial Cap Ex Budget</t>
  </si>
  <si>
    <t>Insurance Amount</t>
  </si>
  <si>
    <t>Insurance Company</t>
  </si>
  <si>
    <t>Insurance Renewal Date</t>
  </si>
  <si>
    <t>Jadian Equity Contribution</t>
  </si>
  <si>
    <t>Large Item Removal</t>
  </si>
  <si>
    <t>Late Fee</t>
  </si>
  <si>
    <t>Liability Policy Number</t>
  </si>
  <si>
    <t>Loan Costs</t>
  </si>
  <si>
    <t>Location</t>
  </si>
  <si>
    <t>Lot Rent at Purchase (MH)</t>
  </si>
  <si>
    <t>Lot Rent at Purchase (RV)</t>
  </si>
  <si>
    <t>LP Excess</t>
  </si>
  <si>
    <t>LTV at Purchase</t>
  </si>
  <si>
    <t>Market Value As Is</t>
  </si>
  <si>
    <t>MH Lot Rent at Purchase</t>
  </si>
  <si>
    <t>MSA</t>
  </si>
  <si>
    <t>NOI at Purchase</t>
  </si>
  <si>
    <t>Notice Day</t>
  </si>
  <si>
    <t>Occupied APT at Purchase</t>
  </si>
  <si>
    <t>Occupied Boat Slip at Purchase</t>
  </si>
  <si>
    <t>Occupied Commercial at Purchase</t>
  </si>
  <si>
    <t>Occupied Lots at Purchase (MH)</t>
  </si>
  <si>
    <t>Occupied Lots at Purchase (RV)</t>
  </si>
  <si>
    <t>Occupied Lots at Purchase</t>
  </si>
  <si>
    <t>Occupied POH at Purchase</t>
  </si>
  <si>
    <t>Occupied Rv Lots at Purchase - Permanent/Monthly</t>
  </si>
  <si>
    <t>Occupied Rv Lots at Purchase - Transient</t>
  </si>
  <si>
    <t>Occupied SFH at Purchase</t>
  </si>
  <si>
    <t>Occupied Storage at Purchase</t>
  </si>
  <si>
    <t>Opty. Zone</t>
  </si>
  <si>
    <t>Parcel Number</t>
  </si>
  <si>
    <t>Personal Property Allocation</t>
  </si>
  <si>
    <t>Pet Fee</t>
  </si>
  <si>
    <t>PFG Equity Contribution</t>
  </si>
  <si>
    <t>POH Rent at Purchase</t>
  </si>
  <si>
    <t>Postal Code</t>
  </si>
  <si>
    <t>Preferred Return</t>
  </si>
  <si>
    <t>Prepaid Expenses</t>
  </si>
  <si>
    <t>Primary Property (Use for Occupancy Calc)</t>
  </si>
  <si>
    <t>Property Mgmt Fee</t>
  </si>
  <si>
    <t>Property Name</t>
  </si>
  <si>
    <t>Property Policy Number</t>
  </si>
  <si>
    <t>Property Policy Renewal Date</t>
  </si>
  <si>
    <t>Prospective Mrkt Value Upon Economic Stabalization</t>
  </si>
  <si>
    <t>Purchase Date</t>
  </si>
  <si>
    <t>Purchase DD &amp; Other Costs</t>
  </si>
  <si>
    <t>Purchase Escrow/Title</t>
  </si>
  <si>
    <t>Purchase Legal Fees</t>
  </si>
  <si>
    <t>Purchase Lender Reserves</t>
  </si>
  <si>
    <t>Purchase Net Prorations</t>
  </si>
  <si>
    <t>Purchase Price</t>
  </si>
  <si>
    <t>Real Estate Allocation</t>
  </si>
  <si>
    <t>Real Property</t>
  </si>
  <si>
    <t>Region</t>
  </si>
  <si>
    <t>Regional Manager</t>
  </si>
  <si>
    <t>Rent Collection Day</t>
  </si>
  <si>
    <t>Rent Increase Month</t>
  </si>
  <si>
    <t>Rent Increase Notification Deadline</t>
  </si>
  <si>
    <t>Rent Increase Notification Period</t>
  </si>
  <si>
    <t>Rule Violation</t>
  </si>
  <si>
    <t>Rv Lot Rent at Purchase - Permanent/Monthly</t>
  </si>
  <si>
    <t>Seller Profile</t>
  </si>
  <si>
    <t>SFH Rent at Purchase</t>
  </si>
  <si>
    <t>Source Company</t>
  </si>
  <si>
    <t>Source Email</t>
  </si>
  <si>
    <t>Source Name</t>
  </si>
  <si>
    <t>Source Phone #</t>
  </si>
  <si>
    <t>State</t>
  </si>
  <si>
    <t>Storage Rent at Purchase</t>
  </si>
  <si>
    <t>Storage</t>
  </si>
  <si>
    <t>Street1</t>
  </si>
  <si>
    <t>Total APT</t>
  </si>
  <si>
    <t>Total Boat Slips</t>
  </si>
  <si>
    <t>Total Commercial</t>
  </si>
  <si>
    <t>Total Cost</t>
  </si>
  <si>
    <t>Total Lots</t>
  </si>
  <si>
    <t>Total MH Lots</t>
  </si>
  <si>
    <t>Total MH Permitted Lots</t>
  </si>
  <si>
    <t>Total POH</t>
  </si>
  <si>
    <t>Total Property Tax Amount</t>
  </si>
  <si>
    <t>Total RV Lots - Permanent/Monthly</t>
  </si>
  <si>
    <t>Total RV Lots - Transient</t>
  </si>
  <si>
    <t>Total RV Lots</t>
  </si>
  <si>
    <t>Total RV Permitted Lots</t>
  </si>
  <si>
    <t>Total SFH</t>
  </si>
  <si>
    <t>Total Units</t>
  </si>
  <si>
    <t>Umbrella Policy Number</t>
  </si>
  <si>
    <t>Utilities - Electric (Billing)</t>
  </si>
  <si>
    <t>Utilities - Sewer (Billing)</t>
  </si>
  <si>
    <t>Utilities - Sewer, Public</t>
  </si>
  <si>
    <t>Utilities - Sewer</t>
  </si>
  <si>
    <t>Utilities - Waste Disposal</t>
  </si>
  <si>
    <t>Utilities - Water (Billing)</t>
  </si>
  <si>
    <t>Utilities - Water, Public</t>
  </si>
  <si>
    <t>Utilities - Water</t>
  </si>
  <si>
    <t>Vacant APT at Purchase</t>
  </si>
  <si>
    <t>Vacant Boat Slip at Purchase</t>
  </si>
  <si>
    <t>Vacant Commercial at Purchase</t>
  </si>
  <si>
    <t>Vacant MH at Purchase</t>
  </si>
  <si>
    <t>Vacant POH at Purchase - Lease Ready</t>
  </si>
  <si>
    <t>Vacant POH at Purchase - Need Rehab</t>
  </si>
  <si>
    <t>Vacant RV at Purchase</t>
  </si>
  <si>
    <t>Vacant SFH at Purchase</t>
  </si>
  <si>
    <t>Vacant Storage at Purchase</t>
  </si>
  <si>
    <t>Vehicle</t>
  </si>
  <si>
    <t>Violation Fee (1st Notice)</t>
  </si>
  <si>
    <t>Violation Fee (2nd Notice)</t>
  </si>
  <si>
    <t>Violation Fee (3rd Notice)</t>
  </si>
  <si>
    <t>Watch Community</t>
  </si>
  <si>
    <t>Website</t>
  </si>
  <si>
    <t>Geiger Key Resort Propco</t>
  </si>
  <si>
    <t/>
  </si>
  <si>
    <t>5 Geiger Rd  Key West, FL 33040</t>
  </si>
  <si>
    <t>5 Geiger Rd</t>
  </si>
  <si>
    <t>Key West</t>
  </si>
  <si>
    <t>33040</t>
  </si>
  <si>
    <t>Mar</t>
  </si>
  <si>
    <t>1.86</t>
  </si>
  <si>
    <t>All-Ages</t>
  </si>
  <si>
    <t>SPV</t>
  </si>
  <si>
    <t>400</t>
  </si>
  <si>
    <t>9,214.4</t>
  </si>
  <si>
    <t>Split</t>
  </si>
  <si>
    <t>109,099.0</t>
  </si>
  <si>
    <t>642000</t>
  </si>
  <si>
    <t>11.3%</t>
  </si>
  <si>
    <t>23676</t>
  </si>
  <si>
    <t>Sept</t>
  </si>
  <si>
    <t>Geiger Key</t>
  </si>
  <si>
    <t>Monroe</t>
  </si>
  <si>
    <t>11/20/2021</t>
  </si>
  <si>
    <t>Marina + RV</t>
  </si>
  <si>
    <t>0.0</t>
  </si>
  <si>
    <t>184,288.9</t>
  </si>
  <si>
    <t>2,744,053.5</t>
  </si>
  <si>
    <t>510045</t>
  </si>
  <si>
    <t>Partial (AE)</t>
  </si>
  <si>
    <t>0%</t>
  </si>
  <si>
    <t>Parakeet MHC I</t>
  </si>
  <si>
    <t>747500</t>
  </si>
  <si>
    <t>41871.00</t>
  </si>
  <si>
    <t>Hartford, Citizens</t>
  </si>
  <si>
    <t>2023/9/14</t>
  </si>
  <si>
    <t>Key West, FL</t>
  </si>
  <si>
    <t>0</t>
  </si>
  <si>
    <t>2971.78</t>
  </si>
  <si>
    <t>Non-Metropolitan</t>
  </si>
  <si>
    <t>1673255</t>
  </si>
  <si>
    <t>3</t>
  </si>
  <si>
    <t>17</t>
  </si>
  <si>
    <t>1</t>
  </si>
  <si>
    <t>36</t>
  </si>
  <si>
    <t>13</t>
  </si>
  <si>
    <t>No</t>
  </si>
  <si>
    <t>1156213</t>
  </si>
  <si>
    <t>10</t>
  </si>
  <si>
    <t>24,792.6</t>
  </si>
  <si>
    <t>0.05</t>
  </si>
  <si>
    <t>Geiger Key Marina &amp; RV Park</t>
  </si>
  <si>
    <t>2022/8/31</t>
  </si>
  <si>
    <t>15,693.8</t>
  </si>
  <si>
    <t>4,383.7</t>
  </si>
  <si>
    <t>4,994.2</t>
  </si>
  <si>
    <t>(230,070.3)</t>
  </si>
  <si>
    <t>2,727,475.9</t>
  </si>
  <si>
    <t>100%</t>
  </si>
  <si>
    <t>South Florida</t>
  </si>
  <si>
    <t>Jan</t>
  </si>
  <si>
    <t>90</t>
  </si>
  <si>
    <t>2142</t>
  </si>
  <si>
    <t>Mom &amp; Pop</t>
  </si>
  <si>
    <t>Key International Sales</t>
  </si>
  <si>
    <t>larraz.annette@gmail.com</t>
  </si>
  <si>
    <t>Annette Larraz</t>
  </si>
  <si>
    <t>7862817593</t>
  </si>
  <si>
    <t>FL</t>
  </si>
  <si>
    <t>2,761,762.0</t>
  </si>
  <si>
    <t>41</t>
  </si>
  <si>
    <t>In Rent</t>
  </si>
  <si>
    <t>Yes</t>
  </si>
  <si>
    <t>Public</t>
  </si>
  <si>
    <t>JREFI</t>
  </si>
  <si>
    <t>http://www.geigerkeymarina.com/</t>
  </si>
  <si>
    <t>GVHOME</t>
  </si>
  <si>
    <t>zGreenspot Village Homes</t>
  </si>
  <si>
    <t>Greenspot Village</t>
  </si>
  <si>
    <t>2537 N Las Vegas Blvd #76  North Las Vegas, NV 89030</t>
  </si>
  <si>
    <t>2537 N Las Vegas Blvd #76</t>
  </si>
  <si>
    <t>North Las Vegas</t>
  </si>
  <si>
    <t>89030</t>
  </si>
  <si>
    <t>40</t>
  </si>
  <si>
    <t>Home Entity</t>
  </si>
  <si>
    <t>Greenspot</t>
  </si>
  <si>
    <t>Fund II</t>
  </si>
  <si>
    <t>2055.00</t>
  </si>
  <si>
    <t>American Modern Home - Policy Number 077CD77200000</t>
  </si>
  <si>
    <t>2019/4/13</t>
  </si>
  <si>
    <t>.04</t>
  </si>
  <si>
    <t>2018/4/13</t>
  </si>
  <si>
    <t>GKFC</t>
  </si>
  <si>
    <t>Geiger Key Fish Camp Opco</t>
  </si>
  <si>
    <t>40,785.6</t>
  </si>
  <si>
    <t>482,901.0</t>
  </si>
  <si>
    <t>815,711.1</t>
  </si>
  <si>
    <t>12,145,901.1</t>
  </si>
  <si>
    <t>70%</t>
  </si>
  <si>
    <t>109,738.4</t>
  </si>
  <si>
    <t>69,464.8</t>
  </si>
  <si>
    <t>19,403.3</t>
  </si>
  <si>
    <t>22,105.8</t>
  </si>
  <si>
    <t>(66,436.7)</t>
  </si>
  <si>
    <t>12,072,524.1</t>
  </si>
  <si>
    <t>30%</t>
  </si>
  <si>
    <t>12,224,283.6</t>
  </si>
  <si>
    <t>VI</t>
  </si>
  <si>
    <t>Virtual Insanity Arcade</t>
  </si>
  <si>
    <t>7101 Democracy Blvd  Bethesda, MD 20817</t>
  </si>
  <si>
    <t>7101 Democracy Blvd</t>
  </si>
  <si>
    <t>Bethesda</t>
  </si>
  <si>
    <t>20817</t>
  </si>
  <si>
    <t>Single Asset</t>
  </si>
  <si>
    <t>2018/1/1</t>
  </si>
  <si>
    <t>8</t>
  </si>
  <si>
    <t>SAR</t>
  </si>
  <si>
    <t>Seven Acres RV Resort</t>
  </si>
  <si>
    <t>16731 US Highway 301  Dade City, FL 33523</t>
  </si>
  <si>
    <t>16731 US Highway 301</t>
  </si>
  <si>
    <t>Dade City</t>
  </si>
  <si>
    <t>33523</t>
  </si>
  <si>
    <t>Pipeline</t>
  </si>
  <si>
    <t>Florida East Coast</t>
  </si>
  <si>
    <t>GBHB</t>
  </si>
  <si>
    <t>Grove Banyan Holdings - B</t>
  </si>
  <si>
    <t>Hold Co</t>
  </si>
  <si>
    <t>THC</t>
  </si>
  <si>
    <t>Tarheel Hold Co</t>
  </si>
  <si>
    <t>A2ZWBP</t>
  </si>
  <si>
    <t>A2Z Wolf Bay Partners</t>
  </si>
  <si>
    <t>225</t>
  </si>
  <si>
    <t>2019/2/26</t>
  </si>
  <si>
    <t>45</t>
  </si>
  <si>
    <t>Direct</t>
  </si>
  <si>
    <t>A2ZRE</t>
  </si>
  <si>
    <t>A2Z RE Holdings</t>
  </si>
  <si>
    <t>2019/8/14</t>
  </si>
  <si>
    <t>STP</t>
  </si>
  <si>
    <t>Shirley's Trailer Park</t>
  </si>
  <si>
    <t>Druid Oaks MHC</t>
  </si>
  <si>
    <t>4240 US Hwy 17N  Brunswick, GA 31525</t>
  </si>
  <si>
    <t>4240 US Hwy 17N</t>
  </si>
  <si>
    <t>31525</t>
  </si>
  <si>
    <t>20</t>
  </si>
  <si>
    <t>Fund</t>
  </si>
  <si>
    <t>78000</t>
  </si>
  <si>
    <t>Buyer</t>
  </si>
  <si>
    <t>0.07</t>
  </si>
  <si>
    <t>Glynn</t>
  </si>
  <si>
    <t>MH</t>
  </si>
  <si>
    <t>Parakeet MHC II</t>
  </si>
  <si>
    <t>Brunswick, GA</t>
  </si>
  <si>
    <t>383</t>
  </si>
  <si>
    <t>491</t>
  </si>
  <si>
    <t>Brunswick Metro Area</t>
  </si>
  <si>
    <t>301537</t>
  </si>
  <si>
    <t>3900000</t>
  </si>
  <si>
    <t>South East</t>
  </si>
  <si>
    <t>NM</t>
  </si>
  <si>
    <t>GA</t>
  </si>
  <si>
    <t>127</t>
  </si>
  <si>
    <t>Septic</t>
  </si>
  <si>
    <t>Flat fee</t>
  </si>
  <si>
    <t>Sub Metered</t>
  </si>
  <si>
    <t>Well</t>
  </si>
  <si>
    <t>JREFII</t>
  </si>
  <si>
    <t>Shady Oaks MHP</t>
  </si>
  <si>
    <t>Shady Oaks MHC</t>
  </si>
  <si>
    <t>14721 NE 6 Avenue  Miami, FL 33161</t>
  </si>
  <si>
    <t>14721 NE 6 Avenue</t>
  </si>
  <si>
    <t>Miami</t>
  </si>
  <si>
    <t>33161</t>
  </si>
  <si>
    <t>Nov</t>
  </si>
  <si>
    <t>2.00</t>
  </si>
  <si>
    <t>50</t>
  </si>
  <si>
    <t>03/15/2022</t>
  </si>
  <si>
    <t>90,000.0</t>
  </si>
  <si>
    <t>90000</t>
  </si>
  <si>
    <t>2.68%</t>
  </si>
  <si>
    <t>Miami-Dade</t>
  </si>
  <si>
    <t>30,000.0</t>
  </si>
  <si>
    <t>3,036,855.3</t>
  </si>
  <si>
    <t>283452</t>
  </si>
  <si>
    <t>75</t>
  </si>
  <si>
    <t>35%</t>
  </si>
  <si>
    <t>298500</t>
  </si>
  <si>
    <t>5694.00</t>
  </si>
  <si>
    <t>Mount Vernon, National Union</t>
  </si>
  <si>
    <t>2024/4/22</t>
  </si>
  <si>
    <t>3650000</t>
  </si>
  <si>
    <t>01-B-GL-P00070881-0</t>
  </si>
  <si>
    <t>Miami, FL</t>
  </si>
  <si>
    <t>575</t>
  </si>
  <si>
    <t>Miami-Fort Lauderdale-Pompano Beach</t>
  </si>
  <si>
    <t>179080</t>
  </si>
  <si>
    <t>6th</t>
  </si>
  <si>
    <t>37</t>
  </si>
  <si>
    <t>30-2219-000-0410</t>
  </si>
  <si>
    <t>60000</t>
  </si>
  <si>
    <t>.08</t>
  </si>
  <si>
    <t>.03</t>
  </si>
  <si>
    <t>2021/9/20</t>
  </si>
  <si>
    <t>23,870.8</t>
  </si>
  <si>
    <t>10,623.0</t>
  </si>
  <si>
    <t>23,090.0</t>
  </si>
  <si>
    <t>91193</t>
  </si>
  <si>
    <t>(20,728.5)</t>
  </si>
  <si>
    <t>3,000,000.0</t>
  </si>
  <si>
    <t>65%</t>
  </si>
  <si>
    <t>WM</t>
  </si>
  <si>
    <t>5th</t>
  </si>
  <si>
    <t>2023/10/3</t>
  </si>
  <si>
    <t>150</t>
  </si>
  <si>
    <t>3,057,583.8</t>
  </si>
  <si>
    <t>MCGX100561-00</t>
  </si>
  <si>
    <t>PMHCI</t>
  </si>
  <si>
    <t>Parakeet MHC I, LLC</t>
  </si>
  <si>
    <t>10221 RIVER ROAD  #59831  POTOMAC, MD 20859</t>
  </si>
  <si>
    <t>10221 RIVER ROAD  #59831</t>
  </si>
  <si>
    <t>POTOMAC</t>
  </si>
  <si>
    <t>20859</t>
  </si>
  <si>
    <t>BEE</t>
  </si>
  <si>
    <t>Bee's RV Resort</t>
  </si>
  <si>
    <t>20260 US-27  Clermont, FL 34715</t>
  </si>
  <si>
    <t>20260 US-27</t>
  </si>
  <si>
    <t>Clermont</t>
  </si>
  <si>
    <t>34715</t>
  </si>
  <si>
    <t>Bees</t>
  </si>
  <si>
    <t>TOWER</t>
  </si>
  <si>
    <t>Tower Manor</t>
  </si>
  <si>
    <t>River Oaks RV Resort</t>
  </si>
  <si>
    <t>201 Stephens Road  Ruskin, FL 33570</t>
  </si>
  <si>
    <t>201 Stephens Road</t>
  </si>
  <si>
    <t>Ruskin</t>
  </si>
  <si>
    <t>33570</t>
  </si>
  <si>
    <t>7.17</t>
  </si>
  <si>
    <t>50+</t>
  </si>
  <si>
    <t>03/30/2022</t>
  </si>
  <si>
    <t>109,500.0</t>
  </si>
  <si>
    <t>109500</t>
  </si>
  <si>
    <t>5.2%</t>
  </si>
  <si>
    <t>Hillsborough</t>
  </si>
  <si>
    <t>RV</t>
  </si>
  <si>
    <t>50,000.0</t>
  </si>
  <si>
    <t>5,525,823.9</t>
  </si>
  <si>
    <t>-96088</t>
  </si>
  <si>
    <t>574500</t>
  </si>
  <si>
    <t>34726.00</t>
  </si>
  <si>
    <t>Houston Spec'lty, Westchester SL Houston Spec'lty</t>
  </si>
  <si>
    <t>6000000</t>
  </si>
  <si>
    <t>Ruskin, FL</t>
  </si>
  <si>
    <t>650</t>
  </si>
  <si>
    <t>671.55</t>
  </si>
  <si>
    <t>Tampa-St. Petersburg-Clearwater</t>
  </si>
  <si>
    <t>282724</t>
  </si>
  <si>
    <t>2</t>
  </si>
  <si>
    <t>74</t>
  </si>
  <si>
    <t>86</t>
  </si>
  <si>
    <t>A0578920100</t>
  </si>
  <si>
    <t>50000</t>
  </si>
  <si>
    <t>2021/12/6</t>
  </si>
  <si>
    <t>45,428.1</t>
  </si>
  <si>
    <t>106.5</t>
  </si>
  <si>
    <t>21,500.0</t>
  </si>
  <si>
    <t>45764</t>
  </si>
  <si>
    <t>(16,210.7)</t>
  </si>
  <si>
    <t>5,475,000.0</t>
  </si>
  <si>
    <t>Florida West Coast</t>
  </si>
  <si>
    <t>585</t>
  </si>
  <si>
    <t>Investor</t>
  </si>
  <si>
    <t>NYE Commercial</t>
  </si>
  <si>
    <t>Tom@nyecommercial.com</t>
  </si>
  <si>
    <t>Tom Parks</t>
  </si>
  <si>
    <t>8138338418</t>
  </si>
  <si>
    <t>5,542,034.6</t>
  </si>
  <si>
    <t>114</t>
  </si>
  <si>
    <t>98</t>
  </si>
  <si>
    <t>112</t>
  </si>
  <si>
    <t>116</t>
  </si>
  <si>
    <t>Direct/In Rent</t>
  </si>
  <si>
    <t>WWTP</t>
  </si>
  <si>
    <t>https://riveroakrv.com/</t>
  </si>
  <si>
    <t>NP</t>
  </si>
  <si>
    <t>New Property</t>
  </si>
  <si>
    <t>GEIG</t>
  </si>
  <si>
    <t>Geiger RV Resort</t>
  </si>
  <si>
    <t>PW</t>
  </si>
  <si>
    <t>Parkwood Manufactured Housing Community</t>
  </si>
  <si>
    <t>Parkwood MHC</t>
  </si>
  <si>
    <t>338 Barnes Road  Lot 100  Winston-Salem, NC 27107</t>
  </si>
  <si>
    <t>338 Barnes Road  Lot 100</t>
  </si>
  <si>
    <t>Winston-Salem</t>
  </si>
  <si>
    <t>27107</t>
  </si>
  <si>
    <t>.06019</t>
  </si>
  <si>
    <t>5</t>
  </si>
  <si>
    <t>YES</t>
  </si>
  <si>
    <t>120</t>
  </si>
  <si>
    <t>2,400,000.00</t>
  </si>
  <si>
    <t>CMBS - WF</t>
  </si>
  <si>
    <t>.0498</t>
  </si>
  <si>
    <t>1,327,210.00</t>
  </si>
  <si>
    <t>.4</t>
  </si>
  <si>
    <t>7362.00</t>
  </si>
  <si>
    <t>Hanover zhsd50237700; Hanover uhsd60899500; Vandemere cf39980005</t>
  </si>
  <si>
    <t>2019/5/31</t>
  </si>
  <si>
    <t>25</t>
  </si>
  <si>
    <t>300</t>
  </si>
  <si>
    <t>.6</t>
  </si>
  <si>
    <t>.67204</t>
  </si>
  <si>
    <t>224323</t>
  </si>
  <si>
    <t>94</t>
  </si>
  <si>
    <t>636826 / REID 6832777418000 / PIN # 6832-77-7418</t>
  </si>
  <si>
    <t>2018/5/31</t>
  </si>
  <si>
    <t>3,571,200.00</t>
  </si>
  <si>
    <t>North Carolina</t>
  </si>
  <si>
    <t>3,727,211.00</t>
  </si>
  <si>
    <t>100</t>
  </si>
  <si>
    <t>www.parkwoodmhp.com</t>
  </si>
  <si>
    <t>Everglades Mobile Home Park</t>
  </si>
  <si>
    <t>500 S Francisco Street  Clewiston, FL 33440</t>
  </si>
  <si>
    <t>500 S Francisco Street</t>
  </si>
  <si>
    <t>Clewiston</t>
  </si>
  <si>
    <t>33440</t>
  </si>
  <si>
    <t>41,610.0</t>
  </si>
  <si>
    <t>.0775</t>
  </si>
  <si>
    <t>Hendry</t>
  </si>
  <si>
    <t>855,000.0</t>
  </si>
  <si>
    <t>0.04000</t>
  </si>
  <si>
    <t>22,800.0</t>
  </si>
  <si>
    <t>252,195.0</t>
  </si>
  <si>
    <t>No (X)</t>
  </si>
  <si>
    <t>175</t>
  </si>
  <si>
    <t>.82212</t>
  </si>
  <si>
    <t>87794</t>
  </si>
  <si>
    <t>53</t>
  </si>
  <si>
    <t>3014334-01003940010</t>
  </si>
  <si>
    <t>0.08</t>
  </si>
  <si>
    <t>2021/2/16</t>
  </si>
  <si>
    <t>50,249.5</t>
  </si>
  <si>
    <t>11,083.5</t>
  </si>
  <si>
    <t>12,500.0</t>
  </si>
  <si>
    <t>(6,638.0)</t>
  </si>
  <si>
    <t>1,040,000.0</t>
  </si>
  <si>
    <t>1,113,833.0</t>
  </si>
  <si>
    <t>55</t>
  </si>
  <si>
    <t>SGHOME</t>
  </si>
  <si>
    <t>Shasta Glen Homes</t>
  </si>
  <si>
    <t>4647 Winter Avenue #25  Klamath Falls OR 97603</t>
  </si>
  <si>
    <t>4647 Winter Avenue #25</t>
  </si>
  <si>
    <t>Klamath Falls</t>
  </si>
  <si>
    <t>97603</t>
  </si>
  <si>
    <t>Shasta Glen</t>
  </si>
  <si>
    <t>2019/8/20</t>
  </si>
  <si>
    <t>KH</t>
  </si>
  <si>
    <t>Knollwood Homes</t>
  </si>
  <si>
    <t>100 Collins Drive  Knollwood, TX 75092</t>
  </si>
  <si>
    <t>100 Collins Drive</t>
  </si>
  <si>
    <t>Knollwood</t>
  </si>
  <si>
    <t>75092</t>
  </si>
  <si>
    <t>18</t>
  </si>
  <si>
    <t>2019/4/26</t>
  </si>
  <si>
    <t>www.knollwoodvillage.com</t>
  </si>
  <si>
    <t>VW</t>
  </si>
  <si>
    <t>Victoria Woods</t>
  </si>
  <si>
    <t>2574 W Midland Road  Midland, MI 48642</t>
  </si>
  <si>
    <t>2574 W Midland Road</t>
  </si>
  <si>
    <t>Midland</t>
  </si>
  <si>
    <t>48642</t>
  </si>
  <si>
    <t>10.31%</t>
  </si>
  <si>
    <t>618,000.00</t>
  </si>
  <si>
    <t>10 Years</t>
  </si>
  <si>
    <t>400,000.00</t>
  </si>
  <si>
    <t>270</t>
  </si>
  <si>
    <t>82539</t>
  </si>
  <si>
    <t>14th</t>
  </si>
  <si>
    <t>2016/4/1</t>
  </si>
  <si>
    <t>800,000.00</t>
  </si>
  <si>
    <t>7th</t>
  </si>
  <si>
    <t>849,128.00</t>
  </si>
  <si>
    <t>www.victoriawoodsmhp.com</t>
  </si>
  <si>
    <t>FUNDIILP</t>
  </si>
  <si>
    <t>BEDROCK MHC Fund II LP</t>
  </si>
  <si>
    <t>10221 River Road  Suite 59831  Potomac MD 20859</t>
  </si>
  <si>
    <t>10221 River Road  Suite 59831</t>
  </si>
  <si>
    <t>Potomac</t>
  </si>
  <si>
    <t>FLMM</t>
  </si>
  <si>
    <t>Florida MHC MM, LLC</t>
  </si>
  <si>
    <t>NALL</t>
  </si>
  <si>
    <t>Nalls Court</t>
  </si>
  <si>
    <t>S FLORIDA</t>
  </si>
  <si>
    <t>NGPNTR</t>
  </si>
  <si>
    <t>Northgate Partners</t>
  </si>
  <si>
    <t>10221 River Road, 59831</t>
  </si>
  <si>
    <t>10221 River Road</t>
  </si>
  <si>
    <t>59831</t>
  </si>
  <si>
    <t>2019/8/15</t>
  </si>
  <si>
    <t>Town &amp; Country MHC</t>
  </si>
  <si>
    <t>7835 Morse Avenue  Jacksonville, FL 32244</t>
  </si>
  <si>
    <t>7835 Morse Avenue</t>
  </si>
  <si>
    <t>Jacksonville</t>
  </si>
  <si>
    <t>32244</t>
  </si>
  <si>
    <t>53,325.0</t>
  </si>
  <si>
    <t>.0624</t>
  </si>
  <si>
    <t>Duval</t>
  </si>
  <si>
    <t>Cash</t>
  </si>
  <si>
    <t>25,000.0</t>
  </si>
  <si>
    <t>1,209,947.6</t>
  </si>
  <si>
    <t>304</t>
  </si>
  <si>
    <t>0.00000</t>
  </si>
  <si>
    <t>295</t>
  </si>
  <si>
    <t>80179</t>
  </si>
  <si>
    <t>015773-0000</t>
  </si>
  <si>
    <t>2020/7/1</t>
  </si>
  <si>
    <t>350.0</t>
  </si>
  <si>
    <t>7,485.3</t>
  </si>
  <si>
    <t>19,087.4</t>
  </si>
  <si>
    <t>(1,975.1)</t>
  </si>
  <si>
    <t>1,185,000.0</t>
  </si>
  <si>
    <t>Florida Panhandle</t>
  </si>
  <si>
    <t>1,211,922.7</t>
  </si>
  <si>
    <t>Submetered</t>
  </si>
  <si>
    <t>Pro Rata</t>
  </si>
  <si>
    <t>PSE</t>
  </si>
  <si>
    <t>Palms Springs Estates</t>
  </si>
  <si>
    <t>40110 US 19 N  Tarpon Springs, FL 34689</t>
  </si>
  <si>
    <t>40110 US 19 N</t>
  </si>
  <si>
    <t>Tarpon Springs</t>
  </si>
  <si>
    <t>34689</t>
  </si>
  <si>
    <t>39,000.0</t>
  </si>
  <si>
    <t>.04359</t>
  </si>
  <si>
    <t>Palm Spring</t>
  </si>
  <si>
    <t>1,294,367.4</t>
  </si>
  <si>
    <t>Valley National Bank</t>
  </si>
  <si>
    <t>12</t>
  </si>
  <si>
    <t>816,301.1</t>
  </si>
  <si>
    <t>77,973.1</t>
  </si>
  <si>
    <t>403</t>
  </si>
  <si>
    <t>.71687</t>
  </si>
  <si>
    <t>98280</t>
  </si>
  <si>
    <t>43</t>
  </si>
  <si>
    <t>R187282</t>
  </si>
  <si>
    <t>2021/5/19</t>
  </si>
  <si>
    <t>121,244.5</t>
  </si>
  <si>
    <t>313.0</t>
  </si>
  <si>
    <t>17,500.0</t>
  </si>
  <si>
    <t>(40,362.1)</t>
  </si>
  <si>
    <t>1,895,000.0</t>
  </si>
  <si>
    <t>Apr</t>
  </si>
  <si>
    <t>2024/1/2</t>
  </si>
  <si>
    <t>2,073,057.5</t>
  </si>
  <si>
    <t>46</t>
  </si>
  <si>
    <t>47</t>
  </si>
  <si>
    <t>LA</t>
  </si>
  <si>
    <t>Lake Alfred</t>
  </si>
  <si>
    <t>KEETHOME</t>
  </si>
  <si>
    <t>Parakeet Homes</t>
  </si>
  <si>
    <t>10221 River Road  #59831  Potomac, MD 20859</t>
  </si>
  <si>
    <t>10221 River Road  #59831</t>
  </si>
  <si>
    <t>UNIV</t>
  </si>
  <si>
    <t>University MHP</t>
  </si>
  <si>
    <t>9518 E 4th Ave  Spokane Valley, WA 99206</t>
  </si>
  <si>
    <t>9518 E 4th Ave</t>
  </si>
  <si>
    <t>Spokane Valley</t>
  </si>
  <si>
    <t>99206</t>
  </si>
  <si>
    <t>University</t>
  </si>
  <si>
    <t>3266373</t>
  </si>
  <si>
    <t>Fund I</t>
  </si>
  <si>
    <t>325</t>
  </si>
  <si>
    <t>2017/2/1</t>
  </si>
  <si>
    <t>3235000</t>
  </si>
  <si>
    <t>106</t>
  </si>
  <si>
    <t>www.universitymhp.com</t>
  </si>
  <si>
    <t>PMS</t>
  </si>
  <si>
    <t>Parakeet MHC Senior</t>
  </si>
  <si>
    <t>2022/6/3</t>
  </si>
  <si>
    <t>CMI</t>
  </si>
  <si>
    <t>Cambridge MHP Investment</t>
  </si>
  <si>
    <t>Cambridge MHP Investment, LLC</t>
  </si>
  <si>
    <t>10221 River Road, 59831  Potomac, MD 20859</t>
  </si>
  <si>
    <t>2018/3/31</t>
  </si>
  <si>
    <t>Cambridge</t>
  </si>
  <si>
    <t>Mid Atlantic</t>
  </si>
  <si>
    <t>CAM</t>
  </si>
  <si>
    <t>Cambridge Mobile Home Community</t>
  </si>
  <si>
    <t>Cambridge MHC</t>
  </si>
  <si>
    <t>135 Manchester Dr  Charles Town, WV 25414</t>
  </si>
  <si>
    <t>135 Manchester Dr</t>
  </si>
  <si>
    <t>Charles Town</t>
  </si>
  <si>
    <t>25414</t>
  </si>
  <si>
    <t>Harbour Mobile Home Park</t>
  </si>
  <si>
    <t>Harbour MHC</t>
  </si>
  <si>
    <t>821 Peachtree Street  Cocoa, FL 32922</t>
  </si>
  <si>
    <t>821 Peachtree Street</t>
  </si>
  <si>
    <t>Cocoa</t>
  </si>
  <si>
    <t>32922</t>
  </si>
  <si>
    <t>2.58</t>
  </si>
  <si>
    <t>03/14/2022</t>
  </si>
  <si>
    <t>52,800.0</t>
  </si>
  <si>
    <t>40938</t>
  </si>
  <si>
    <t>10.62%</t>
  </si>
  <si>
    <t>Brevard</t>
  </si>
  <si>
    <t>20,952.4</t>
  </si>
  <si>
    <t>1,755,002.0</t>
  </si>
  <si>
    <t>-30297</t>
  </si>
  <si>
    <t>116466</t>
  </si>
  <si>
    <t>3340.00</t>
  </si>
  <si>
    <t>1843809</t>
  </si>
  <si>
    <t>55.51</t>
  </si>
  <si>
    <t>Cocoa, FL</t>
  </si>
  <si>
    <t>385</t>
  </si>
  <si>
    <t>Palm Bay-Melbourne-Titusville</t>
  </si>
  <si>
    <t>186930</t>
  </si>
  <si>
    <t>34</t>
  </si>
  <si>
    <t>35</t>
  </si>
  <si>
    <t>7</t>
  </si>
  <si>
    <t>2424102</t>
  </si>
  <si>
    <t>20952</t>
  </si>
  <si>
    <t>103</t>
  </si>
  <si>
    <t>2021/10/19</t>
  </si>
  <si>
    <t>10,651.4</t>
  </si>
  <si>
    <t>6,708.5</t>
  </si>
  <si>
    <t>6,911.1</t>
  </si>
  <si>
    <t>10902</t>
  </si>
  <si>
    <t>(29,269.0)</t>
  </si>
  <si>
    <t>1,760,000.0</t>
  </si>
  <si>
    <t>Feb</t>
  </si>
  <si>
    <t>2023/11/3</t>
  </si>
  <si>
    <t>ComReal</t>
  </si>
  <si>
    <t>mfetterolf@comreal.com</t>
  </si>
  <si>
    <t>Mort Fetterolf</t>
  </si>
  <si>
    <t>3059876628</t>
  </si>
  <si>
    <t>1,784,271.0</t>
  </si>
  <si>
    <t>4</t>
  </si>
  <si>
    <t>Brunswick Estates</t>
  </si>
  <si>
    <t>21 Gressel Circle  Brunswick, GA 31520</t>
  </si>
  <si>
    <t>21 Gressel Circle</t>
  </si>
  <si>
    <t>31520</t>
  </si>
  <si>
    <t>29.2</t>
  </si>
  <si>
    <t>192500</t>
  </si>
  <si>
    <t>0.076</t>
  </si>
  <si>
    <t>423</t>
  </si>
  <si>
    <t>309070</t>
  </si>
  <si>
    <t>3850000</t>
  </si>
  <si>
    <t>62</t>
  </si>
  <si>
    <t>PWMHC</t>
  </si>
  <si>
    <t>6.76%</t>
  </si>
  <si>
    <t>30</t>
  </si>
  <si>
    <t>2400000</t>
  </si>
  <si>
    <t>Wells Fargo</t>
  </si>
  <si>
    <t>1327210</t>
  </si>
  <si>
    <t>237369</t>
  </si>
  <si>
    <t>3571200</t>
  </si>
  <si>
    <t>3727211</t>
  </si>
  <si>
    <t>SG</t>
  </si>
  <si>
    <t>Shasta Glen MHP</t>
  </si>
  <si>
    <t>4647 Winter Avenue #25  Klamath Falls, OR 97603</t>
  </si>
  <si>
    <t>353</t>
  </si>
  <si>
    <t>2019/8/22</t>
  </si>
  <si>
    <t>93</t>
  </si>
  <si>
    <t>www.shastaglenmhp.com</t>
  </si>
  <si>
    <t>CSMHC</t>
  </si>
  <si>
    <t>Countryside MHC</t>
  </si>
  <si>
    <t>179 Countryside Ln  Mandan, ND 58554</t>
  </si>
  <si>
    <t>179 Countryside Ln</t>
  </si>
  <si>
    <t>Mandan</t>
  </si>
  <si>
    <t>58554</t>
  </si>
  <si>
    <t>.07347</t>
  </si>
  <si>
    <t>Dec</t>
  </si>
  <si>
    <t>Countryside</t>
  </si>
  <si>
    <t>Morton</t>
  </si>
  <si>
    <t>804,678.0</t>
  </si>
  <si>
    <t>FNMA - WF</t>
  </si>
  <si>
    <t>6,052.6</t>
  </si>
  <si>
    <t>366,548.4</t>
  </si>
  <si>
    <t>9,451.7</t>
  </si>
  <si>
    <t>318</t>
  </si>
  <si>
    <t>.714</t>
  </si>
  <si>
    <t>91460</t>
  </si>
  <si>
    <t>65-5650000</t>
  </si>
  <si>
    <t>1,363.0</t>
  </si>
  <si>
    <t>2018/12/20</t>
  </si>
  <si>
    <t>2,843.9</t>
  </si>
  <si>
    <t>4,787.0</t>
  </si>
  <si>
    <t>5,347.1</t>
  </si>
  <si>
    <t>(2,566.4)</t>
  </si>
  <si>
    <t>1,150,000.0</t>
  </si>
  <si>
    <t>Midwest</t>
  </si>
  <si>
    <t>2023/12/2</t>
  </si>
  <si>
    <t>ND</t>
  </si>
  <si>
    <t>1,162,978.0</t>
  </si>
  <si>
    <t>JLB</t>
  </si>
  <si>
    <t>JLB Group LLC</t>
  </si>
  <si>
    <t>10221 River Road #59831  Potomac, MD 20859</t>
  </si>
  <si>
    <t>10221 River Road #59831</t>
  </si>
  <si>
    <t>GRV</t>
  </si>
  <si>
    <t>Geiger RV</t>
  </si>
  <si>
    <t>Geiger Key RV Resort</t>
  </si>
  <si>
    <t>592000</t>
  </si>
  <si>
    <t>1000000</t>
  </si>
  <si>
    <t>14889954</t>
  </si>
  <si>
    <t>.57</t>
  </si>
  <si>
    <t>2023/8/31</t>
  </si>
  <si>
    <t>14400000</t>
  </si>
  <si>
    <t>9CE3814-0</t>
  </si>
  <si>
    <t>134531</t>
  </si>
  <si>
    <t>6500249266, 6500249243</t>
  </si>
  <si>
    <t>85158.6</t>
  </si>
  <si>
    <t>23787</t>
  </si>
  <si>
    <t>27100</t>
  </si>
  <si>
    <t>-296507</t>
  </si>
  <si>
    <t>14800000</t>
  </si>
  <si>
    <t>.43</t>
  </si>
  <si>
    <t>0.00</t>
  </si>
  <si>
    <t>14986045</t>
  </si>
  <si>
    <t>9CE3816-0</t>
  </si>
  <si>
    <t>EKEET</t>
  </si>
  <si>
    <t>Elimination - Parakeet Hold Co</t>
  </si>
  <si>
    <t>CAMHOM</t>
  </si>
  <si>
    <t>Cambridge Homes</t>
  </si>
  <si>
    <t>11 Manchester Drive  Charles Town, WV 25414</t>
  </si>
  <si>
    <t>11 Manchester Drive</t>
  </si>
  <si>
    <t>7816.00</t>
  </si>
  <si>
    <t>American Modern Home 077cd76908000</t>
  </si>
  <si>
    <t>2019/7/19</t>
  </si>
  <si>
    <t>.05</t>
  </si>
  <si>
    <t>LLHOME</t>
  </si>
  <si>
    <t>Lamberton Lake Homes</t>
  </si>
  <si>
    <t>Lamberton Lake MHC</t>
  </si>
  <si>
    <t>1561 Sherin Drive NE  Grand Rapids, MI 49525</t>
  </si>
  <si>
    <t>1561 Sherin Drive NE</t>
  </si>
  <si>
    <t>Grand Rapids</t>
  </si>
  <si>
    <t>49525</t>
  </si>
  <si>
    <t>Congress Mobile Home Park</t>
  </si>
  <si>
    <t>1960 Congress Avenue  West Palm Beach, FL 33409</t>
  </si>
  <si>
    <t>1960 Congress Avenue</t>
  </si>
  <si>
    <t>West Palm Beach</t>
  </si>
  <si>
    <t>33409</t>
  </si>
  <si>
    <t>1.79</t>
  </si>
  <si>
    <t>03/15/2021</t>
  </si>
  <si>
    <t>51500</t>
  </si>
  <si>
    <t>6.35%</t>
  </si>
  <si>
    <t>Palm Beach</t>
  </si>
  <si>
    <t>2,190,753.9</t>
  </si>
  <si>
    <t>309246</t>
  </si>
  <si>
    <t>153000</t>
  </si>
  <si>
    <t>4077.00</t>
  </si>
  <si>
    <t>2450000</t>
  </si>
  <si>
    <t>West Palm Beach, FL</t>
  </si>
  <si>
    <t>611</t>
  </si>
  <si>
    <t>$2,900,000</t>
  </si>
  <si>
    <t>136523</t>
  </si>
  <si>
    <t>00-43-43-29-00-000-7160</t>
  </si>
  <si>
    <t>$3,600,000</t>
  </si>
  <si>
    <t>16,989.5</t>
  </si>
  <si>
    <t>1,081.9</t>
  </si>
  <si>
    <t>20,108.6</t>
  </si>
  <si>
    <t>21736</t>
  </si>
  <si>
    <t>(18,926.0)</t>
  </si>
  <si>
    <t>2,150,000.0</t>
  </si>
  <si>
    <t>1500</t>
  </si>
  <si>
    <t>*None/Seller*</t>
  </si>
  <si>
    <t>2,209,680.0</t>
  </si>
  <si>
    <t>Wolf Bay Manufactured Housing Community</t>
  </si>
  <si>
    <t>Wolf Bay MHP</t>
  </si>
  <si>
    <t>9741 Wilson Road  Elberta, AL 36530</t>
  </si>
  <si>
    <t>9741 Wilson Road</t>
  </si>
  <si>
    <t>Elberta</t>
  </si>
  <si>
    <t>36530</t>
  </si>
  <si>
    <t>.03959</t>
  </si>
  <si>
    <t>Baldwin</t>
  </si>
  <si>
    <t>60</t>
  </si>
  <si>
    <t>425,000.0</t>
  </si>
  <si>
    <t>.045</t>
  </si>
  <si>
    <t>985,685.3</t>
  </si>
  <si>
    <t>.30357</t>
  </si>
  <si>
    <t>56098</t>
  </si>
  <si>
    <t>61-01-12-0-000-006.000</t>
  </si>
  <si>
    <t>2021/2/26</t>
  </si>
  <si>
    <t>300.0</t>
  </si>
  <si>
    <t>7,158.0</t>
  </si>
  <si>
    <t>10,361.0</t>
  </si>
  <si>
    <t>(7,133.7)</t>
  </si>
  <si>
    <t>1,400,000.0</t>
  </si>
  <si>
    <t>2024/3/2</t>
  </si>
  <si>
    <t>AL</t>
  </si>
  <si>
    <t>1,417,819.0</t>
  </si>
  <si>
    <t>A2ZKVP</t>
  </si>
  <si>
    <t>A2Z Knollwood Partners</t>
  </si>
  <si>
    <t>JV Partner</t>
  </si>
  <si>
    <t>2019/4/1</t>
  </si>
  <si>
    <t>NCHOMES</t>
  </si>
  <si>
    <t>Bedrock NC Homes</t>
  </si>
  <si>
    <t>A2ZFUNDI</t>
  </si>
  <si>
    <t>A2Z Fund I, LLC</t>
  </si>
  <si>
    <t>2016/1/1</t>
  </si>
  <si>
    <t>500</t>
  </si>
  <si>
    <t>Gulf Breeze MHP</t>
  </si>
  <si>
    <t>7530 Maryland Ave  Hudson, FL 34667</t>
  </si>
  <si>
    <t>7530 Maryland Ave</t>
  </si>
  <si>
    <t>Hudson</t>
  </si>
  <si>
    <t>34667</t>
  </si>
  <si>
    <t>93,000.0</t>
  </si>
  <si>
    <t>Pasco</t>
  </si>
  <si>
    <t>1,018,440.0</t>
  </si>
  <si>
    <t>630,271.6</t>
  </si>
  <si>
    <t>Yes (AE)</t>
  </si>
  <si>
    <t>25%</t>
  </si>
  <si>
    <t>Parakeet Founders Group</t>
  </si>
  <si>
    <t>2,738.6</t>
  </si>
  <si>
    <t>336</t>
  </si>
  <si>
    <t>32</t>
  </si>
  <si>
    <t>33</t>
  </si>
  <si>
    <t>27-24-16-0010-00B00-0310</t>
  </si>
  <si>
    <t>2021/7/9</t>
  </si>
  <si>
    <t>9,395.3</t>
  </si>
  <si>
    <t>36,347.2</t>
  </si>
  <si>
    <t>(39,769.4)</t>
  </si>
  <si>
    <t>1,640,000.0</t>
  </si>
  <si>
    <t>75%</t>
  </si>
  <si>
    <t>Sep</t>
  </si>
  <si>
    <t>2024/6/3</t>
  </si>
  <si>
    <t>1,685,742.4</t>
  </si>
  <si>
    <t>39</t>
  </si>
  <si>
    <t>Palm Haven Estates</t>
  </si>
  <si>
    <t>250 Nell Street  Panama City Beach, FL 32404</t>
  </si>
  <si>
    <t>250 Nell Street</t>
  </si>
  <si>
    <t>Panama City Beach</t>
  </si>
  <si>
    <t>32404</t>
  </si>
  <si>
    <t>14.53</t>
  </si>
  <si>
    <t>92,250.0</t>
  </si>
  <si>
    <t>92250</t>
  </si>
  <si>
    <t>4.9%</t>
  </si>
  <si>
    <t>Bay County</t>
  </si>
  <si>
    <t>75,000.0</t>
  </si>
  <si>
    <t>2,098,797.7</t>
  </si>
  <si>
    <t>52267</t>
  </si>
  <si>
    <t>398350</t>
  </si>
  <si>
    <t>6319.00</t>
  </si>
  <si>
    <t>2500000</t>
  </si>
  <si>
    <t>Panama City, FL</t>
  </si>
  <si>
    <t>188.15</t>
  </si>
  <si>
    <t>Panama City</t>
  </si>
  <si>
    <t>100666</t>
  </si>
  <si>
    <t>9</t>
  </si>
  <si>
    <t>06505-000-000</t>
  </si>
  <si>
    <t>75000</t>
  </si>
  <si>
    <t>6,534.3</t>
  </si>
  <si>
    <t>2021/11/23</t>
  </si>
  <si>
    <t>22,495.9</t>
  </si>
  <si>
    <t>1,142.6</t>
  </si>
  <si>
    <t>23,463.8</t>
  </si>
  <si>
    <t>25586</t>
  </si>
  <si>
    <t>(4,838.9)</t>
  </si>
  <si>
    <t>2,050,000.0</t>
  </si>
  <si>
    <t>Matthews Real Estate</t>
  </si>
  <si>
    <t>Johnnyblue.craig@matthews.com</t>
  </si>
  <si>
    <t>Johnny Blue Craig</t>
  </si>
  <si>
    <t>8505098733</t>
  </si>
  <si>
    <t>250 Nell Ave</t>
  </si>
  <si>
    <t>2,097,102.3</t>
  </si>
  <si>
    <t>16</t>
  </si>
  <si>
    <t xml:space="preserve">Monson </t>
  </si>
  <si>
    <t>268 Palmer Road  Monson, MA 01057</t>
  </si>
  <si>
    <t>268 Palmer Road</t>
  </si>
  <si>
    <t>01057</t>
  </si>
  <si>
    <t>May</t>
  </si>
  <si>
    <t>19.04</t>
  </si>
  <si>
    <t>55+</t>
  </si>
  <si>
    <t>04/10/2022</t>
  </si>
  <si>
    <t>34,692.8</t>
  </si>
  <si>
    <t>69,385.6</t>
  </si>
  <si>
    <t>107018</t>
  </si>
  <si>
    <t>5.5%</t>
  </si>
  <si>
    <t>Hampden</t>
  </si>
  <si>
    <t>10/09/2021</t>
  </si>
  <si>
    <t>2,447,901.2</t>
  </si>
  <si>
    <t>257,256.0</t>
  </si>
  <si>
    <t>1,168,260.0</t>
  </si>
  <si>
    <t>390903</t>
  </si>
  <si>
    <t>33%</t>
  </si>
  <si>
    <t>Parakeet MA Holdings</t>
  </si>
  <si>
    <t>265000</t>
  </si>
  <si>
    <t>13226.00</t>
  </si>
  <si>
    <t>Scottsdale, Scottsdale, Nautilus</t>
  </si>
  <si>
    <t>33,026.9</t>
  </si>
  <si>
    <t>Monson, MA</t>
  </si>
  <si>
    <t>Springfield, MA</t>
  </si>
  <si>
    <t>192086</t>
  </si>
  <si>
    <t>58</t>
  </si>
  <si>
    <t>#107-016</t>
  </si>
  <si>
    <t>700</t>
  </si>
  <si>
    <t>18,797.8</t>
  </si>
  <si>
    <t>Monson MHC</t>
  </si>
  <si>
    <t>2022/4/22</t>
  </si>
  <si>
    <t>36,260.1</t>
  </si>
  <si>
    <t>7,972.4</t>
  </si>
  <si>
    <t>22,785.5</t>
  </si>
  <si>
    <t>(6,655.4)</t>
  </si>
  <si>
    <t>3,469,281.0</t>
  </si>
  <si>
    <t>61%</t>
  </si>
  <si>
    <t>6%</t>
  </si>
  <si>
    <t>Marcus &amp; Millichap</t>
  </si>
  <si>
    <t>Jonathon.McClellan@marcusmillichap.com</t>
  </si>
  <si>
    <t>Jonathon McClellan</t>
  </si>
  <si>
    <t>2162881793</t>
  </si>
  <si>
    <t>MA</t>
  </si>
  <si>
    <t>3,570,991.9</t>
  </si>
  <si>
    <t>61</t>
  </si>
  <si>
    <t>Baker</t>
  </si>
  <si>
    <t>GEIGRV</t>
  </si>
  <si>
    <t>5 Geiger Rd  Key West, FL</t>
  </si>
  <si>
    <t>592,000.0</t>
  </si>
  <si>
    <t>1,000,000.0</t>
  </si>
  <si>
    <t>14,889,954.5</t>
  </si>
  <si>
    <t>57%</t>
  </si>
  <si>
    <t>See Parcel Data Sheet</t>
  </si>
  <si>
    <t>134,531.0</t>
  </si>
  <si>
    <t>85,158.6</t>
  </si>
  <si>
    <t>23,787.0</t>
  </si>
  <si>
    <t>27,100.0</t>
  </si>
  <si>
    <t>(296,507.0)</t>
  </si>
  <si>
    <t>14,800,000.0</t>
  </si>
  <si>
    <t>43%</t>
  </si>
  <si>
    <t>14,986,045.6</t>
  </si>
  <si>
    <t>VAN</t>
  </si>
  <si>
    <t>Vandemere Manufactured Housing Community</t>
  </si>
  <si>
    <t>Vandemere MHC</t>
  </si>
  <si>
    <t>474 Earl Road  Greenville, NC 27834</t>
  </si>
  <si>
    <t>474 Earl Road</t>
  </si>
  <si>
    <t>Greenville</t>
  </si>
  <si>
    <t>27834</t>
  </si>
  <si>
    <t>.06274</t>
  </si>
  <si>
    <t>Vandemere</t>
  </si>
  <si>
    <t>2,500,000.00</t>
  </si>
  <si>
    <t>1,382,511.00</t>
  </si>
  <si>
    <t>233</t>
  </si>
  <si>
    <t>243586</t>
  </si>
  <si>
    <t>02224</t>
  </si>
  <si>
    <t>3,720,000.00</t>
  </si>
  <si>
    <t>3,882,511.00</t>
  </si>
  <si>
    <t>126</t>
  </si>
  <si>
    <t>www.vandemeremhp.com</t>
  </si>
  <si>
    <t>17360 SW 232nd St  Miami, FL 33170</t>
  </si>
  <si>
    <t>17360 SW 232nd St</t>
  </si>
  <si>
    <t>33170</t>
  </si>
  <si>
    <t>9.1</t>
  </si>
  <si>
    <t>0.048</t>
  </si>
  <si>
    <t>645</t>
  </si>
  <si>
    <t>605</t>
  </si>
  <si>
    <t>Miami-Fort Lauderdale-West Palm Beach Metro Area</t>
  </si>
  <si>
    <t>30-6919-000-0151</t>
  </si>
  <si>
    <t>2024/10/15</t>
  </si>
  <si>
    <t>7125000</t>
  </si>
  <si>
    <t>80</t>
  </si>
  <si>
    <t>CHOM</t>
  </si>
  <si>
    <t>Colonial Homes</t>
  </si>
  <si>
    <t>Colonial MHC</t>
  </si>
  <si>
    <t>76 Morningstar Drive  New Bern, NC 28562</t>
  </si>
  <si>
    <t>76 Morningstar Drive</t>
  </si>
  <si>
    <t>New Bern</t>
  </si>
  <si>
    <t>28562</t>
  </si>
  <si>
    <t>Colonial</t>
  </si>
  <si>
    <t>WBH</t>
  </si>
  <si>
    <t>Wolf Bay Homes</t>
  </si>
  <si>
    <t>CW</t>
  </si>
  <si>
    <t>Cherrywoods MHP</t>
  </si>
  <si>
    <t>711 E Garfield St  Ottawa, KS 66067</t>
  </si>
  <si>
    <t>711 E Garfield St</t>
  </si>
  <si>
    <t>Ottawa</t>
  </si>
  <si>
    <t>66067</t>
  </si>
  <si>
    <t>11.66%</t>
  </si>
  <si>
    <t>Cherrywoods</t>
  </si>
  <si>
    <t>500,000.00</t>
  </si>
  <si>
    <t>Clayton Bank</t>
  </si>
  <si>
    <t>441,000.00</t>
  </si>
  <si>
    <t>93258</t>
  </si>
  <si>
    <t>8th</t>
  </si>
  <si>
    <t>2014/7/14</t>
  </si>
  <si>
    <t>941,000.00</t>
  </si>
  <si>
    <t>42</t>
  </si>
  <si>
    <t>www.cherrywoods.net</t>
  </si>
  <si>
    <t>RVLP</t>
  </si>
  <si>
    <t>Rio Vista LPs</t>
  </si>
  <si>
    <t>550</t>
  </si>
  <si>
    <t>2019/6/21</t>
  </si>
  <si>
    <t>Para</t>
  </si>
  <si>
    <t>Paradise Lakes RV</t>
  </si>
  <si>
    <t>1571 Doyle Rd  Deltona, FL 32725</t>
  </si>
  <si>
    <t>1571 Doyle Rd</t>
  </si>
  <si>
    <t>Deltona</t>
  </si>
  <si>
    <t>32725</t>
  </si>
  <si>
    <t>FUNDIIGP</t>
  </si>
  <si>
    <t>BEDROCK MHC FUND II GP</t>
  </si>
  <si>
    <t>10221 River Road  Suite 59831  Potomac, MD 20859</t>
  </si>
  <si>
    <t>Bedrock GP</t>
  </si>
  <si>
    <t>Applegate MHC</t>
  </si>
  <si>
    <t>399 Circle Dr.  Deland, FL 32724</t>
  </si>
  <si>
    <t>399 Circle Dr.</t>
  </si>
  <si>
    <t>Deland</t>
  </si>
  <si>
    <t>32724</t>
  </si>
  <si>
    <t>10.58</t>
  </si>
  <si>
    <t>03/18/2022</t>
  </si>
  <si>
    <t>159,000.0</t>
  </si>
  <si>
    <t>159000</t>
  </si>
  <si>
    <t>2.27%</t>
  </si>
  <si>
    <t>Volusia</t>
  </si>
  <si>
    <t>5,474,070.1</t>
  </si>
  <si>
    <t>63909</t>
  </si>
  <si>
    <t>246438</t>
  </si>
  <si>
    <t>6138.00</t>
  </si>
  <si>
    <t>5800000</t>
  </si>
  <si>
    <t>DeLand, FL</t>
  </si>
  <si>
    <t>430</t>
  </si>
  <si>
    <t>Deltona-Daytona Beach-Ormond Beach</t>
  </si>
  <si>
    <t>132738</t>
  </si>
  <si>
    <t>81</t>
  </si>
  <si>
    <t>602803000600</t>
  </si>
  <si>
    <t>240</t>
  </si>
  <si>
    <t>2021/9/24</t>
  </si>
  <si>
    <t>18,632.7</t>
  </si>
  <si>
    <t>2,525.0</t>
  </si>
  <si>
    <t>19,108.6</t>
  </si>
  <si>
    <t>65583</t>
  </si>
  <si>
    <t>(25,196.2)</t>
  </si>
  <si>
    <t>5,300,000.0</t>
  </si>
  <si>
    <t>2024/2/1</t>
  </si>
  <si>
    <t>5,499,266.3</t>
  </si>
  <si>
    <t>87</t>
  </si>
  <si>
    <t>Flat</t>
  </si>
  <si>
    <t>6</t>
  </si>
  <si>
    <t>BRY</t>
  </si>
  <si>
    <t>Lake Bryant</t>
  </si>
  <si>
    <t>SPE</t>
  </si>
  <si>
    <t>Siesta Palm Estates</t>
  </si>
  <si>
    <t>RAM</t>
  </si>
  <si>
    <t>Ra Mar</t>
  </si>
  <si>
    <t>HLD</t>
  </si>
  <si>
    <t>Highlands</t>
  </si>
  <si>
    <t>C</t>
  </si>
  <si>
    <t>Colonial Manufactured Housing Community</t>
  </si>
  <si>
    <t>Colonial MHP</t>
  </si>
  <si>
    <t>.06346</t>
  </si>
  <si>
    <t>2,300,000.00</t>
  </si>
  <si>
    <t>1,271,910.00</t>
  </si>
  <si>
    <t>4923.00</t>
  </si>
  <si>
    <t>Gothan Ins. PK201800013081 and Commerce and Industry ebu020450526</t>
  </si>
  <si>
    <t>244</t>
  </si>
  <si>
    <t>226670</t>
  </si>
  <si>
    <t>102</t>
  </si>
  <si>
    <t>8-220-001</t>
  </si>
  <si>
    <t>3,422,400.00</t>
  </si>
  <si>
    <t>3,571,910.00</t>
  </si>
  <si>
    <t>www.colonialmhp.com</t>
  </si>
  <si>
    <t>A2ZPM</t>
  </si>
  <si>
    <t>A2Z Prop Mgmt</t>
  </si>
  <si>
    <t>10221 River Road 59831  Potomac, MD 20859</t>
  </si>
  <si>
    <t>10221 River Road 59831</t>
  </si>
  <si>
    <t>Mgmt Co</t>
  </si>
  <si>
    <t>Prop Mgmt</t>
  </si>
  <si>
    <t>2015/10/1</t>
  </si>
  <si>
    <t>MMHC</t>
  </si>
  <si>
    <t>Monson Manufactured Housing</t>
  </si>
  <si>
    <t>VHOM</t>
  </si>
  <si>
    <t>Vandemere Homes</t>
  </si>
  <si>
    <t>SGGP</t>
  </si>
  <si>
    <t>Shasta Glen GP</t>
  </si>
  <si>
    <t>2019/6/1</t>
  </si>
  <si>
    <t>Tradewinds MHC</t>
  </si>
  <si>
    <t>4100 N Cocoa Blvd  Cocoa, FL 32927</t>
  </si>
  <si>
    <t>4100 N Cocoa Blvd</t>
  </si>
  <si>
    <t>32927</t>
  </si>
  <si>
    <t>7.89</t>
  </si>
  <si>
    <t>454</t>
  </si>
  <si>
    <t>80,000.0</t>
  </si>
  <si>
    <t>80000</t>
  </si>
  <si>
    <t>3.96%</t>
  </si>
  <si>
    <t>MH + RV</t>
  </si>
  <si>
    <t>4,149,880.5</t>
  </si>
  <si>
    <t>-22128</t>
  </si>
  <si>
    <t>798606</t>
  </si>
  <si>
    <t>8554.00</t>
  </si>
  <si>
    <t>Western World, National Union</t>
  </si>
  <si>
    <t>4900000</t>
  </si>
  <si>
    <t>391</t>
  </si>
  <si>
    <t>158598</t>
  </si>
  <si>
    <t>67</t>
  </si>
  <si>
    <t>70</t>
  </si>
  <si>
    <t>2317738</t>
  </si>
  <si>
    <t>25,487.9</t>
  </si>
  <si>
    <t>2021/11/15</t>
  </si>
  <si>
    <t>25,607.7</t>
  </si>
  <si>
    <t>10,632.5</t>
  </si>
  <si>
    <t>20,237.4</t>
  </si>
  <si>
    <t>(12,085.0)</t>
  </si>
  <si>
    <t>4,000,000.0</t>
  </si>
  <si>
    <t>MHRE</t>
  </si>
  <si>
    <t>mikemikkola@gmail.com</t>
  </si>
  <si>
    <t>Mike Mikkola</t>
  </si>
  <si>
    <t>7276410090</t>
  </si>
  <si>
    <t>4,136,477.6</t>
  </si>
  <si>
    <t>44</t>
  </si>
  <si>
    <t>11</t>
  </si>
  <si>
    <t>48</t>
  </si>
  <si>
    <t>TOHO</t>
  </si>
  <si>
    <t>Lake Toho</t>
  </si>
  <si>
    <t>4715 Kissimmee Park Rd  St Cloud, FL 34772</t>
  </si>
  <si>
    <t>4715 Kissimmee Park Rd</t>
  </si>
  <si>
    <t>St Cloud</t>
  </si>
  <si>
    <t>34772</t>
  </si>
  <si>
    <t>PALMS</t>
  </si>
  <si>
    <t>21 Palms Resort</t>
  </si>
  <si>
    <t>Belle Haven MHC</t>
  </si>
  <si>
    <t>27554 US Hwy 19 N  Clearwater, FL 33761</t>
  </si>
  <si>
    <t>27554 US Hwy 19 N</t>
  </si>
  <si>
    <t>Clearwater</t>
  </si>
  <si>
    <t>33761</t>
  </si>
  <si>
    <t>150,000</t>
  </si>
  <si>
    <t>Pinellas</t>
  </si>
  <si>
    <t>250,000</t>
  </si>
  <si>
    <t xml:space="preserve">7,758,813.0 </t>
  </si>
  <si>
    <t>42%</t>
  </si>
  <si>
    <t>443</t>
  </si>
  <si>
    <t>57</t>
  </si>
  <si>
    <t>27</t>
  </si>
  <si>
    <t>39,810.6</t>
  </si>
  <si>
    <t>2024/5/30</t>
  </si>
  <si>
    <t>35,735.3</t>
  </si>
  <si>
    <t>1,424,8</t>
  </si>
  <si>
    <t>52,380</t>
  </si>
  <si>
    <t>(20,527.6)</t>
  </si>
  <si>
    <t>7,500,000</t>
  </si>
  <si>
    <t>16%</t>
  </si>
  <si>
    <t>7,739,530.10</t>
  </si>
  <si>
    <t>65</t>
  </si>
  <si>
    <t>26</t>
  </si>
  <si>
    <t>Various</t>
  </si>
  <si>
    <t>Royal Oaks MHC</t>
  </si>
  <si>
    <t>Royal Oaks Manufactured Housing Community</t>
  </si>
  <si>
    <t>8125 US 1 Highway  Vero Beach, FL 32967</t>
  </si>
  <si>
    <t>8125 US 1 Highway</t>
  </si>
  <si>
    <t>Vero Beach</t>
  </si>
  <si>
    <t>32967</t>
  </si>
  <si>
    <t>81,600.0</t>
  </si>
  <si>
    <t>Indian River</t>
  </si>
  <si>
    <t>952,000.0</t>
  </si>
  <si>
    <t>428,716.0</t>
  </si>
  <si>
    <t>17,558.3</t>
  </si>
  <si>
    <t>450</t>
  </si>
  <si>
    <t>31-39-33-00000-1000-00004-0</t>
  </si>
  <si>
    <t>3,641.7</t>
  </si>
  <si>
    <t>2020/3/20</t>
  </si>
  <si>
    <t>5,200.0</t>
  </si>
  <si>
    <t>2,128.5</t>
  </si>
  <si>
    <t>(7,812.5)</t>
  </si>
  <si>
    <t>1,360,000.0</t>
  </si>
  <si>
    <t>1,367,328.5</t>
  </si>
  <si>
    <t>28</t>
  </si>
  <si>
    <t>Kippy</t>
  </si>
  <si>
    <t>MM</t>
  </si>
  <si>
    <t>Mobile Manor</t>
  </si>
  <si>
    <t>1302 Evering Ave  Rosedale, MD 21237</t>
  </si>
  <si>
    <t>1302 Evering Ave</t>
  </si>
  <si>
    <t>Rosedale</t>
  </si>
  <si>
    <t>21237</t>
  </si>
  <si>
    <t>2019/6/30</t>
  </si>
  <si>
    <t>2019/12/31</t>
  </si>
  <si>
    <t>.05504</t>
  </si>
  <si>
    <t>Baltimore</t>
  </si>
  <si>
    <t>144</t>
  </si>
  <si>
    <t>2,080,000.00</t>
  </si>
  <si>
    <t>FNMA - CONA</t>
  </si>
  <si>
    <t>850,000.00</t>
  </si>
  <si>
    <t>1456.00</t>
  </si>
  <si>
    <t>Hanover Insurance  Policy Number zhsd60968000</t>
  </si>
  <si>
    <t>2019/9/28</t>
  </si>
  <si>
    <t>535</t>
  </si>
  <si>
    <t>.93694</t>
  </si>
  <si>
    <t>127361</t>
  </si>
  <si>
    <t>14-1600006284</t>
  </si>
  <si>
    <t>2018/10/1</t>
  </si>
  <si>
    <t>2,220,000.00</t>
  </si>
  <si>
    <t>2,313,848.00</t>
  </si>
  <si>
    <t>35293.26</t>
  </si>
  <si>
    <t>www.mobilemanormhc.com</t>
  </si>
  <si>
    <t>1511 East Fort Macon Road  Atlantic Beach, NC 28512</t>
  </si>
  <si>
    <t>1511 East Fort Macon Road</t>
  </si>
  <si>
    <t>Atlantic Beach</t>
  </si>
  <si>
    <t>28512</t>
  </si>
  <si>
    <t>17.10</t>
  </si>
  <si>
    <t>03/28/2022</t>
  </si>
  <si>
    <t>183</t>
  </si>
  <si>
    <t>450,000.0</t>
  </si>
  <si>
    <t>450000</t>
  </si>
  <si>
    <t>7.1%</t>
  </si>
  <si>
    <t>Triple S</t>
  </si>
  <si>
    <t>Carteret</t>
  </si>
  <si>
    <t>05/13/2021</t>
  </si>
  <si>
    <t>MH + RV + Marina</t>
  </si>
  <si>
    <t>1,010,000.0</t>
  </si>
  <si>
    <t>14,996,185.4</t>
  </si>
  <si>
    <t>763315</t>
  </si>
  <si>
    <t>893850</t>
  </si>
  <si>
    <t>21708.00</t>
  </si>
  <si>
    <t>Cincinnati Insurance, North Carolina Insurance, Evanston</t>
  </si>
  <si>
    <t>2024/3/8</t>
  </si>
  <si>
    <t>14750000</t>
  </si>
  <si>
    <t>10%</t>
  </si>
  <si>
    <t>EPP0647528</t>
  </si>
  <si>
    <t>Atlantic Beach, NC</t>
  </si>
  <si>
    <t>375</t>
  </si>
  <si>
    <t>1092501</t>
  </si>
  <si>
    <t>54</t>
  </si>
  <si>
    <t>123</t>
  </si>
  <si>
    <t>232</t>
  </si>
  <si>
    <t>638516747368000</t>
  </si>
  <si>
    <t>28,601.0</t>
  </si>
  <si>
    <t>2022/3/10</t>
  </si>
  <si>
    <t>47,160.3</t>
  </si>
  <si>
    <t>11,802.3</t>
  </si>
  <si>
    <t>42,100.0</t>
  </si>
  <si>
    <t>(583,478.2)</t>
  </si>
  <si>
    <t>15,450,000.0</t>
  </si>
  <si>
    <t>56%</t>
  </si>
  <si>
    <t>9%</t>
  </si>
  <si>
    <t>2023/11/2</t>
  </si>
  <si>
    <t>Burpee Commercial</t>
  </si>
  <si>
    <t>Dfischer@burpeecommercial.com</t>
  </si>
  <si>
    <t>Daniel Fischer</t>
  </si>
  <si>
    <t>6158043579</t>
  </si>
  <si>
    <t>NC</t>
  </si>
  <si>
    <t>15,551,062.6</t>
  </si>
  <si>
    <t>181</t>
  </si>
  <si>
    <t>125</t>
  </si>
  <si>
    <t>56</t>
  </si>
  <si>
    <t>235</t>
  </si>
  <si>
    <t>EBA0647528</t>
  </si>
  <si>
    <t>KVLP</t>
  </si>
  <si>
    <t>Knollwood LPs</t>
  </si>
  <si>
    <t>2019/4/20</t>
  </si>
  <si>
    <t>Central Mobile Home Park</t>
  </si>
  <si>
    <t>Central MHC</t>
  </si>
  <si>
    <t>810 Peachtree Street  Cocoa, FL 32922</t>
  </si>
  <si>
    <t>810 Peachtree Street</t>
  </si>
  <si>
    <t>5.18</t>
  </si>
  <si>
    <t>73,200.0</t>
  </si>
  <si>
    <t>80063</t>
  </si>
  <si>
    <t>11.95%</t>
  </si>
  <si>
    <t>29,047.6</t>
  </si>
  <si>
    <t>2,428,746.1</t>
  </si>
  <si>
    <t>-52804</t>
  </si>
  <si>
    <t>202984</t>
  </si>
  <si>
    <t>4630.00</t>
  </si>
  <si>
    <t>2556190</t>
  </si>
  <si>
    <t>39.79</t>
  </si>
  <si>
    <t>160281</t>
  </si>
  <si>
    <t>2424096</t>
  </si>
  <si>
    <t>29047</t>
  </si>
  <si>
    <t>130</t>
  </si>
  <si>
    <t>14,766.6</t>
  </si>
  <si>
    <t>8,489.0</t>
  </si>
  <si>
    <t>9,581.3</t>
  </si>
  <si>
    <t>19001</t>
  </si>
  <si>
    <t>(44,090.9)</t>
  </si>
  <si>
    <t>2,440,000.0</t>
  </si>
  <si>
    <t>2,472,836.9</t>
  </si>
  <si>
    <t>64</t>
  </si>
  <si>
    <t>Royal Palm Trailer Park</t>
  </si>
  <si>
    <t>700 E Ventura Avenue  Clewiston, FL 33440</t>
  </si>
  <si>
    <t>700 E Ventura Avenue</t>
  </si>
  <si>
    <t>31,390.0</t>
  </si>
  <si>
    <t>.06722</t>
  </si>
  <si>
    <t>645,000.0</t>
  </si>
  <si>
    <t>17,200.0</t>
  </si>
  <si>
    <t>205,949.6</t>
  </si>
  <si>
    <t>.82166</t>
  </si>
  <si>
    <t>61545</t>
  </si>
  <si>
    <t>51</t>
  </si>
  <si>
    <t>3014334-01003800010</t>
  </si>
  <si>
    <t>47,780.8</t>
  </si>
  <si>
    <t>8,798.0</t>
  </si>
  <si>
    <t>(3,129.2)</t>
  </si>
  <si>
    <t>785,000.0</t>
  </si>
  <si>
    <t>854,078.8</t>
  </si>
  <si>
    <t>24</t>
  </si>
  <si>
    <t>A2ZND</t>
  </si>
  <si>
    <t>A2Z ND Portfolio Partners</t>
  </si>
  <si>
    <t>Whispering Pines MH FL</t>
  </si>
  <si>
    <t>Whispering PInes FL</t>
  </si>
  <si>
    <t>359 Cheney Hwy  Titusville, FL 32780</t>
  </si>
  <si>
    <t>359 Cheney Hwy</t>
  </si>
  <si>
    <t>Titusville</t>
  </si>
  <si>
    <t>32780</t>
  </si>
  <si>
    <t>17.72</t>
  </si>
  <si>
    <t>06/23/2022</t>
  </si>
  <si>
    <t>300,000.0</t>
  </si>
  <si>
    <t>300000</t>
  </si>
  <si>
    <t>2.1%</t>
  </si>
  <si>
    <t>Whispering Pines FL</t>
  </si>
  <si>
    <t>08/18/2021</t>
  </si>
  <si>
    <t>750,000.0</t>
  </si>
  <si>
    <t>15,037,505.7</t>
  </si>
  <si>
    <t>462494</t>
  </si>
  <si>
    <t>39%</t>
  </si>
  <si>
    <t>512500</t>
  </si>
  <si>
    <t>42458.00</t>
  </si>
  <si>
    <t>Western World, Century, Evanston</t>
  </si>
  <si>
    <t>Titusville, FL</t>
  </si>
  <si>
    <t>315</t>
  </si>
  <si>
    <t>310</t>
  </si>
  <si>
    <t>327</t>
  </si>
  <si>
    <t>309557</t>
  </si>
  <si>
    <t>142</t>
  </si>
  <si>
    <t>19</t>
  </si>
  <si>
    <t>2213506</t>
  </si>
  <si>
    <t>214</t>
  </si>
  <si>
    <t>45,702.9</t>
  </si>
  <si>
    <t>2022/5/18</t>
  </si>
  <si>
    <t>35,031.3</t>
  </si>
  <si>
    <t>27,607.5</t>
  </si>
  <si>
    <t>17,174.0</t>
  </si>
  <si>
    <t>(88,010.0)</t>
  </si>
  <si>
    <t>15,000,000.0</t>
  </si>
  <si>
    <t>60%</t>
  </si>
  <si>
    <t>1%</t>
  </si>
  <si>
    <t>2024/8/3</t>
  </si>
  <si>
    <t>420</t>
  </si>
  <si>
    <t>15,079,812.8</t>
  </si>
  <si>
    <t>202</t>
  </si>
  <si>
    <t>138</t>
  </si>
  <si>
    <t>22</t>
  </si>
  <si>
    <t>https://whisperingpinesfl.com/</t>
  </si>
  <si>
    <t>Lake Wales MHC</t>
  </si>
  <si>
    <t>705 N. Scenic Highway  Lake Wales, FL 33853</t>
  </si>
  <si>
    <t>705 N. Scenic Highway</t>
  </si>
  <si>
    <t>33853</t>
  </si>
  <si>
    <t>37,500.0</t>
  </si>
  <si>
    <t>Lake Wales, MHC</t>
  </si>
  <si>
    <t>Polk</t>
  </si>
  <si>
    <t>680,487.0</t>
  </si>
  <si>
    <t>KeyBank</t>
  </si>
  <si>
    <t>20,000.0</t>
  </si>
  <si>
    <t>845,177.5</t>
  </si>
  <si>
    <t>9,861.2</t>
  </si>
  <si>
    <t>393</t>
  </si>
  <si>
    <t>395</t>
  </si>
  <si>
    <t>29</t>
  </si>
  <si>
    <t>272935-000000-042100</t>
  </si>
  <si>
    <t>12,712.4</t>
  </si>
  <si>
    <t>2021/6/16</t>
  </si>
  <si>
    <t>166,649.0</t>
  </si>
  <si>
    <t>9,057.8</t>
  </si>
  <si>
    <t>64,880.5</t>
  </si>
  <si>
    <t>(12,496.3)</t>
  </si>
  <si>
    <t>1,275,000.0</t>
  </si>
  <si>
    <t>1,515,587.3</t>
  </si>
  <si>
    <t>VMHC</t>
  </si>
  <si>
    <t>7.20%</t>
  </si>
  <si>
    <t>1382511</t>
  </si>
  <si>
    <t>263437</t>
  </si>
  <si>
    <t>108</t>
  </si>
  <si>
    <t>0.04</t>
  </si>
  <si>
    <t>3720000</t>
  </si>
  <si>
    <t>3882511</t>
  </si>
  <si>
    <t>VV</t>
  </si>
  <si>
    <t>Valley View MHC</t>
  </si>
  <si>
    <t>200 Emils Way  Roseburg, OR 97471</t>
  </si>
  <si>
    <t>200 Emils Way</t>
  </si>
  <si>
    <t>Roseburg</t>
  </si>
  <si>
    <t>97471</t>
  </si>
  <si>
    <t>.0636</t>
  </si>
  <si>
    <t>Valley View</t>
  </si>
  <si>
    <t>Douglas</t>
  </si>
  <si>
    <t>NO</t>
  </si>
  <si>
    <t>360</t>
  </si>
  <si>
    <t>1,175,000.00</t>
  </si>
  <si>
    <t>Pacific Premier Bank</t>
  </si>
  <si>
    <t>.0575</t>
  </si>
  <si>
    <t>2,399,257.00</t>
  </si>
  <si>
    <t>2838.00</t>
  </si>
  <si>
    <t>Hanover Insurance - Policy Number ZHSD50233900</t>
  </si>
  <si>
    <t>2019/4/24</t>
  </si>
  <si>
    <t>425</t>
  </si>
  <si>
    <t>.5131</t>
  </si>
  <si>
    <t>152597</t>
  </si>
  <si>
    <t>28-06W-11C-00800 / 28-06W-10DA-03600 / 28-06W-10DD-00100 / 28-06W-11C-00900</t>
  </si>
  <si>
    <t>2018/4/24</t>
  </si>
  <si>
    <t>2,290,000.00</t>
  </si>
  <si>
    <t>www.valleyviewmhp.com</t>
  </si>
  <si>
    <t>ACMHC</t>
  </si>
  <si>
    <t>Apple Creek</t>
  </si>
  <si>
    <t>Apple Creek MHC</t>
  </si>
  <si>
    <t>111 Albatross Drive  Bismarck, ND 58504</t>
  </si>
  <si>
    <t>111 Albatross Drive</t>
  </si>
  <si>
    <t>Bismarck</t>
  </si>
  <si>
    <t>58504</t>
  </si>
  <si>
    <t>.0672</t>
  </si>
  <si>
    <t>Burleigh</t>
  </si>
  <si>
    <t>4,898,040.0</t>
  </si>
  <si>
    <t>.098</t>
  </si>
  <si>
    <t>36,842.1</t>
  </si>
  <si>
    <t>2,229,493.0</t>
  </si>
  <si>
    <t>57,532.0</t>
  </si>
  <si>
    <t>347</t>
  </si>
  <si>
    <t>509150</t>
  </si>
  <si>
    <t>180</t>
  </si>
  <si>
    <t>39-138-79-59-00-000</t>
  </si>
  <si>
    <t>8,296.7</t>
  </si>
  <si>
    <t>15,639.4</t>
  </si>
  <si>
    <t>29,138.4</t>
  </si>
  <si>
    <t>32,547.8</t>
  </si>
  <si>
    <t>(15,621.4)</t>
  </si>
  <si>
    <t>7,000,000.0</t>
  </si>
  <si>
    <t>7,077,325.6</t>
  </si>
  <si>
    <t>208</t>
  </si>
  <si>
    <t>209</t>
  </si>
  <si>
    <t>DIrect</t>
  </si>
  <si>
    <t>Nalls Court MHC</t>
  </si>
  <si>
    <t>1002 &amp; 1009 Nalls Rd  Clewiston, FL 33440</t>
  </si>
  <si>
    <t>1002 &amp; 1009 Nalls Rd</t>
  </si>
  <si>
    <t>Florida</t>
  </si>
  <si>
    <t>Carley's Mobile Home Park</t>
  </si>
  <si>
    <t>4111 NW 37th Ave  Miami, FL 33142</t>
  </si>
  <si>
    <t>4111 NW 37th Ave</t>
  </si>
  <si>
    <t>33142</t>
  </si>
  <si>
    <t>185,000.0</t>
  </si>
  <si>
    <t>4,500,000.0</t>
  </si>
  <si>
    <t>500,000.0</t>
  </si>
  <si>
    <t>4,350,478.5</t>
  </si>
  <si>
    <t>Yes (AH)</t>
  </si>
  <si>
    <t>4100000</t>
  </si>
  <si>
    <t>28,250.0</t>
  </si>
  <si>
    <t>641.65</t>
  </si>
  <si>
    <t>641</t>
  </si>
  <si>
    <t>71</t>
  </si>
  <si>
    <t>30-3121-000-0890</t>
  </si>
  <si>
    <t>26,925.5</t>
  </si>
  <si>
    <t>2022/12/13</t>
  </si>
  <si>
    <t>64,917.4</t>
  </si>
  <si>
    <t>31,665.7</t>
  </si>
  <si>
    <t>27,315.5</t>
  </si>
  <si>
    <t>(78,595.5)</t>
  </si>
  <si>
    <t>8,750,000.0</t>
  </si>
  <si>
    <t>4111 NW 37 Ave</t>
  </si>
  <si>
    <t>8,873,898.5</t>
  </si>
  <si>
    <t>VWPTNR</t>
  </si>
  <si>
    <t>Victoria Woods Partners</t>
  </si>
  <si>
    <t>GBHC</t>
  </si>
  <si>
    <t>Grove Banyan Holdings - C</t>
  </si>
  <si>
    <t>LL</t>
  </si>
  <si>
    <t>Lauder Lakes</t>
  </si>
  <si>
    <t>3001 SW 18th Terrace  Fort Lauderdale, FL 33315</t>
  </si>
  <si>
    <t>3001 SW 18th Terrace</t>
  </si>
  <si>
    <t>Fort Lauderdale</t>
  </si>
  <si>
    <t>33315</t>
  </si>
  <si>
    <t>PFG</t>
  </si>
  <si>
    <t>Parakeet Founders</t>
  </si>
  <si>
    <t>J Bar J Estates</t>
  </si>
  <si>
    <t>2980 NW 79th St  Miami, FL 33147</t>
  </si>
  <si>
    <t>2980 NW 79th St</t>
  </si>
  <si>
    <t>33147</t>
  </si>
  <si>
    <t>5.7</t>
  </si>
  <si>
    <t>770</t>
  </si>
  <si>
    <t>2.43%</t>
  </si>
  <si>
    <t>200,000.0</t>
  </si>
  <si>
    <t>15,334,666.5</t>
  </si>
  <si>
    <t>1865334</t>
  </si>
  <si>
    <t>45%</t>
  </si>
  <si>
    <t>157800</t>
  </si>
  <si>
    <t>46788.00</t>
  </si>
  <si>
    <t>AIX, Westchester, Scottsdale</t>
  </si>
  <si>
    <t>17000000</t>
  </si>
  <si>
    <t>750</t>
  </si>
  <si>
    <t>17,500,000</t>
  </si>
  <si>
    <t>352967</t>
  </si>
  <si>
    <t>97</t>
  </si>
  <si>
    <t>30-3109-015-0070</t>
  </si>
  <si>
    <t>200000</t>
  </si>
  <si>
    <t>40,568.1</t>
  </si>
  <si>
    <t>FSF16768285001</t>
  </si>
  <si>
    <t>20,900,000</t>
  </si>
  <si>
    <t>2021/8/31</t>
  </si>
  <si>
    <t>743,024.3</t>
  </si>
  <si>
    <t>28,013.6</t>
  </si>
  <si>
    <t>28,056.4</t>
  </si>
  <si>
    <t>147842</t>
  </si>
  <si>
    <t>(4,996.0)</t>
  </si>
  <si>
    <t>14,500,000.0</t>
  </si>
  <si>
    <t>55%</t>
  </si>
  <si>
    <t>Oct</t>
  </si>
  <si>
    <t>2024/7/3</t>
  </si>
  <si>
    <t>15,299,094.4</t>
  </si>
  <si>
    <t>99</t>
  </si>
  <si>
    <t>101</t>
  </si>
  <si>
    <t>Mayflower Hills</t>
  </si>
  <si>
    <t>Mayflower Hills MHP</t>
  </si>
  <si>
    <t>0 Patriot Cir  Plymouth, MA 02360</t>
  </si>
  <si>
    <t>0 Patriot Cir</t>
  </si>
  <si>
    <t>Plymouth</t>
  </si>
  <si>
    <t>02360</t>
  </si>
  <si>
    <t>113,750.0</t>
  </si>
  <si>
    <t>.05137</t>
  </si>
  <si>
    <t>2,463,519.7</t>
  </si>
  <si>
    <t>.0392</t>
  </si>
  <si>
    <t>120,000.0</t>
  </si>
  <si>
    <t>1,396,062.8</t>
  </si>
  <si>
    <t>2024/2/12</t>
  </si>
  <si>
    <t>CPS7734461</t>
  </si>
  <si>
    <t>44,570.0</t>
  </si>
  <si>
    <t>540</t>
  </si>
  <si>
    <t>.724</t>
  </si>
  <si>
    <t>202485</t>
  </si>
  <si>
    <t>49</t>
  </si>
  <si>
    <t>076-000-034D-000</t>
  </si>
  <si>
    <t>9,118.6</t>
  </si>
  <si>
    <t>2020/2/5</t>
  </si>
  <si>
    <t>246,000.7</t>
  </si>
  <si>
    <t>16,010.2</t>
  </si>
  <si>
    <t>44,000.0</t>
  </si>
  <si>
    <t>(117.1)</t>
  </si>
  <si>
    <t>3,500,000.0</t>
  </si>
  <si>
    <t>Jun</t>
  </si>
  <si>
    <t>2024/5/2</t>
  </si>
  <si>
    <t>3,806,010.9</t>
  </si>
  <si>
    <t>EZXS3105389</t>
  </si>
  <si>
    <t>TMI</t>
  </si>
  <si>
    <t>Tarheel MHC Investment</t>
  </si>
  <si>
    <t>SJM</t>
  </si>
  <si>
    <t>St John's Marina</t>
  </si>
  <si>
    <t>CWP</t>
  </si>
  <si>
    <t>Cherrywoods Partners</t>
  </si>
  <si>
    <t>KEETII</t>
  </si>
  <si>
    <t>Parakeet MHC Hold Co II</t>
  </si>
  <si>
    <t>All</t>
  </si>
  <si>
    <t>PONDHOM</t>
  </si>
  <si>
    <t>E-Town Homes, LLC</t>
  </si>
  <si>
    <t>E-Town MHP, LLC</t>
  </si>
  <si>
    <t>426 Ponderosa Drive  Elizabethtown, KY 42701</t>
  </si>
  <si>
    <t>426 Ponderosa Drive</t>
  </si>
  <si>
    <t>Elizabethtown</t>
  </si>
  <si>
    <t>42701</t>
  </si>
  <si>
    <t>E Town</t>
  </si>
  <si>
    <t>2019/8/31</t>
  </si>
  <si>
    <t>Bay Oaks Village I</t>
  </si>
  <si>
    <t>409 School Ave  Panama City, FL 32401</t>
  </si>
  <si>
    <t>409 School Ave</t>
  </si>
  <si>
    <t>32401</t>
  </si>
  <si>
    <t>Bay</t>
  </si>
  <si>
    <t>1,797,334.0</t>
  </si>
  <si>
    <t>1,404,863.4</t>
  </si>
  <si>
    <t>.400</t>
  </si>
  <si>
    <t>4,952.6</t>
  </si>
  <si>
    <t>.600</t>
  </si>
  <si>
    <t>23327-000-000</t>
  </si>
  <si>
    <t>10,750.0</t>
  </si>
  <si>
    <t>2021/6/15</t>
  </si>
  <si>
    <t>4,800.0</t>
  </si>
  <si>
    <t>15,239.8</t>
  </si>
  <si>
    <t>38,766.1</t>
  </si>
  <si>
    <t>(22,311.2)</t>
  </si>
  <si>
    <t>3,150,000.0</t>
  </si>
  <si>
    <t>3,208,806.0</t>
  </si>
  <si>
    <t>LSRV</t>
  </si>
  <si>
    <t>Lake Saunders RV</t>
  </si>
  <si>
    <t>NDC</t>
  </si>
  <si>
    <t>ND Communities</t>
  </si>
  <si>
    <t>2 Years</t>
  </si>
  <si>
    <t>FNMA</t>
  </si>
  <si>
    <t>2018/12/21</t>
  </si>
  <si>
    <t>KE</t>
  </si>
  <si>
    <t>Kimball Estates</t>
  </si>
  <si>
    <t>5148 Dove Road  Kimball MI 48074</t>
  </si>
  <si>
    <t>5148 Dove Road</t>
  </si>
  <si>
    <t>Kimball</t>
  </si>
  <si>
    <t>48074</t>
  </si>
  <si>
    <t>St Clair County</t>
  </si>
  <si>
    <t>750000</t>
  </si>
  <si>
    <t>35762</t>
  </si>
  <si>
    <t>1962.00</t>
  </si>
  <si>
    <t>Hanover Insurance Policy #zhsa93669502</t>
  </si>
  <si>
    <t>2019/10/31</t>
  </si>
  <si>
    <t>290</t>
  </si>
  <si>
    <t>2016/11/3</t>
  </si>
  <si>
    <t>1050000</t>
  </si>
  <si>
    <t>1075762</t>
  </si>
  <si>
    <t>68</t>
  </si>
  <si>
    <t>www.kimballestates.com</t>
  </si>
  <si>
    <t>GBH</t>
  </si>
  <si>
    <t>Grove Banyan Holdings</t>
  </si>
  <si>
    <t>WPRV</t>
  </si>
  <si>
    <t>Whispering Pines RV FL</t>
  </si>
  <si>
    <t>206</t>
  </si>
  <si>
    <t>Parakeet I</t>
  </si>
  <si>
    <t>EFII</t>
  </si>
  <si>
    <t>Elimination - Fund II</t>
  </si>
  <si>
    <t>Northgate MHP</t>
  </si>
  <si>
    <t>720 N Main Street  Mt Gilead, OH 43338</t>
  </si>
  <si>
    <t>720 N Main Street</t>
  </si>
  <si>
    <t>Mt Gilead</t>
  </si>
  <si>
    <t>43338</t>
  </si>
  <si>
    <t>.06696</t>
  </si>
  <si>
    <t>Northgate</t>
  </si>
  <si>
    <t>1600000</t>
  </si>
  <si>
    <t>.5</t>
  </si>
  <si>
    <t>95746</t>
  </si>
  <si>
    <t>G20-001-00-565-01</t>
  </si>
  <si>
    <t>1425000</t>
  </si>
  <si>
    <t>1429982</t>
  </si>
  <si>
    <t>72</t>
  </si>
  <si>
    <t>www.northgatemhp.com</t>
  </si>
  <si>
    <t>BG</t>
  </si>
  <si>
    <t>BEDROCK GROUP, LLC</t>
  </si>
  <si>
    <t>2017/1/1</t>
  </si>
  <si>
    <t>HOLD</t>
  </si>
  <si>
    <t>A2Z Hold Co</t>
  </si>
  <si>
    <t>d</t>
  </si>
  <si>
    <t>OBO</t>
  </si>
  <si>
    <t>955 S. Nova Rd  Ormond Beach, FL 32174</t>
  </si>
  <si>
    <t>955 S. Nova Rd</t>
  </si>
  <si>
    <t>Ormond Beach</t>
  </si>
  <si>
    <t>32174</t>
  </si>
  <si>
    <t>46,100.0</t>
  </si>
  <si>
    <t>.06413</t>
  </si>
  <si>
    <t>1,611,982.6</t>
  </si>
  <si>
    <t>908,655.2</t>
  </si>
  <si>
    <t>1,175.0</t>
  </si>
  <si>
    <t>387</t>
  </si>
  <si>
    <t>.75898</t>
  </si>
  <si>
    <t>172984</t>
  </si>
  <si>
    <t>59</t>
  </si>
  <si>
    <t>424204060131</t>
  </si>
  <si>
    <t>136,098.5</t>
  </si>
  <si>
    <t>(40,548.7)</t>
  </si>
  <si>
    <t>2,360,000.0</t>
  </si>
  <si>
    <t>2,560,011.5</t>
  </si>
  <si>
    <t>VAL</t>
  </si>
  <si>
    <t>Valencia</t>
  </si>
  <si>
    <t>UEMHC</t>
  </si>
  <si>
    <t>Underwood Estates</t>
  </si>
  <si>
    <t>Underwood Ave  Plattsburgh, NY 12901</t>
  </si>
  <si>
    <t>Underwood Ave</t>
  </si>
  <si>
    <t>Plattsburgh</t>
  </si>
  <si>
    <t>12901</t>
  </si>
  <si>
    <t>Underwood</t>
  </si>
  <si>
    <t>1,514,019.00</t>
  </si>
  <si>
    <t>Starwood</t>
  </si>
  <si>
    <t>948165</t>
  </si>
  <si>
    <t>.70313</t>
  </si>
  <si>
    <t>69</t>
  </si>
  <si>
    <t>.1</t>
  </si>
  <si>
    <t>2017/11/2</t>
  </si>
  <si>
    <t>2153271</t>
  </si>
  <si>
    <t>2462184</t>
  </si>
  <si>
    <t>www.underwoodestates.com</t>
  </si>
  <si>
    <t>19900 NW 37th Avenue  Miami Gardens, FL 33056</t>
  </si>
  <si>
    <t>19900 NW 37th Avenue</t>
  </si>
  <si>
    <t>Miami Gardens</t>
  </si>
  <si>
    <t>33056</t>
  </si>
  <si>
    <t>384,000.0</t>
  </si>
  <si>
    <t>12,275,000.0</t>
  </si>
  <si>
    <t>4,195,490.9</t>
  </si>
  <si>
    <t>50%</t>
  </si>
  <si>
    <t>410,786.6</t>
  </si>
  <si>
    <t>427.5</t>
  </si>
  <si>
    <t>160</t>
  </si>
  <si>
    <t>34-1132-002-0010</t>
  </si>
  <si>
    <t>27,909.3</t>
  </si>
  <si>
    <t>2023/5/23</t>
  </si>
  <si>
    <t>43,448.7</t>
  </si>
  <si>
    <t>72,697.0</t>
  </si>
  <si>
    <t>83,966.0</t>
  </si>
  <si>
    <t>(52,316.7)</t>
  </si>
  <si>
    <t>15,500,000.0</t>
  </si>
  <si>
    <t>19900 NW 37th Ave</t>
  </si>
  <si>
    <t>16,084,111.7</t>
  </si>
  <si>
    <t>162</t>
  </si>
  <si>
    <t>American Mobile Home Park</t>
  </si>
  <si>
    <t>751 Washington Street  Auburn, MA 01501</t>
  </si>
  <si>
    <t>751 Washington Street</t>
  </si>
  <si>
    <t>Auburn</t>
  </si>
  <si>
    <t>01501</t>
  </si>
  <si>
    <t>LBHOM</t>
  </si>
  <si>
    <t>Lambeth Homes</t>
  </si>
  <si>
    <t>Lambeth MHC</t>
  </si>
  <si>
    <t>4630 South Main Street  Winston-Salem, NC 27107</t>
  </si>
  <si>
    <t>4630 South Main Street</t>
  </si>
  <si>
    <t>Lambeth</t>
  </si>
  <si>
    <t>SVM</t>
  </si>
  <si>
    <t>Sunset View MHP</t>
  </si>
  <si>
    <t>54,325.0</t>
  </si>
  <si>
    <t>.08445</t>
  </si>
  <si>
    <t>Kent</t>
  </si>
  <si>
    <t>.0339</t>
  </si>
  <si>
    <t>1,109,820.0</t>
  </si>
  <si>
    <t>2711.00</t>
  </si>
  <si>
    <t>Hastings Mutual - Policy Number CPP6132346</t>
  </si>
  <si>
    <t>077CD77026000</t>
  </si>
  <si>
    <t>362</t>
  </si>
  <si>
    <t>.99862</t>
  </si>
  <si>
    <t>95378</t>
  </si>
  <si>
    <t>41-14-05-277-004</t>
  </si>
  <si>
    <t>3,434.0</t>
  </si>
  <si>
    <t>4,170.3</t>
  </si>
  <si>
    <t>2,790.9</t>
  </si>
  <si>
    <t>(4,575.3)</t>
  </si>
  <si>
    <t>1,086,500.0</t>
  </si>
  <si>
    <t>2024/10/2</t>
  </si>
  <si>
    <t>MI</t>
  </si>
  <si>
    <t>1,110,961.2</t>
  </si>
  <si>
    <t>52</t>
  </si>
  <si>
    <t>ULC6203743</t>
  </si>
  <si>
    <t>Exact bill? Pro Rata?</t>
  </si>
  <si>
    <t>4.79</t>
  </si>
  <si>
    <t>53,902.0</t>
  </si>
  <si>
    <t>107,803.9</t>
  </si>
  <si>
    <t>166274</t>
  </si>
  <si>
    <t>4.8%</t>
  </si>
  <si>
    <t>Worchester</t>
  </si>
  <si>
    <t>3,803,285.8</t>
  </si>
  <si>
    <t>399,696.7</t>
  </si>
  <si>
    <t>1,819,495.9</t>
  </si>
  <si>
    <t>450614</t>
  </si>
  <si>
    <t>Partial (A)</t>
  </si>
  <si>
    <t>14%</t>
  </si>
  <si>
    <t>255000</t>
  </si>
  <si>
    <t>30943.00</t>
  </si>
  <si>
    <t>Houston Spec'lty, Scottsdale</t>
  </si>
  <si>
    <t>52,888.6</t>
  </si>
  <si>
    <t>Auburn, MA</t>
  </si>
  <si>
    <t>Worcester, MA-CT</t>
  </si>
  <si>
    <t>261087</t>
  </si>
  <si>
    <t>62/002/0000</t>
  </si>
  <si>
    <t>40,160.5</t>
  </si>
  <si>
    <t>American MHP</t>
  </si>
  <si>
    <t>37,931.8</t>
  </si>
  <si>
    <t>12,386.7</t>
  </si>
  <si>
    <t>35,401.7</t>
  </si>
  <si>
    <t>(85.6)</t>
  </si>
  <si>
    <t>5,390,196.0</t>
  </si>
  <si>
    <t>.</t>
  </si>
  <si>
    <t>530</t>
  </si>
  <si>
    <t>5,529,818.2</t>
  </si>
  <si>
    <t>GB</t>
  </si>
  <si>
    <t>Grove Banyan</t>
  </si>
  <si>
    <t>CGMHC</t>
  </si>
  <si>
    <t>Cedar Grove MHC</t>
  </si>
  <si>
    <t>209 Pegg Farm Lane  Kernersville, NC 27284</t>
  </si>
  <si>
    <t>209 Pegg Farm Lane</t>
  </si>
  <si>
    <t>Kernersville</t>
  </si>
  <si>
    <t>27284</t>
  </si>
  <si>
    <t>6.53%</t>
  </si>
  <si>
    <t>Cedar Grove</t>
  </si>
  <si>
    <t>3600000</t>
  </si>
  <si>
    <t>1990816</t>
  </si>
  <si>
    <t>344169</t>
  </si>
  <si>
    <t>121</t>
  </si>
  <si>
    <t>5356800</t>
  </si>
  <si>
    <t>5908160</t>
  </si>
  <si>
    <t>136</t>
  </si>
  <si>
    <t>www.cedargrovemhc.com</t>
  </si>
  <si>
    <t>BSM</t>
  </si>
  <si>
    <t>Beach Street Manor</t>
  </si>
  <si>
    <t>TRAIL</t>
  </si>
  <si>
    <t>Trailerama MHP</t>
  </si>
  <si>
    <t>1571 Overseas Highway  Marathon, FL 33050</t>
  </si>
  <si>
    <t>1571 Overseas Highway</t>
  </si>
  <si>
    <t>Marathon</t>
  </si>
  <si>
    <t>33050</t>
  </si>
  <si>
    <t>MD</t>
  </si>
  <si>
    <t>Mill Dam</t>
  </si>
  <si>
    <t>VOU</t>
  </si>
  <si>
    <t>Vantage Oaks Utility</t>
  </si>
  <si>
    <t>Vantage Oaks Utility, LLC</t>
  </si>
  <si>
    <t>4071 SE 24th Street  Okeechobee, FL 34974</t>
  </si>
  <si>
    <t>4071 SE 24th Street</t>
  </si>
  <si>
    <t>Okeechobee</t>
  </si>
  <si>
    <t>34974</t>
  </si>
  <si>
    <t>Vantage Utility</t>
  </si>
  <si>
    <t>LB</t>
  </si>
  <si>
    <t>Lambeth Manufactured Housing Community</t>
  </si>
  <si>
    <t>4630 South Main Street  Winston-Salem, NC 27127</t>
  </si>
  <si>
    <t>27127</t>
  </si>
  <si>
    <t>.06376</t>
  </si>
  <si>
    <t>1,700,000.00</t>
  </si>
  <si>
    <t>940,107.00</t>
  </si>
  <si>
    <t>.67284</t>
  </si>
  <si>
    <t>168340</t>
  </si>
  <si>
    <t>6832-28-5052 | Block-2706</t>
  </si>
  <si>
    <t>2,526,600.00</t>
  </si>
  <si>
    <t>2,640,108.00</t>
  </si>
  <si>
    <t>www.lambethmhp.com</t>
  </si>
  <si>
    <t>FSH</t>
  </si>
  <si>
    <t>Fishin MHP</t>
  </si>
  <si>
    <t>2201 S Anna Street  Wichita, KS 67209</t>
  </si>
  <si>
    <t>2201 S Anna Street</t>
  </si>
  <si>
    <t>Wichita</t>
  </si>
  <si>
    <t>67209</t>
  </si>
  <si>
    <t>9.99%</t>
  </si>
  <si>
    <t>Fishin</t>
  </si>
  <si>
    <t>Firstier Bank</t>
  </si>
  <si>
    <t>4957.62</t>
  </si>
  <si>
    <t>Penn-Star PAV0075705 and American Modern Home 0077cd76946000</t>
  </si>
  <si>
    <t>2019/10/23</t>
  </si>
  <si>
    <t>255</t>
  </si>
  <si>
    <t>95918</t>
  </si>
  <si>
    <t>2015/10/23</t>
  </si>
  <si>
    <t>960,000.00</t>
  </si>
  <si>
    <t>972,864.00</t>
  </si>
  <si>
    <t>www.fishinmhp.com</t>
  </si>
  <si>
    <t>A2ZI</t>
  </si>
  <si>
    <t>A2Z MH Fund I</t>
  </si>
  <si>
    <t>AW</t>
  </si>
  <si>
    <t>Applegate Water</t>
  </si>
  <si>
    <t>Applegate Community</t>
  </si>
  <si>
    <t>Applegate Utility</t>
  </si>
  <si>
    <t>5300000</t>
  </si>
  <si>
    <t>2023/5/11</t>
  </si>
  <si>
    <t>5499266</t>
  </si>
  <si>
    <t>www.parakeetcommunities.com</t>
  </si>
  <si>
    <t>Meadow Woods Mobile Home Park</t>
  </si>
  <si>
    <t>1790 Massachusetts Ave  Lunenburg, MA 01462</t>
  </si>
  <si>
    <t>1790 Massachusetts Ave</t>
  </si>
  <si>
    <t>Lunenburg</t>
  </si>
  <si>
    <t>01462</t>
  </si>
  <si>
    <t>100,000.0</t>
  </si>
  <si>
    <t>1,666,563.5</t>
  </si>
  <si>
    <t>064-0015-00</t>
  </si>
  <si>
    <t>Meadow Woods MHP</t>
  </si>
  <si>
    <t>2023/4/26</t>
  </si>
  <si>
    <t>36,155.5</t>
  </si>
  <si>
    <t>11,413.4</t>
  </si>
  <si>
    <t>55,723.0</t>
  </si>
  <si>
    <t>13,271.6</t>
  </si>
  <si>
    <t>4,650,000.0</t>
  </si>
  <si>
    <t>41%</t>
  </si>
  <si>
    <t>Aug</t>
  </si>
  <si>
    <t>2023/7/2</t>
  </si>
  <si>
    <t>4,803,291.9</t>
  </si>
  <si>
    <t>KGP</t>
  </si>
  <si>
    <t>Knollwood GP</t>
  </si>
  <si>
    <t>275</t>
  </si>
  <si>
    <t>Easy</t>
  </si>
  <si>
    <t>Easy Living</t>
  </si>
  <si>
    <t>A2ZMHC</t>
  </si>
  <si>
    <t>A2Z MHC</t>
  </si>
  <si>
    <t>BEDROCKGRP</t>
  </si>
  <si>
    <t>BEDROCK I GROUP</t>
  </si>
  <si>
    <t>Bedrock Group</t>
  </si>
  <si>
    <t>Westwood MHP</t>
  </si>
  <si>
    <t>1804 Nelson Av  Ormond Beach, FL 32174</t>
  </si>
  <si>
    <t>1804 Nelson Av</t>
  </si>
  <si>
    <t>64,800.0</t>
  </si>
  <si>
    <t>988,542.0</t>
  </si>
  <si>
    <t>657,749.1</t>
  </si>
  <si>
    <t>22,149.1</t>
  </si>
  <si>
    <t>424204200190</t>
  </si>
  <si>
    <t>4,000.0</t>
  </si>
  <si>
    <t>8,777.8</t>
  </si>
  <si>
    <t>10,000.0</t>
  </si>
  <si>
    <t>(18,635.8)</t>
  </si>
  <si>
    <t>1,620,000.0</t>
  </si>
  <si>
    <t>1,642,777.8</t>
  </si>
  <si>
    <t>Sea Shells Manufactured Housing Community</t>
  </si>
  <si>
    <t>Sea Shells MHP</t>
  </si>
  <si>
    <t>7521 N. Atlantic Ave  Cape Canaveral, FL 32920</t>
  </si>
  <si>
    <t>7521 N. Atlantic Ave</t>
  </si>
  <si>
    <t>Cape Canaveral</t>
  </si>
  <si>
    <t>32920</t>
  </si>
  <si>
    <t>6.96</t>
  </si>
  <si>
    <t>201,000.0</t>
  </si>
  <si>
    <t>236000</t>
  </si>
  <si>
    <t>4.17%</t>
  </si>
  <si>
    <t>Sea Shells</t>
  </si>
  <si>
    <t>70,000.0</t>
  </si>
  <si>
    <t>6,702,257.2</t>
  </si>
  <si>
    <t>24995</t>
  </si>
  <si>
    <t>15%</t>
  </si>
  <si>
    <t>418825</t>
  </si>
  <si>
    <t>11104.00</t>
  </si>
  <si>
    <t>Hallmark, National Union</t>
  </si>
  <si>
    <t>7100000</t>
  </si>
  <si>
    <t>Cape Canaveral, FL</t>
  </si>
  <si>
    <t>495</t>
  </si>
  <si>
    <t>221068</t>
  </si>
  <si>
    <t>82</t>
  </si>
  <si>
    <t>85</t>
  </si>
  <si>
    <t>2435238</t>
  </si>
  <si>
    <t>70000</t>
  </si>
  <si>
    <t>2021/10/25</t>
  </si>
  <si>
    <t>22,899.8</t>
  </si>
  <si>
    <t>2,072.9</t>
  </si>
  <si>
    <t>16,108.6</t>
  </si>
  <si>
    <t>23910</t>
  </si>
  <si>
    <t>(38,824.0)</t>
  </si>
  <si>
    <t>6,700,000.0</t>
  </si>
  <si>
    <t>85%</t>
  </si>
  <si>
    <t>51 Hitching Post Rd</t>
  </si>
  <si>
    <t>6,741,081.2</t>
  </si>
  <si>
    <t>https://seashellsmhp.com/</t>
  </si>
  <si>
    <t>LLOYD</t>
  </si>
  <si>
    <t>Lloyds</t>
  </si>
  <si>
    <t>37.67</t>
  </si>
  <si>
    <t>150,000.0</t>
  </si>
  <si>
    <t>150000</t>
  </si>
  <si>
    <t>8.3%</t>
  </si>
  <si>
    <t>10/28/2021</t>
  </si>
  <si>
    <t>5,026,255.5</t>
  </si>
  <si>
    <t>148745</t>
  </si>
  <si>
    <t>32%</t>
  </si>
  <si>
    <t>379400</t>
  </si>
  <si>
    <t>30500.00</t>
  </si>
  <si>
    <t>Western World, USLI, Century, Dual (Lloyd's), Evanston</t>
  </si>
  <si>
    <t>5125000</t>
  </si>
  <si>
    <t>Okeechobee, FL</t>
  </si>
  <si>
    <t>257.03</t>
  </si>
  <si>
    <t>296.23</t>
  </si>
  <si>
    <t>257</t>
  </si>
  <si>
    <t>415424</t>
  </si>
  <si>
    <t>145</t>
  </si>
  <si>
    <t>1-25-37-35-0A00-00005-A000</t>
  </si>
  <si>
    <t>31,407.1</t>
  </si>
  <si>
    <t>Vantage Oaks Campground</t>
  </si>
  <si>
    <t>2022/6/30</t>
  </si>
  <si>
    <t>53,346.5</t>
  </si>
  <si>
    <t>52.5</t>
  </si>
  <si>
    <t>13,674.0</t>
  </si>
  <si>
    <t>(72,224.7)</t>
  </si>
  <si>
    <t>5,000,000.0</t>
  </si>
  <si>
    <t>66%</t>
  </si>
  <si>
    <t>2%</t>
  </si>
  <si>
    <t>296</t>
  </si>
  <si>
    <t>Harri5</t>
  </si>
  <si>
    <t>derek@harri5.com</t>
  </si>
  <si>
    <t>Derek Harris</t>
  </si>
  <si>
    <t>6028036227</t>
  </si>
  <si>
    <t>4247 SE 25th Dr</t>
  </si>
  <si>
    <t>5,067,073.0</t>
  </si>
  <si>
    <t>231</t>
  </si>
  <si>
    <t>174</t>
  </si>
  <si>
    <t>GBHA</t>
  </si>
  <si>
    <t>Grove Banyan Holdings - A</t>
  </si>
  <si>
    <t>JE</t>
  </si>
  <si>
    <t>Journey's End</t>
  </si>
  <si>
    <t>480 HWY 441 SE  Okeechobee, FL 34974</t>
  </si>
  <si>
    <t>480 HWY 441 SE</t>
  </si>
  <si>
    <t>40.00</t>
  </si>
  <si>
    <t>Journeys End</t>
  </si>
  <si>
    <t>330</t>
  </si>
  <si>
    <t>2020/12/18</t>
  </si>
  <si>
    <t>700,000.00</t>
  </si>
  <si>
    <t>www.journeysendmhc.com</t>
  </si>
  <si>
    <t>A2ZFILP</t>
  </si>
  <si>
    <t>A2Z Fund I LPs</t>
  </si>
  <si>
    <t>WBGP</t>
  </si>
  <si>
    <t>Wolf Bay GP</t>
  </si>
  <si>
    <t>Shady Acres MHC</t>
  </si>
  <si>
    <t>54 Holtz Road  Brunswick, GA 31523</t>
  </si>
  <si>
    <t>54 Holtz Road</t>
  </si>
  <si>
    <t>31523</t>
  </si>
  <si>
    <t>232000</t>
  </si>
  <si>
    <t>0.054</t>
  </si>
  <si>
    <t>368</t>
  </si>
  <si>
    <t>725</t>
  </si>
  <si>
    <t>307464</t>
  </si>
  <si>
    <t>11600000</t>
  </si>
  <si>
    <t>215</t>
  </si>
  <si>
    <t>Lagoon</t>
  </si>
  <si>
    <t>A2Z</t>
  </si>
  <si>
    <t>A2Z Community Partners</t>
  </si>
  <si>
    <t>a2zcp.com</t>
  </si>
  <si>
    <t>RIO</t>
  </si>
  <si>
    <t>Rio Vista MHP</t>
  </si>
  <si>
    <t>5270 Sands Road  Lothian, MD 20711</t>
  </si>
  <si>
    <t>5270 Sands Road</t>
  </si>
  <si>
    <t>Lothian</t>
  </si>
  <si>
    <t>20711</t>
  </si>
  <si>
    <t>Rio Vista</t>
  </si>
  <si>
    <t>7 Years</t>
  </si>
  <si>
    <t>12 Years</t>
  </si>
  <si>
    <t>940000</t>
  </si>
  <si>
    <t>4.00</t>
  </si>
  <si>
    <t>2725000</t>
  </si>
  <si>
    <t>riovistamhp.com</t>
  </si>
  <si>
    <t>1571 Doyle Road  Deltona, FL 32725</t>
  </si>
  <si>
    <t>1571 Doyle Road</t>
  </si>
  <si>
    <t>15.89</t>
  </si>
  <si>
    <t>303,000.0</t>
  </si>
  <si>
    <t>303000</t>
  </si>
  <si>
    <t>4.2%</t>
  </si>
  <si>
    <t>10,170,873.7</t>
  </si>
  <si>
    <t>79126</t>
  </si>
  <si>
    <t>44%</t>
  </si>
  <si>
    <t>401500</t>
  </si>
  <si>
    <t>40865.00</t>
  </si>
  <si>
    <t>Berkley Aspire, Century, Evanston</t>
  </si>
  <si>
    <t>9750000</t>
  </si>
  <si>
    <t>Deltona, FL</t>
  </si>
  <si>
    <t>384.33</t>
  </si>
  <si>
    <t>423093</t>
  </si>
  <si>
    <t>139</t>
  </si>
  <si>
    <t>15</t>
  </si>
  <si>
    <t>910404000010</t>
  </si>
  <si>
    <t>41,153.7</t>
  </si>
  <si>
    <t>Paradise Lakes RV Park</t>
  </si>
  <si>
    <t>2022/8/19</t>
  </si>
  <si>
    <t>52,202.9</t>
  </si>
  <si>
    <t>2,339.4</t>
  </si>
  <si>
    <t>27,500.0</t>
  </si>
  <si>
    <t>(52,322.3)</t>
  </si>
  <si>
    <t>10,100,000.0</t>
  </si>
  <si>
    <t>54%</t>
  </si>
  <si>
    <t>1275</t>
  </si>
  <si>
    <t>2100</t>
  </si>
  <si>
    <t>10,182,042.2</t>
  </si>
  <si>
    <t>196</t>
  </si>
  <si>
    <t>In Rent/Lot Specific</t>
  </si>
  <si>
    <t>https://paradiselakesrvpark.business.site/</t>
  </si>
  <si>
    <t>RVGP</t>
  </si>
  <si>
    <t>Rio Vista GP</t>
  </si>
  <si>
    <t>BHP RIO VISTA GP LLC</t>
  </si>
  <si>
    <t>GSV</t>
  </si>
  <si>
    <t>zGreenspot Village</t>
  </si>
  <si>
    <t>7.41%</t>
  </si>
  <si>
    <t>930000</t>
  </si>
  <si>
    <t>Pacfic Premier Bank</t>
  </si>
  <si>
    <t>5.75000</t>
  </si>
  <si>
    <t>30 Years</t>
  </si>
  <si>
    <t>1942160</t>
  </si>
  <si>
    <t>Colonial Insurance - Policy Number MH15013</t>
  </si>
  <si>
    <t>140874</t>
  </si>
  <si>
    <t xml:space="preserve">6th  </t>
  </si>
  <si>
    <t>1900000</t>
  </si>
  <si>
    <t>www.greenspotvillage.com</t>
  </si>
  <si>
    <t>HSRC</t>
  </si>
  <si>
    <t>Hunter Springs MHC</t>
  </si>
  <si>
    <t>316 NE 2nd Street  Crystal River, FL 34429</t>
  </si>
  <si>
    <t>316 NE 2nd Street</t>
  </si>
  <si>
    <t>Crystal River</t>
  </si>
  <si>
    <t>34429</t>
  </si>
  <si>
    <t>1.62</t>
  </si>
  <si>
    <t>27,450.0</t>
  </si>
  <si>
    <t>27450</t>
  </si>
  <si>
    <t>8.86%</t>
  </si>
  <si>
    <t>Hunter Springs</t>
  </si>
  <si>
    <t>Citrus</t>
  </si>
  <si>
    <t>944,494.5</t>
  </si>
  <si>
    <t>96662</t>
  </si>
  <si>
    <t>132123</t>
  </si>
  <si>
    <t>4482.00</t>
  </si>
  <si>
    <t>Western World, Century</t>
  </si>
  <si>
    <t>1200000</t>
  </si>
  <si>
    <t>Crystal River, FL</t>
  </si>
  <si>
    <t>Homosassa Springs</t>
  </si>
  <si>
    <t>81080</t>
  </si>
  <si>
    <t>1076731</t>
  </si>
  <si>
    <t>185</t>
  </si>
  <si>
    <t>2021/8/16</t>
  </si>
  <si>
    <t>14,250.0</t>
  </si>
  <si>
    <t>(12,205.5)</t>
  </si>
  <si>
    <t>915,000.0</t>
  </si>
  <si>
    <t>625</t>
  </si>
  <si>
    <t>956,700.0</t>
  </si>
  <si>
    <t>VVHOME</t>
  </si>
  <si>
    <t>Valley View Homes</t>
  </si>
  <si>
    <t>PTMHC</t>
  </si>
  <si>
    <t>Parktown MHC</t>
  </si>
  <si>
    <t>703 6th Ave SE  Mandan, ND 58554</t>
  </si>
  <si>
    <t>703 6th Ave SE</t>
  </si>
  <si>
    <t>.05972</t>
  </si>
  <si>
    <t>Parktown</t>
  </si>
  <si>
    <t>944,622.0</t>
  </si>
  <si>
    <t>7,105.3</t>
  </si>
  <si>
    <t>430,518.2</t>
  </si>
  <si>
    <t>11,095.5</t>
  </si>
  <si>
    <t>326</t>
  </si>
  <si>
    <t>87270</t>
  </si>
  <si>
    <t>65-4032000</t>
  </si>
  <si>
    <t>1,600.1</t>
  </si>
  <si>
    <t>3,560.7</t>
  </si>
  <si>
    <t>5,619.6</t>
  </si>
  <si>
    <t>6,277.1</t>
  </si>
  <si>
    <t>(3,012.7)</t>
  </si>
  <si>
    <t>1,350,000.0</t>
  </si>
  <si>
    <t>1,365,457.4</t>
  </si>
  <si>
    <t>POND</t>
  </si>
  <si>
    <t>E Town MHP</t>
  </si>
  <si>
    <t>406 Ponderosa Drive  Elizabethtown, KY 42701</t>
  </si>
  <si>
    <t>406 Ponderosa Drive</t>
  </si>
  <si>
    <t>84</t>
  </si>
  <si>
    <t>2019/8/30</t>
  </si>
  <si>
    <t>www.ponderosamhc.com</t>
  </si>
  <si>
    <t>OCEAN</t>
  </si>
  <si>
    <t>Oceanaire MHC</t>
  </si>
  <si>
    <t>Oceanaire Mobile Home Park</t>
  </si>
  <si>
    <t>1311 Turnbull Street  New Smyrna Beach, FL 32168</t>
  </si>
  <si>
    <t>1311 Turnbull Street</t>
  </si>
  <si>
    <t>New Smyrna Beach</t>
  </si>
  <si>
    <t>32168</t>
  </si>
  <si>
    <t>.04984</t>
  </si>
  <si>
    <t>1,785,000.0</t>
  </si>
  <si>
    <t>473,608.7</t>
  </si>
  <si>
    <t>9,817.5</t>
  </si>
  <si>
    <t>340</t>
  </si>
  <si>
    <t>.789455</t>
  </si>
  <si>
    <t>128620</t>
  </si>
  <si>
    <t>743806000030</t>
  </si>
  <si>
    <t>495.8</t>
  </si>
  <si>
    <t>2020/9/29</t>
  </si>
  <si>
    <t>1,137.5</t>
  </si>
  <si>
    <t>16,923.8</t>
  </si>
  <si>
    <t>(19,766.0)</t>
  </si>
  <si>
    <t>2,200,000.0</t>
  </si>
  <si>
    <t>2,268,061.3</t>
  </si>
  <si>
    <t>HENDS</t>
  </si>
  <si>
    <t>Hendersons MHC</t>
  </si>
  <si>
    <t>950 US Highway 27 N  South Bay, FL 33493</t>
  </si>
  <si>
    <t>950 US Highway 27 N</t>
  </si>
  <si>
    <t>South Bay</t>
  </si>
  <si>
    <t>33493</t>
  </si>
  <si>
    <t>default</t>
  </si>
  <si>
    <t>Default</t>
  </si>
  <si>
    <t>Southgate MHC</t>
  </si>
  <si>
    <t>8817 North Atlantic Ave  Cape Canavaral, FL 32920</t>
  </si>
  <si>
    <t>8817 North Atlantic Ave</t>
  </si>
  <si>
    <t>Cape Canavaral</t>
  </si>
  <si>
    <t>7.47</t>
  </si>
  <si>
    <t>165,000.0</t>
  </si>
  <si>
    <t>165000</t>
  </si>
  <si>
    <t>4.7%</t>
  </si>
  <si>
    <t>09/10/2020</t>
  </si>
  <si>
    <t>55,000.0</t>
  </si>
  <si>
    <t>5,734,624.0</t>
  </si>
  <si>
    <t>315726</t>
  </si>
  <si>
    <t>466600</t>
  </si>
  <si>
    <t>15433.00</t>
  </si>
  <si>
    <t>Western World, Scottsdale, National Union</t>
  </si>
  <si>
    <t>6055000</t>
  </si>
  <si>
    <t>410</t>
  </si>
  <si>
    <t>193000</t>
  </si>
  <si>
    <t>2429663</t>
  </si>
  <si>
    <t>16,579.1</t>
  </si>
  <si>
    <t>Southgate Mobile Homes</t>
  </si>
  <si>
    <t>2022/2/24</t>
  </si>
  <si>
    <t>32,512.7</t>
  </si>
  <si>
    <t>14,450.3</t>
  </si>
  <si>
    <t>19,200.0</t>
  </si>
  <si>
    <t>(13,118.1)</t>
  </si>
  <si>
    <t>5,500,000.0</t>
  </si>
  <si>
    <t>5,731,162.9</t>
  </si>
  <si>
    <t>KEET</t>
  </si>
  <si>
    <t>Parakeet MHC Hold Co I</t>
  </si>
  <si>
    <t>10221 River Road #59831  Potomac MD 20859</t>
  </si>
  <si>
    <t>Parakeet MHC</t>
  </si>
  <si>
    <t>CAMMHC</t>
  </si>
  <si>
    <t>0.07938</t>
  </si>
  <si>
    <t>Jefferson</t>
  </si>
  <si>
    <t>2,300,000.0</t>
  </si>
  <si>
    <t>0.0525</t>
  </si>
  <si>
    <t>40,000.0</t>
  </si>
  <si>
    <t>2,054,894.2</t>
  </si>
  <si>
    <t>3767.00</t>
  </si>
  <si>
    <t xml:space="preserve">Massachusetts Bay Policy zsd21280201 and </t>
  </si>
  <si>
    <t>2023/10/31</t>
  </si>
  <si>
    <t>ZDSD21280205</t>
  </si>
  <si>
    <t>305</t>
  </si>
  <si>
    <t>.46512</t>
  </si>
  <si>
    <t>343216</t>
  </si>
  <si>
    <t>10th</t>
  </si>
  <si>
    <t>73</t>
  </si>
  <si>
    <t>02-8-00320013</t>
  </si>
  <si>
    <t>9,205.0</t>
  </si>
  <si>
    <t>2017/7/2</t>
  </si>
  <si>
    <t>9,432.3</t>
  </si>
  <si>
    <t>17,357.0</t>
  </si>
  <si>
    <t>19,431.0</t>
  </si>
  <si>
    <t>(531.2)</t>
  </si>
  <si>
    <t>4,300,000.0</t>
  </si>
  <si>
    <t>2024/6/2</t>
  </si>
  <si>
    <t>WV</t>
  </si>
  <si>
    <t>4,346,220.4</t>
  </si>
  <si>
    <t>133</t>
  </si>
  <si>
    <t>135</t>
  </si>
  <si>
    <t>WBLP</t>
  </si>
  <si>
    <t>Wolf Bay LP</t>
  </si>
  <si>
    <t>CMHC</t>
  </si>
  <si>
    <t>7.16%</t>
  </si>
  <si>
    <t>2300000</t>
  </si>
  <si>
    <t>1271910</t>
  </si>
  <si>
    <t>241076</t>
  </si>
  <si>
    <t>104</t>
  </si>
  <si>
    <t>3422400</t>
  </si>
  <si>
    <t>3571910</t>
  </si>
  <si>
    <t>FSHPTNRS</t>
  </si>
  <si>
    <t>Fishin Partners</t>
  </si>
  <si>
    <t>2015/10/15</t>
  </si>
  <si>
    <t>LM</t>
  </si>
  <si>
    <t>Lake Marian</t>
  </si>
  <si>
    <t>Silver Breeze MHC</t>
  </si>
  <si>
    <t>925 Cheney Hwy  Titusville, FL 32780</t>
  </si>
  <si>
    <t>925 Cheney Hwy</t>
  </si>
  <si>
    <t>3.54</t>
  </si>
  <si>
    <t>5.0%</t>
  </si>
  <si>
    <t>9/21/2020</t>
  </si>
  <si>
    <t>2,750,000.0</t>
  </si>
  <si>
    <t>2,811,134.6</t>
  </si>
  <si>
    <t>284000</t>
  </si>
  <si>
    <t>16305</t>
  </si>
  <si>
    <t>Berkley Aspire, Westchester, Evanston</t>
  </si>
  <si>
    <t>2800000</t>
  </si>
  <si>
    <t>15,125.0</t>
  </si>
  <si>
    <t>739</t>
  </si>
  <si>
    <t>739.375</t>
  </si>
  <si>
    <t>276538</t>
  </si>
  <si>
    <t>2213536</t>
  </si>
  <si>
    <t>17,298.1</t>
  </si>
  <si>
    <t>Silver Breeze MHP</t>
  </si>
  <si>
    <t>2022/10/20</t>
  </si>
  <si>
    <t>26,444.0</t>
  </si>
  <si>
    <t>830.5</t>
  </si>
  <si>
    <t>26,000.0</t>
  </si>
  <si>
    <t>(24,563.0)</t>
  </si>
  <si>
    <t>59%</t>
  </si>
  <si>
    <t>5,553,274.5</t>
  </si>
  <si>
    <t>Direct/In Rent RV</t>
  </si>
  <si>
    <t>S Florida</t>
  </si>
  <si>
    <t>MW</t>
  </si>
  <si>
    <t>PONDGP</t>
  </si>
  <si>
    <t>E Town GP</t>
  </si>
  <si>
    <t>MMHOME</t>
  </si>
  <si>
    <t>Mobile Manor Homes</t>
  </si>
  <si>
    <t>RG</t>
  </si>
  <si>
    <t>River Grove</t>
  </si>
  <si>
    <t>Moores Hill</t>
  </si>
  <si>
    <t>14633 State Road   #350  Moores Hill, IN 47032</t>
  </si>
  <si>
    <t>14633 State Road   #350</t>
  </si>
  <si>
    <t>47032</t>
  </si>
  <si>
    <t>1219513</t>
  </si>
  <si>
    <t>120000</t>
  </si>
  <si>
    <t>2017/2/4</t>
  </si>
  <si>
    <t>www.mooreshillmhp.com</t>
  </si>
  <si>
    <t>CA</t>
  </si>
  <si>
    <t>2850 N Crede Ave  Crystal River, FL 34428</t>
  </si>
  <si>
    <t>2850 N Crede Ave</t>
  </si>
  <si>
    <t>34428</t>
  </si>
  <si>
    <t>4.89</t>
  </si>
  <si>
    <t>18,750.0</t>
  </si>
  <si>
    <t>87500</t>
  </si>
  <si>
    <t>8.14%</t>
  </si>
  <si>
    <t>950,000.0</t>
  </si>
  <si>
    <t>368,974.7</t>
  </si>
  <si>
    <t>-62543</t>
  </si>
  <si>
    <t>4632.00</t>
  </si>
  <si>
    <t>14,975.0</t>
  </si>
  <si>
    <t>309</t>
  </si>
  <si>
    <t>101712</t>
  </si>
  <si>
    <t>1908027</t>
  </si>
  <si>
    <t>291</t>
  </si>
  <si>
    <t>2,249.1</t>
  </si>
  <si>
    <t>2021/10/27</t>
  </si>
  <si>
    <t>21,903.1</t>
  </si>
  <si>
    <t>2,033.5</t>
  </si>
  <si>
    <t>19,858.6</t>
  </si>
  <si>
    <t>23905</t>
  </si>
  <si>
    <t>(10,794.6)</t>
  </si>
  <si>
    <t>1,250,000.0</t>
  </si>
  <si>
    <t>1,312,545.2</t>
  </si>
  <si>
    <t>14</t>
  </si>
  <si>
    <t>Direct/Submetered</t>
  </si>
  <si>
    <t>ETHC</t>
  </si>
  <si>
    <t>Elimination - Tarheel Hold Co</t>
  </si>
  <si>
    <t>LBMHC</t>
  </si>
  <si>
    <t>7.12%</t>
  </si>
  <si>
    <t>1700000</t>
  </si>
  <si>
    <t>940107</t>
  </si>
  <si>
    <t>177322</t>
  </si>
  <si>
    <t>2526600</t>
  </si>
  <si>
    <t>2640108</t>
  </si>
  <si>
    <t>A2ZCOMM</t>
  </si>
  <si>
    <t>CC</t>
  </si>
  <si>
    <t>Crystal Court</t>
  </si>
  <si>
    <t>PC</t>
  </si>
  <si>
    <t>Parakeet Communities</t>
  </si>
  <si>
    <t>Parakeet Mgmt</t>
  </si>
  <si>
    <t>635 E Eau Gallie Blvd.  Melbourne, FL 32937</t>
  </si>
  <si>
    <t>635 E Eau Gallie Blvd.</t>
  </si>
  <si>
    <t>Melbourne</t>
  </si>
  <si>
    <t>32937</t>
  </si>
  <si>
    <t>8.38</t>
  </si>
  <si>
    <t>190,000.0</t>
  </si>
  <si>
    <t>190000</t>
  </si>
  <si>
    <t>3.6%</t>
  </si>
  <si>
    <t>10/05/2021</t>
  </si>
  <si>
    <t>12,254,749.7</t>
  </si>
  <si>
    <t>95353</t>
  </si>
  <si>
    <t>40%</t>
  </si>
  <si>
    <t>355000</t>
  </si>
  <si>
    <t>46233.00</t>
  </si>
  <si>
    <t>Scottsdale, Nautilus, Global Indemnity</t>
  </si>
  <si>
    <t>12200000</t>
  </si>
  <si>
    <t>Melbourne, FL</t>
  </si>
  <si>
    <t>800</t>
  </si>
  <si>
    <t>435822</t>
  </si>
  <si>
    <t>2715317</t>
  </si>
  <si>
    <t>320</t>
  </si>
  <si>
    <t>46,810.9</t>
  </si>
  <si>
    <t>Lucky Clover Mobile Home &amp; RV Park</t>
  </si>
  <si>
    <t>2022/4/28</t>
  </si>
  <si>
    <t>35,531.6</t>
  </si>
  <si>
    <t>997.5</t>
  </si>
  <si>
    <t>14,674.0</t>
  </si>
  <si>
    <t>(33,264.3)</t>
  </si>
  <si>
    <t>12,000,000.0</t>
  </si>
  <si>
    <t>dustin.wilmer@marcusmillichap.com</t>
  </si>
  <si>
    <t>Dustin Wilmer</t>
  </si>
  <si>
    <t>6193026008</t>
  </si>
  <si>
    <t>12,241,203.1</t>
  </si>
  <si>
    <t>118</t>
  </si>
  <si>
    <t>66</t>
  </si>
  <si>
    <t>Direct MH /In Rent RV</t>
  </si>
  <si>
    <t>http://www.luckycloverrv.com/</t>
  </si>
  <si>
    <t>CPMHC</t>
  </si>
  <si>
    <t>Collins MHC</t>
  </si>
  <si>
    <t>53 Mill Lane  Plattsburgh, NY 12901</t>
  </si>
  <si>
    <t>53 Mill Lane</t>
  </si>
  <si>
    <t>Collins</t>
  </si>
  <si>
    <t>735,981.00</t>
  </si>
  <si>
    <t>460914</t>
  </si>
  <si>
    <t>.70312</t>
  </si>
  <si>
    <t>1046729</t>
  </si>
  <si>
    <t>1196895</t>
  </si>
  <si>
    <t>MED</t>
  </si>
  <si>
    <t>Medallion</t>
  </si>
  <si>
    <t>CG</t>
  </si>
  <si>
    <t>Cedar Grove Manufactured Housing Community</t>
  </si>
  <si>
    <t>.0559</t>
  </si>
  <si>
    <t>3,600,000.00</t>
  </si>
  <si>
    <t>1,990,816.00</t>
  </si>
  <si>
    <t>293</t>
  </si>
  <si>
    <t>328464</t>
  </si>
  <si>
    <t>6887-83-3280 | Block-5410</t>
  </si>
  <si>
    <t>5,356,800.00</t>
  </si>
  <si>
    <t>5,908,160.00</t>
  </si>
  <si>
    <t>PWHOM</t>
  </si>
  <si>
    <t>Parkwood Homes</t>
  </si>
  <si>
    <t>338 Barnes Road Lot 100  Winston Salem, NC 27107</t>
  </si>
  <si>
    <t>338 Barnes Road Lot 100</t>
  </si>
  <si>
    <t>Winston Salem</t>
  </si>
  <si>
    <t>KV</t>
  </si>
  <si>
    <t>Knollwood Village</t>
  </si>
  <si>
    <t>3 Days after PTQ</t>
  </si>
  <si>
    <t>3540000</t>
  </si>
  <si>
    <t>4.63000</t>
  </si>
  <si>
    <t>3000000</t>
  </si>
  <si>
    <t>8.00</t>
  </si>
  <si>
    <t>5750000</t>
  </si>
  <si>
    <t>WP</t>
  </si>
  <si>
    <t>Whispering Pine Estates</t>
  </si>
  <si>
    <t>47 Washington Street  Auburn, MA 01501</t>
  </si>
  <si>
    <t>47 Washington Street</t>
  </si>
  <si>
    <t>BMHC</t>
  </si>
  <si>
    <t>BEDROCK MHC</t>
  </si>
  <si>
    <t>Whispering Pines MA</t>
  </si>
  <si>
    <t>11.16</t>
  </si>
  <si>
    <t>04/11/2022</t>
  </si>
  <si>
    <t>29,405.2</t>
  </si>
  <si>
    <t>58,810.5</t>
  </si>
  <si>
    <t>90708</t>
  </si>
  <si>
    <t>6.9%</t>
  </si>
  <si>
    <t>Whispering Pines</t>
  </si>
  <si>
    <t>2,074,813.1</t>
  </si>
  <si>
    <t>218,047.3</t>
  </si>
  <si>
    <t>986,318.8</t>
  </si>
  <si>
    <t>351714</t>
  </si>
  <si>
    <t>34%</t>
  </si>
  <si>
    <t>245000</t>
  </si>
  <si>
    <t>11550.00</t>
  </si>
  <si>
    <t>27,993.2</t>
  </si>
  <si>
    <t>203720</t>
  </si>
  <si>
    <t>270040000</t>
  </si>
  <si>
    <t>16,315.2</t>
  </si>
  <si>
    <t>Whispering Pines Estates</t>
  </si>
  <si>
    <t>32,671.3</t>
  </si>
  <si>
    <t>6,757.3</t>
  </si>
  <si>
    <t>19,312.8</t>
  </si>
  <si>
    <t>(11,846.1)</t>
  </si>
  <si>
    <t>2,940,523.0</t>
  </si>
  <si>
    <t>63%</t>
  </si>
  <si>
    <t>3%</t>
  </si>
  <si>
    <t>3,028,669.7</t>
  </si>
  <si>
    <t>Lake Saunders MHC</t>
  </si>
  <si>
    <t>4301 County Road 19A  Mt Dora, FL 32757</t>
  </si>
  <si>
    <t>4301 County Road 19A</t>
  </si>
  <si>
    <t>Mt Dora</t>
  </si>
  <si>
    <t>32757</t>
  </si>
  <si>
    <t>4.31</t>
  </si>
  <si>
    <t>6.94%</t>
  </si>
  <si>
    <t>Lake County</t>
  </si>
  <si>
    <t>2,070,394.6</t>
  </si>
  <si>
    <t>379605</t>
  </si>
  <si>
    <t>173000</t>
  </si>
  <si>
    <t>8384.00</t>
  </si>
  <si>
    <t>Northfield, National Union</t>
  </si>
  <si>
    <t>Mt. Dora, FL</t>
  </si>
  <si>
    <t>$2,600,000</t>
  </si>
  <si>
    <t>Orlando-Kissimmee-Sanford</t>
  </si>
  <si>
    <t>138727</t>
  </si>
  <si>
    <t>23-19-26-0003-000-09000</t>
  </si>
  <si>
    <t>$3,200,000</t>
  </si>
  <si>
    <t>18,705.9</t>
  </si>
  <si>
    <t>950.0</t>
  </si>
  <si>
    <t>21,345.2</t>
  </si>
  <si>
    <t>12539</t>
  </si>
  <si>
    <t>(20,606.5)</t>
  </si>
  <si>
    <t>2,000,000.0</t>
  </si>
  <si>
    <t>Mr. MHP</t>
  </si>
  <si>
    <t>dvbologna@hotmail.com</t>
  </si>
  <si>
    <t>Dom Bologna</t>
  </si>
  <si>
    <t>586-524-8845</t>
  </si>
  <si>
    <t>2,091,001.1</t>
  </si>
  <si>
    <t>SGLP</t>
  </si>
  <si>
    <t>Shasta Glen LPs</t>
  </si>
  <si>
    <t>A2ZCP</t>
  </si>
  <si>
    <t>A2Z Community Partners, LLC</t>
  </si>
  <si>
    <t>2014/1/1</t>
  </si>
  <si>
    <t>Bay Oaks Village II</t>
  </si>
  <si>
    <t>420 N Kimbrel Ave  Panama City, FL 32404</t>
  </si>
  <si>
    <t>420 N Kimbrel Ave</t>
  </si>
  <si>
    <t>600,353.0</t>
  </si>
  <si>
    <t>510,497.0</t>
  </si>
  <si>
    <t>4.000</t>
  </si>
  <si>
    <t>06306-001-001</t>
  </si>
  <si>
    <t>5,000.0</t>
  </si>
  <si>
    <t>6,900.0</t>
  </si>
  <si>
    <t>5,490.1</t>
  </si>
  <si>
    <t>45,943.6</t>
  </si>
  <si>
    <t>(7,436.3)</t>
  </si>
  <si>
    <t>1,050,000.0</t>
  </si>
  <si>
    <t>1,108,333.8</t>
  </si>
  <si>
    <t>SC</t>
  </si>
  <si>
    <t>Snappers Cove</t>
  </si>
  <si>
    <t>PCLI</t>
  </si>
  <si>
    <t>Post Cambridge LP Investors</t>
  </si>
  <si>
    <t>1801 Century Park East, #480  Los Angeles, CA 90067</t>
  </si>
  <si>
    <t>1801 Century Park East, #480</t>
  </si>
  <si>
    <t>Los Angeles</t>
  </si>
  <si>
    <t>90067</t>
  </si>
  <si>
    <t>zWB</t>
  </si>
  <si>
    <t>zWolf Bay MHP</t>
  </si>
  <si>
    <t>5 Years</t>
  </si>
  <si>
    <t>477414</t>
  </si>
  <si>
    <t>850000</t>
  </si>
  <si>
    <t>902414</t>
  </si>
  <si>
    <t>www.wolfbaymhp.com</t>
  </si>
  <si>
    <t>810 8th St.  Vero Beach, FL 32962</t>
  </si>
  <si>
    <t>810 8th St.</t>
  </si>
  <si>
    <t>32962</t>
  </si>
  <si>
    <t>9.3</t>
  </si>
  <si>
    <t>0.045</t>
  </si>
  <si>
    <t>Vero Beach, FL</t>
  </si>
  <si>
    <t>521</t>
  </si>
  <si>
    <t>Sebastian-Vero Beach Metro Area</t>
  </si>
  <si>
    <t>3.33912E+19</t>
  </si>
  <si>
    <t>6125000</t>
  </si>
  <si>
    <t>79</t>
  </si>
  <si>
    <t>CG Homes</t>
  </si>
  <si>
    <t>Cedar Grove Homes</t>
  </si>
  <si>
    <t>LCRV</t>
  </si>
  <si>
    <t>Lucky Clover RV</t>
  </si>
  <si>
    <t>12400000</t>
  </si>
  <si>
    <t>EM40</t>
  </si>
  <si>
    <t>Equity Multiple 40</t>
  </si>
  <si>
    <t>MGMT</t>
  </si>
  <si>
    <t>Mobile Management</t>
  </si>
  <si>
    <t>2015/1/1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</si>
</sst>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0%"/>
    <numFmt numFmtId="166" formatCode="0.00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0" fillId="2" borderId="0" xfId="0" applyFill="1"/>
    <xf numFmtId="14" fontId="3" fillId="0" borderId="0" xfId="0" applyNumberFormat="1" applyFont="1"/>
    <xf numFmtId="164" fontId="3" fillId="0" borderId="0" xfId="1" applyFont="1"/>
    <xf numFmtId="0" fontId="3" fillId="0" borderId="0" xfId="0" applyFont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1" applyFont="1" applyBorder="1"/>
    <xf numFmtId="0" fontId="3" fillId="0" borderId="1" xfId="1" applyNumberFormat="1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3" fillId="4" borderId="1" xfId="1" applyFont="1" applyFill="1" applyBorder="1"/>
    <xf numFmtId="164" fontId="3" fillId="3" borderId="1" xfId="1" applyFont="1" applyFill="1" applyBorder="1" applyAlignment="1">
      <alignment horizontal="center"/>
    </xf>
    <xf numFmtId="166" fontId="3" fillId="3" borderId="1" xfId="2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5" borderId="1" xfId="1" applyFont="1" applyFill="1" applyBorder="1"/>
    <xf numFmtId="14" fontId="3" fillId="5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3" fillId="6" borderId="1" xfId="1" applyFont="1" applyFill="1" applyBorder="1"/>
    <xf numFmtId="164" fontId="3" fillId="6" borderId="1" xfId="1" applyFont="1" applyFill="1" applyBorder="1" applyAlignment="1">
      <alignment horizontal="center"/>
    </xf>
    <xf numFmtId="166" fontId="3" fillId="6" borderId="1" xfId="2" applyNumberFormat="1" applyFont="1" applyFill="1" applyBorder="1" applyAlignment="1">
      <alignment horizontal="center"/>
    </xf>
    <xf numFmtId="0" fontId="3" fillId="6" borderId="1" xfId="1" applyNumberFormat="1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14" fontId="3" fillId="6" borderId="1" xfId="0" applyNumberFormat="1" applyFont="1" applyFill="1" applyBorder="1"/>
    <xf numFmtId="10" fontId="3" fillId="6" borderId="1" xfId="0" applyNumberFormat="1" applyFont="1" applyFill="1" applyBorder="1" applyAlignment="1">
      <alignment horizontal="center"/>
    </xf>
    <xf numFmtId="166" fontId="3" fillId="0" borderId="1" xfId="2" applyNumberFormat="1" applyFont="1" applyFill="1" applyBorder="1" applyAlignment="1">
      <alignment horizontal="center"/>
    </xf>
    <xf numFmtId="164" fontId="3" fillId="0" borderId="1" xfId="1" applyFont="1" applyFill="1" applyBorder="1"/>
    <xf numFmtId="0" fontId="3" fillId="0" borderId="1" xfId="1" applyNumberFormat="1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2</xdr:row>
      <xdr:rowOff>22860</xdr:rowOff>
    </xdr:from>
    <xdr:to>
      <xdr:col>7</xdr:col>
      <xdr:colOff>221364</xdr:colOff>
      <xdr:row>23</xdr:row>
      <xdr:rowOff>114641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F912F-977D-C039-3D60-7636B32D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388620"/>
          <a:ext cx="4427604" cy="39322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541020</xdr:colOff>
      <xdr:row>2</xdr:row>
      <xdr:rowOff>45720</xdr:rowOff>
    </xdr:from>
    <xdr:to>
      <xdr:col>14</xdr:col>
      <xdr:colOff>488045</xdr:colOff>
      <xdr:row>24</xdr:row>
      <xdr:rowOff>30827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D21A9-6301-8179-C3F8-4452A165E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8220" y="411480"/>
          <a:ext cx="4214225" cy="40084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83820</xdr:colOff>
      <xdr:row>2</xdr:row>
      <xdr:rowOff>99060</xdr:rowOff>
    </xdr:from>
    <xdr:to>
      <xdr:col>32</xdr:col>
      <xdr:colOff>69477</xdr:colOff>
      <xdr:row>23</xdr:row>
      <xdr:rowOff>7945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0C3FB5-6E40-6595-FA02-77B65D7E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7820" y="464820"/>
          <a:ext cx="10348857" cy="37493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32</xdr:col>
      <xdr:colOff>594360</xdr:colOff>
      <xdr:row>2</xdr:row>
      <xdr:rowOff>160020</xdr:rowOff>
    </xdr:from>
    <xdr:to>
      <xdr:col>47</xdr:col>
      <xdr:colOff>526567</xdr:colOff>
      <xdr:row>16</xdr:row>
      <xdr:rowOff>53553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752514-229E-57E7-2927-3AD58A127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101560" y="525780"/>
          <a:ext cx="9076207" cy="24538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47</xdr:col>
      <xdr:colOff>587530</xdr:colOff>
      <xdr:row>33</xdr:row>
      <xdr:rowOff>76413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E99ADD-156F-7858-1029-FFF7BA96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16800" y="3657600"/>
          <a:ext cx="9121930" cy="24538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49</xdr:col>
      <xdr:colOff>0</xdr:colOff>
      <xdr:row>3</xdr:row>
      <xdr:rowOff>0</xdr:rowOff>
    </xdr:from>
    <xdr:to>
      <xdr:col>51</xdr:col>
      <xdr:colOff>129657</xdr:colOff>
      <xdr:row>34</xdr:row>
      <xdr:rowOff>122422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83F1A7-C29E-0F7A-9A0A-2835AEE3D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70400" y="548640"/>
          <a:ext cx="1348857" cy="57917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sset%20Management%20&amp;%20Finance/Accounting%20Workbooks/_New%20Workbooks/Mortgage%20Tracker_v1.xlsx" TargetMode="External"/><Relationship Id="rId2" Type="http://schemas.openxmlformats.org/officeDocument/2006/relationships/externalLinkPath" Target="https://parakeetcommunities.sharepoint.com/sites/main/Shared%20Documents/Asset%20Management%20&amp;%20Finance/Accounting%20Workbooks/_New%20Workbooks/Mortgage%20Tracker_v1.xlsx" TargetMode="External"/><Relationship Id="rId1" Type="http://schemas.openxmlformats.org/officeDocument/2006/relationships/externalLinkPath" Target="/sites/main/Shared%20Documents/Asset%20Management%20&amp;%20Finance/Accounting%20Workbooks/_New%20Workbooks/Mortgage%20Tracker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bt Overview"/>
      <sheetName val="Sheet1"/>
      <sheetName val="Access Info"/>
      <sheetName val="WORKBOOKS--&gt;"/>
      <sheetName val="WSRED2_KEY"/>
      <sheetName val="WSRED_KEY"/>
      <sheetName val="UBS_WF"/>
      <sheetName val="KEY_FUNDII"/>
      <sheetName val="SILVER"/>
      <sheetName val="GEIG"/>
      <sheetName val="CAP1 - MAY"/>
      <sheetName val="CAP1 - LLMHC"/>
      <sheetName val="VN"/>
      <sheetName val="SOFR"/>
      <sheetName val="RESERVE REIMBURSEMENTS--&gt;"/>
      <sheetName val="Summary"/>
      <sheetName val="Reimbursements"/>
    </sheetNames>
    <sheetDataSet>
      <sheetData sheetId="0"/>
      <sheetData sheetId="1"/>
      <sheetData sheetId="2"/>
      <sheetData sheetId="3"/>
      <sheetData sheetId="4"/>
      <sheetData sheetId="5">
        <row r="6">
          <cell r="C6" t="str">
            <v>SSS</v>
          </cell>
        </row>
      </sheetData>
      <sheetData sheetId="6">
        <row r="6">
          <cell r="C6" t="str">
            <v>AMER</v>
          </cell>
          <cell r="D6">
            <v>1477277</v>
          </cell>
        </row>
        <row r="7">
          <cell r="C7" t="str">
            <v>WPMA</v>
          </cell>
          <cell r="D7">
            <v>2684398</v>
          </cell>
        </row>
        <row r="8">
          <cell r="C8" t="str">
            <v>MON</v>
          </cell>
          <cell r="D8">
            <v>2652426</v>
          </cell>
        </row>
        <row r="9">
          <cell r="C9" t="str">
            <v>EG</v>
          </cell>
          <cell r="D9">
            <v>1926623</v>
          </cell>
        </row>
        <row r="10">
          <cell r="C10" t="str">
            <v>RP</v>
          </cell>
          <cell r="D10">
            <v>1802239</v>
          </cell>
        </row>
        <row r="11">
          <cell r="C11" t="str">
            <v>HEND</v>
          </cell>
          <cell r="D11">
            <v>2717319</v>
          </cell>
        </row>
        <row r="12">
          <cell r="C12" t="str">
            <v>NALLS</v>
          </cell>
          <cell r="D12">
            <v>739718</v>
          </cell>
        </row>
      </sheetData>
      <sheetData sheetId="7">
        <row r="6">
          <cell r="C6" t="str">
            <v>BOVI</v>
          </cell>
          <cell r="D6">
            <v>1860461.4785</v>
          </cell>
        </row>
        <row r="7">
          <cell r="C7" t="str">
            <v>BOVII</v>
          </cell>
          <cell r="D7">
            <v>677066.755</v>
          </cell>
        </row>
        <row r="8">
          <cell r="C8" t="str">
            <v>LW</v>
          </cell>
          <cell r="D8">
            <v>783042.36</v>
          </cell>
        </row>
        <row r="9">
          <cell r="C9" t="str">
            <v>GULF</v>
          </cell>
          <cell r="D9">
            <v>986162.38650000014</v>
          </cell>
        </row>
        <row r="10">
          <cell r="C10" t="str">
            <v>WOLF</v>
          </cell>
          <cell r="D10">
            <v>809536.61199999996</v>
          </cell>
        </row>
        <row r="11">
          <cell r="C11" t="str">
            <v>TCMHC</v>
          </cell>
          <cell r="D11">
            <v>942005.76749999996</v>
          </cell>
        </row>
        <row r="12">
          <cell r="C12" t="str">
            <v>WW</v>
          </cell>
          <cell r="D12">
            <v>956724.64049999998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cho Lapitan" refreshedDate="45675.128621180556" createdVersion="8" refreshedVersion="8" minRefreshableVersion="3" recordCount="37" xr:uid="{57239929-FA47-4E11-B9A2-4B2C6F836CF1}">
  <cacheSource type="worksheet">
    <worksheetSource ref="A3:L73" sheet="Debt Overview"/>
  </cacheSource>
  <cacheFields count="10">
    <cacheField name="Short" numFmtId="0">
      <sharedItems/>
    </cacheField>
    <cacheField name="Lender" numFmtId="0">
      <sharedItems count="7">
        <s v="Capital One - Lamberton"/>
        <s v="Capital One - Mayflower"/>
        <s v="UBS"/>
        <s v="Keybank - WSRED"/>
        <s v="Key Bank - Fund II"/>
        <s v="First State Bank"/>
        <s v="Capital One" u="1"/>
      </sharedItems>
    </cacheField>
    <cacheField name="Community" numFmtId="0">
      <sharedItems count="37">
        <s v="Lamberton Lake"/>
        <s v="Mayflower"/>
        <s v="American"/>
        <s v="Monson"/>
        <s v="Whispering Pines Mass"/>
        <s v="Everglades"/>
        <s v="Royal Palm"/>
        <s v="Hendersons"/>
        <s v="Nalls"/>
        <s v="Applegate"/>
        <s v="Belle Haven"/>
        <s v="Carley's"/>
        <s v="Central"/>
        <s v="Congress"/>
        <s v="Harbour"/>
        <s v="J Bar J"/>
        <s v="Lake Saunders"/>
        <s v="Lucky Clover"/>
        <s v="Palm Haven"/>
        <s v="Paradise Lakes"/>
        <s v="Riviera"/>
        <s v="River Oaks"/>
        <s v="SeaShells"/>
        <s v="Shady Oaks"/>
        <s v="Southgate"/>
        <s v="Tradewinds"/>
        <s v="Triple S Marina"/>
        <s v="Vantage Oaks"/>
        <s v="Whispering Pines MH &amp; RV"/>
        <s v="Bay Oaks I"/>
        <s v="Bay Oaks II"/>
        <s v="Gulf Breeze"/>
        <s v="Lake Wales"/>
        <s v="Town &amp; Country"/>
        <s v="Westwood"/>
        <s v="Wolf Bay"/>
        <s v="Geiger"/>
      </sharedItems>
    </cacheField>
    <cacheField name="Initial Loan Amount" numFmtId="0">
      <sharedItems containsSemiMixedTypes="0" containsString="0" containsNumber="1" minValue="677066.755" maxValue="14010000"/>
    </cacheField>
    <cacheField name="IO Field" numFmtId="164">
      <sharedItems containsNonDate="0" containsString="0" containsBlank="1"/>
    </cacheField>
    <cacheField name="Rate" numFmtId="165">
      <sharedItems containsSemiMixedTypes="0" containsString="0" containsNumber="1" minValue="3.9199999999999999E-2" maxValue="7.1935100000000002E-2"/>
    </cacheField>
    <cacheField name="Term (Years)" numFmtId="0">
      <sharedItems containsSemiMixedTypes="0" containsString="0" containsNumber="1" containsInteger="1" minValue="3" maxValue="12"/>
    </cacheField>
    <cacheField name="Orig Date" numFmtId="14">
      <sharedItems containsSemiMixedTypes="0" containsNonDate="0" containsDate="1" containsString="0" minDate="2019-10-31T00:00:00" maxDate="2024-05-31T00:00:00"/>
    </cacheField>
    <cacheField name="Maturity Date" numFmtId="14">
      <sharedItems containsSemiMixedTypes="0" containsNonDate="0" containsDate="1" containsString="0" minDate="2026-11-01T00:00:00" maxDate="2032-02-13T00:00:00"/>
    </cacheField>
    <cacheField name="Extension Op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LLMHC"/>
    <x v="0"/>
    <x v="0"/>
    <n v="1085000"/>
    <m/>
    <n v="4.0500000000000001E-2"/>
    <n v="12"/>
    <d v="2019-10-31T00:00:00"/>
    <d v="2031-10-31T00:00:00"/>
    <m/>
  </r>
  <r>
    <s v="MAY"/>
    <x v="1"/>
    <x v="1"/>
    <n v="2534000"/>
    <m/>
    <n v="3.9199999999999999E-2"/>
    <n v="12"/>
    <d v="2020-02-12T00:00:00"/>
    <d v="2032-02-12T00:00:00"/>
    <m/>
  </r>
  <r>
    <s v="AMER"/>
    <x v="2"/>
    <x v="2"/>
    <n v="1477277"/>
    <m/>
    <n v="7.034E-2"/>
    <n v="5"/>
    <d v="2024-05-13T00:00:00"/>
    <d v="2029-06-06T00:00:00"/>
    <m/>
  </r>
  <r>
    <s v="MON"/>
    <x v="2"/>
    <x v="3"/>
    <n v="2652426"/>
    <m/>
    <n v="7.034E-2"/>
    <n v="5"/>
    <d v="2024-05-13T00:00:00"/>
    <d v="2029-06-06T00:00:00"/>
    <m/>
  </r>
  <r>
    <s v="WPMA"/>
    <x v="2"/>
    <x v="4"/>
    <n v="2684398"/>
    <m/>
    <n v="7.034E-2"/>
    <n v="5"/>
    <d v="2024-05-13T00:00:00"/>
    <d v="2029-06-06T00:00:00"/>
    <m/>
  </r>
  <r>
    <s v="EG"/>
    <x v="2"/>
    <x v="5"/>
    <n v="1926623"/>
    <m/>
    <n v="7.034E-2"/>
    <n v="5"/>
    <d v="2024-05-13T00:00:00"/>
    <d v="2029-06-06T00:00:00"/>
    <m/>
  </r>
  <r>
    <s v="RP"/>
    <x v="2"/>
    <x v="6"/>
    <n v="1802239"/>
    <m/>
    <n v="7.034E-2"/>
    <n v="5"/>
    <d v="2024-05-13T00:00:00"/>
    <d v="2029-06-06T00:00:00"/>
    <m/>
  </r>
  <r>
    <s v="HEND"/>
    <x v="2"/>
    <x v="7"/>
    <n v="2717319"/>
    <m/>
    <n v="7.034E-2"/>
    <n v="5"/>
    <d v="2024-05-13T00:00:00"/>
    <d v="2029-06-06T00:00:00"/>
    <m/>
  </r>
  <r>
    <s v="NALLS"/>
    <x v="2"/>
    <x v="8"/>
    <n v="739718"/>
    <m/>
    <n v="7.034E-2"/>
    <n v="5"/>
    <d v="2024-05-13T00:00:00"/>
    <d v="2029-06-06T00:00:00"/>
    <m/>
  </r>
  <r>
    <s v="APPLE"/>
    <x v="3"/>
    <x v="9"/>
    <n v="4520000"/>
    <m/>
    <n v="7.1499999999999994E-2"/>
    <n v="3"/>
    <d v="2024-05-30T00:00:00"/>
    <d v="2027-06-09T00:00:00"/>
    <m/>
  </r>
  <r>
    <s v="BELL"/>
    <x v="3"/>
    <x v="10"/>
    <n v="3923000"/>
    <m/>
    <n v="7.1499999999999994E-2"/>
    <n v="3"/>
    <d v="2024-05-30T00:00:00"/>
    <d v="2027-06-09T00:00:00"/>
    <m/>
  </r>
  <r>
    <s v="CARL"/>
    <x v="3"/>
    <x v="11"/>
    <n v="5260000"/>
    <m/>
    <n v="7.1499999999999994E-2"/>
    <n v="3"/>
    <d v="2024-05-30T00:00:00"/>
    <d v="2027-06-09T00:00:00"/>
    <m/>
  </r>
  <r>
    <s v="CENT"/>
    <x v="3"/>
    <x v="12"/>
    <n v="2480000"/>
    <m/>
    <n v="7.1499999999999994E-2"/>
    <n v="3"/>
    <d v="2024-05-30T00:00:00"/>
    <d v="2027-06-09T00:00:00"/>
    <m/>
  </r>
  <r>
    <s v="CONG"/>
    <x v="3"/>
    <x v="13"/>
    <n v="1990000"/>
    <m/>
    <n v="7.1499999999999994E-2"/>
    <n v="3"/>
    <d v="2024-05-30T00:00:00"/>
    <d v="2027-06-09T00:00:00"/>
    <m/>
  </r>
  <r>
    <s v="HARB"/>
    <x v="3"/>
    <x v="14"/>
    <n v="1710000"/>
    <m/>
    <n v="7.1499999999999994E-2"/>
    <n v="3"/>
    <d v="2024-05-30T00:00:00"/>
    <d v="2027-06-09T00:00:00"/>
    <m/>
  </r>
  <r>
    <s v="JBJ"/>
    <x v="3"/>
    <x v="15"/>
    <n v="9750000"/>
    <m/>
    <n v="7.1499999999999994E-2"/>
    <n v="3"/>
    <d v="2024-05-30T00:00:00"/>
    <d v="2027-06-09T00:00:00"/>
    <m/>
  </r>
  <r>
    <s v="LS"/>
    <x v="3"/>
    <x v="16"/>
    <n v="1650000"/>
    <m/>
    <n v="7.1499999999999994E-2"/>
    <n v="3"/>
    <d v="2024-05-30T00:00:00"/>
    <d v="2027-06-09T00:00:00"/>
    <m/>
  </r>
  <r>
    <s v="LUCK"/>
    <x v="3"/>
    <x v="17"/>
    <n v="8927000"/>
    <m/>
    <n v="7.1499999999999994E-2"/>
    <n v="3"/>
    <d v="2024-05-30T00:00:00"/>
    <d v="2027-06-09T00:00:00"/>
    <m/>
  </r>
  <r>
    <s v="PPH"/>
    <x v="3"/>
    <x v="18"/>
    <n v="2100000"/>
    <m/>
    <n v="7.1499999999999994E-2"/>
    <n v="3"/>
    <d v="2024-05-30T00:00:00"/>
    <d v="2027-06-09T00:00:00"/>
    <m/>
  </r>
  <r>
    <s v="PL"/>
    <x v="3"/>
    <x v="19"/>
    <n v="8720000"/>
    <m/>
    <n v="7.1499999999999994E-2"/>
    <n v="3"/>
    <d v="2024-05-30T00:00:00"/>
    <d v="2027-06-09T00:00:00"/>
    <m/>
  </r>
  <r>
    <s v="RIV"/>
    <x v="3"/>
    <x v="20"/>
    <n v="14010000"/>
    <m/>
    <n v="7.1499999999999994E-2"/>
    <n v="3"/>
    <d v="2024-05-30T00:00:00"/>
    <d v="2027-06-09T00:00:00"/>
    <m/>
  </r>
  <r>
    <s v="RO"/>
    <x v="3"/>
    <x v="21"/>
    <n v="5850000"/>
    <m/>
    <n v="7.1499999999999994E-2"/>
    <n v="3"/>
    <d v="2024-05-30T00:00:00"/>
    <d v="2027-06-09T00:00:00"/>
    <m/>
  </r>
  <r>
    <s v="SS"/>
    <x v="3"/>
    <x v="22"/>
    <n v="5400000"/>
    <m/>
    <n v="7.1499999999999994E-2"/>
    <n v="3"/>
    <d v="2024-05-30T00:00:00"/>
    <d v="2027-06-09T00:00:00"/>
    <m/>
  </r>
  <r>
    <s v="SO"/>
    <x v="3"/>
    <x v="23"/>
    <n v="2430000"/>
    <m/>
    <n v="7.1499999999999994E-2"/>
    <n v="3"/>
    <d v="2024-05-30T00:00:00"/>
    <d v="2027-06-09T00:00:00"/>
    <m/>
  </r>
  <r>
    <s v="SOUTH"/>
    <x v="3"/>
    <x v="24"/>
    <n v="4140000"/>
    <m/>
    <n v="7.1499999999999994E-2"/>
    <n v="3"/>
    <d v="2024-05-30T00:00:00"/>
    <d v="2027-06-09T00:00:00"/>
    <m/>
  </r>
  <r>
    <s v="TRADE"/>
    <x v="3"/>
    <x v="25"/>
    <n v="3470000"/>
    <m/>
    <n v="7.1499999999999994E-2"/>
    <n v="3"/>
    <d v="2024-05-30T00:00:00"/>
    <d v="2027-06-09T00:00:00"/>
    <m/>
  </r>
  <r>
    <s v="SSS"/>
    <x v="3"/>
    <x v="26"/>
    <n v="12600000"/>
    <m/>
    <n v="7.1499999999999994E-2"/>
    <n v="3"/>
    <d v="2024-05-30T00:00:00"/>
    <d v="2027-06-09T00:00:00"/>
    <m/>
  </r>
  <r>
    <s v="VO"/>
    <x v="3"/>
    <x v="27"/>
    <n v="5570000"/>
    <m/>
    <n v="7.1499999999999994E-2"/>
    <n v="3"/>
    <d v="2024-05-30T00:00:00"/>
    <d v="2027-06-09T00:00:00"/>
    <m/>
  </r>
  <r>
    <s v="WPMH"/>
    <x v="3"/>
    <x v="28"/>
    <n v="8550000"/>
    <m/>
    <n v="7.1499999999999994E-2"/>
    <n v="3"/>
    <d v="2024-05-30T00:00:00"/>
    <d v="2027-06-09T00:00:00"/>
    <m/>
  </r>
  <r>
    <s v="BOVI"/>
    <x v="4"/>
    <x v="29"/>
    <n v="1860461.4785"/>
    <m/>
    <n v="5.0500000000000003E-2"/>
    <n v="5"/>
    <d v="2021-10-26T00:00:00"/>
    <d v="2026-11-01T00:00:00"/>
    <m/>
  </r>
  <r>
    <s v="BOVII"/>
    <x v="4"/>
    <x v="30"/>
    <n v="677066.755"/>
    <m/>
    <n v="5.0500000000000003E-2"/>
    <n v="5"/>
    <d v="2021-10-26T00:00:00"/>
    <d v="2026-11-01T00:00:00"/>
    <m/>
  </r>
  <r>
    <s v="GULF"/>
    <x v="4"/>
    <x v="31"/>
    <n v="986162.38650000014"/>
    <m/>
    <n v="5.0500000000000003E-2"/>
    <n v="5"/>
    <d v="2021-10-26T00:00:00"/>
    <d v="2026-11-01T00:00:00"/>
    <m/>
  </r>
  <r>
    <s v="LW"/>
    <x v="4"/>
    <x v="32"/>
    <n v="783042.36"/>
    <m/>
    <n v="5.0500000000000003E-2"/>
    <n v="5"/>
    <d v="2021-10-26T00:00:00"/>
    <d v="2026-11-01T00:00:00"/>
    <m/>
  </r>
  <r>
    <s v="TCMHC"/>
    <x v="4"/>
    <x v="33"/>
    <n v="942005.76749999996"/>
    <m/>
    <n v="5.0500000000000003E-2"/>
    <n v="5"/>
    <d v="2021-10-26T00:00:00"/>
    <d v="2026-11-01T00:00:00"/>
    <m/>
  </r>
  <r>
    <s v="WW"/>
    <x v="4"/>
    <x v="34"/>
    <n v="956724.64049999998"/>
    <m/>
    <n v="5.0500000000000003E-2"/>
    <n v="5"/>
    <d v="2021-10-26T00:00:00"/>
    <d v="2026-11-01T00:00:00"/>
    <m/>
  </r>
  <r>
    <s v="WOLF"/>
    <x v="4"/>
    <x v="35"/>
    <n v="809536.61199999996"/>
    <m/>
    <n v="5.0500000000000003E-2"/>
    <n v="5"/>
    <d v="2021-10-26T00:00:00"/>
    <d v="2026-11-01T00:00:00"/>
    <m/>
  </r>
  <r>
    <s v="GKRV"/>
    <x v="5"/>
    <x v="36"/>
    <n v="9150000"/>
    <m/>
    <n v="7.1935100000000002E-2"/>
    <n v="5"/>
    <d v="2023-01-13T00:00:00"/>
    <d v="2028-01-15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5DF1E-8884-4ABF-A6F6-6BD758513BC4}" name="PivotTable1" cacheId="70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10">
    <pivotField showAll="0"/>
    <pivotField axis="axisRow" showAll="0">
      <items count="8">
        <item m="1" x="6"/>
        <item x="5"/>
        <item x="4"/>
        <item x="3"/>
        <item x="2"/>
        <item x="0"/>
        <item x="1"/>
        <item t="default"/>
      </items>
    </pivotField>
    <pivotField axis="axisRow" showAll="0">
      <items count="38">
        <item x="2"/>
        <item x="9"/>
        <item x="29"/>
        <item x="30"/>
        <item x="10"/>
        <item x="11"/>
        <item x="12"/>
        <item x="13"/>
        <item x="5"/>
        <item x="36"/>
        <item x="31"/>
        <item x="14"/>
        <item x="7"/>
        <item x="15"/>
        <item x="16"/>
        <item x="32"/>
        <item x="0"/>
        <item x="17"/>
        <item x="1"/>
        <item x="3"/>
        <item x="8"/>
        <item x="18"/>
        <item x="19"/>
        <item x="21"/>
        <item x="20"/>
        <item x="6"/>
        <item x="22"/>
        <item x="23"/>
        <item x="24"/>
        <item x="33"/>
        <item x="25"/>
        <item x="26"/>
        <item x="27"/>
        <item x="34"/>
        <item x="4"/>
        <item x="28"/>
        <item x="3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44">
    <i>
      <x v="1"/>
    </i>
    <i r="1">
      <x v="9"/>
    </i>
    <i>
      <x v="2"/>
    </i>
    <i r="1">
      <x v="2"/>
    </i>
    <i r="1">
      <x v="3"/>
    </i>
    <i r="1">
      <x v="10"/>
    </i>
    <i r="1">
      <x v="15"/>
    </i>
    <i r="1">
      <x v="29"/>
    </i>
    <i r="1">
      <x v="33"/>
    </i>
    <i r="1">
      <x v="36"/>
    </i>
    <i>
      <x v="3"/>
    </i>
    <i r="1">
      <x v="1"/>
    </i>
    <i r="1">
      <x v="4"/>
    </i>
    <i r="1">
      <x v="5"/>
    </i>
    <i r="1">
      <x v="6"/>
    </i>
    <i r="1">
      <x v="7"/>
    </i>
    <i r="1">
      <x v="11"/>
    </i>
    <i r="1">
      <x v="13"/>
    </i>
    <i r="1">
      <x v="14"/>
    </i>
    <i r="1">
      <x v="17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5"/>
    </i>
    <i>
      <x v="4"/>
    </i>
    <i r="1">
      <x/>
    </i>
    <i r="1">
      <x v="8"/>
    </i>
    <i r="1">
      <x v="12"/>
    </i>
    <i r="1">
      <x v="19"/>
    </i>
    <i r="1">
      <x v="20"/>
    </i>
    <i r="1">
      <x v="25"/>
    </i>
    <i r="1">
      <x v="34"/>
    </i>
    <i>
      <x v="5"/>
    </i>
    <i r="1">
      <x v="16"/>
    </i>
    <i>
      <x v="6"/>
    </i>
    <i r="1">
      <x v="18"/>
    </i>
    <i t="grand">
      <x/>
    </i>
  </rowItems>
  <colItems count="1">
    <i/>
  </colItems>
  <dataFields count="1">
    <dataField name="Sum of Initial Loan Amount" fld="3" baseField="0" baseItem="0"/>
  </dataFields>
  <formats count="24">
    <format dxfId="155">
      <pivotArea type="all" dataOnly="0" outline="0" fieldPosition="0"/>
    </format>
    <format dxfId="156">
      <pivotArea outline="0" collapsedLevelsAreSubtotals="1" fieldPosition="0"/>
    </format>
    <format dxfId="157">
      <pivotArea field="1" type="button" dataOnly="0" labelOnly="1" outline="0" axis="axisRow" fieldPosition="0"/>
    </format>
    <format dxfId="158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60">
      <pivotArea dataOnly="0" labelOnly="1" fieldPosition="0">
        <references count="2">
          <reference field="1" count="1" selected="0">
            <x v="1"/>
          </reference>
          <reference field="2" count="1">
            <x v="9"/>
          </reference>
        </references>
      </pivotArea>
    </format>
    <format dxfId="161">
      <pivotArea dataOnly="0" labelOnly="1" fieldPosition="0">
        <references count="2">
          <reference field="1" count="1" selected="0">
            <x v="2"/>
          </reference>
          <reference field="2" count="7">
            <x v="2"/>
            <x v="3"/>
            <x v="10"/>
            <x v="15"/>
            <x v="29"/>
            <x v="33"/>
            <x v="36"/>
          </reference>
        </references>
      </pivotArea>
    </format>
    <format dxfId="162">
      <pivotArea dataOnly="0" labelOnly="1" fieldPosition="0">
        <references count="2">
          <reference field="1" count="1" selected="0">
            <x v="3"/>
          </reference>
          <reference field="2" count="20">
            <x v="1"/>
            <x v="4"/>
            <x v="5"/>
            <x v="6"/>
            <x v="7"/>
            <x v="11"/>
            <x v="13"/>
            <x v="14"/>
            <x v="17"/>
            <x v="21"/>
            <x v="22"/>
            <x v="23"/>
            <x v="24"/>
            <x v="26"/>
            <x v="27"/>
            <x v="28"/>
            <x v="30"/>
            <x v="31"/>
            <x v="32"/>
            <x v="35"/>
          </reference>
        </references>
      </pivotArea>
    </format>
    <format dxfId="163">
      <pivotArea dataOnly="0" labelOnly="1" fieldPosition="0">
        <references count="2">
          <reference field="1" count="1" selected="0">
            <x v="4"/>
          </reference>
          <reference field="2" count="7">
            <x v="0"/>
            <x v="8"/>
            <x v="12"/>
            <x v="19"/>
            <x v="20"/>
            <x v="25"/>
            <x v="34"/>
          </reference>
        </references>
      </pivotArea>
    </format>
    <format dxfId="164">
      <pivotArea dataOnly="0" labelOnly="1" fieldPosition="0">
        <references count="2">
          <reference field="1" count="1" selected="0">
            <x v="5"/>
          </reference>
          <reference field="2" count="1">
            <x v="16"/>
          </reference>
        </references>
      </pivotArea>
    </format>
    <format dxfId="165">
      <pivotArea dataOnly="0" labelOnly="1" fieldPosition="0">
        <references count="2">
          <reference field="1" count="1" selected="0">
            <x v="6"/>
          </reference>
          <reference field="2" count="1">
            <x v="18"/>
          </reference>
        </references>
      </pivotArea>
    </format>
    <format dxfId="166">
      <pivotArea dataOnly="0" labelOnly="1" outline="0" axis="axisValues" fieldPosition="0"/>
    </format>
    <format dxfId="167">
      <pivotArea type="all" dataOnly="0" outline="0" fieldPosition="0"/>
    </format>
    <format dxfId="168">
      <pivotArea outline="0" collapsedLevelsAreSubtotals="1" fieldPosition="0"/>
    </format>
    <format dxfId="169">
      <pivotArea field="1" type="button" dataOnly="0" labelOnly="1" outline="0" axis="axisRow" fieldPosition="0"/>
    </format>
    <format dxfId="170">
      <pivotArea dataOnly="0" labelOnly="1" fieldPosition="0">
        <references count="1">
          <reference field="1" count="0"/>
        </references>
      </pivotArea>
    </format>
    <format dxfId="171">
      <pivotArea dataOnly="0" labelOnly="1" grandRow="1" outline="0" fieldPosition="0"/>
    </format>
    <format dxfId="172">
      <pivotArea dataOnly="0" labelOnly="1" fieldPosition="0">
        <references count="2">
          <reference field="1" count="1" selected="0">
            <x v="1"/>
          </reference>
          <reference field="2" count="1">
            <x v="9"/>
          </reference>
        </references>
      </pivotArea>
    </format>
    <format dxfId="173">
      <pivotArea dataOnly="0" labelOnly="1" fieldPosition="0">
        <references count="2">
          <reference field="1" count="1" selected="0">
            <x v="2"/>
          </reference>
          <reference field="2" count="7">
            <x v="2"/>
            <x v="3"/>
            <x v="10"/>
            <x v="15"/>
            <x v="29"/>
            <x v="33"/>
            <x v="36"/>
          </reference>
        </references>
      </pivotArea>
    </format>
    <format dxfId="174">
      <pivotArea dataOnly="0" labelOnly="1" fieldPosition="0">
        <references count="2">
          <reference field="1" count="1" selected="0">
            <x v="3"/>
          </reference>
          <reference field="2" count="20">
            <x v="1"/>
            <x v="4"/>
            <x v="5"/>
            <x v="6"/>
            <x v="7"/>
            <x v="11"/>
            <x v="13"/>
            <x v="14"/>
            <x v="17"/>
            <x v="21"/>
            <x v="22"/>
            <x v="23"/>
            <x v="24"/>
            <x v="26"/>
            <x v="27"/>
            <x v="28"/>
            <x v="30"/>
            <x v="31"/>
            <x v="32"/>
            <x v="35"/>
          </reference>
        </references>
      </pivotArea>
    </format>
    <format dxfId="175">
      <pivotArea dataOnly="0" labelOnly="1" fieldPosition="0">
        <references count="2">
          <reference field="1" count="1" selected="0">
            <x v="4"/>
          </reference>
          <reference field="2" count="7">
            <x v="0"/>
            <x v="8"/>
            <x v="12"/>
            <x v="19"/>
            <x v="20"/>
            <x v="25"/>
            <x v="34"/>
          </reference>
        </references>
      </pivotArea>
    </format>
    <format dxfId="176">
      <pivotArea dataOnly="0" labelOnly="1" fieldPosition="0">
        <references count="2">
          <reference field="1" count="1" selected="0">
            <x v="5"/>
          </reference>
          <reference field="2" count="1">
            <x v="16"/>
          </reference>
        </references>
      </pivotArea>
    </format>
    <format dxfId="177">
      <pivotArea dataOnly="0" labelOnly="1" fieldPosition="0">
        <references count="2">
          <reference field="1" count="1" selected="0">
            <x v="6"/>
          </reference>
          <reference field="2" count="1">
            <x v="18"/>
          </reference>
        </references>
      </pivotArea>
    </format>
    <format dxfId="1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E0C07F-D9A0-4AB2-A08D-E6C04E160D77}" autoFormatId="16" applyNumberFormats="0" applyBorderFormats="0" applyFontFormats="0" applyPatternFormats="0" applyAlignmentFormats="0" applyWidthHeightFormats="0">
  <queryTableRefresh nextId="159">
    <queryTableFields count="158">
      <queryTableField id="1" name="Property ID" tableColumnId="1"/>
      <queryTableField id="2" name="Property Short Name" tableColumnId="2"/>
      <queryTableField id="3" name="Name" tableColumnId="3"/>
      <queryTableField id="4" name="BillingName1" tableColumnId="4"/>
      <queryTableField id="5" name="IsActive" tableColumnId="5"/>
      <queryTableField id="6" name="Address" tableColumnId="6"/>
      <queryTableField id="7" name="Street" tableColumnId="7"/>
      <queryTableField id="8" name="City" tableColumnId="8"/>
      <queryTableField id="9" name="PostalCode" tableColumnId="9"/>
      <queryTableField id="10" name="PropertyID" tableColumnId="10"/>
      <queryTableField id="11" name="1st Half Taxes Due" tableColumnId="11"/>
      <queryTableField id="12" name="2nd Half Taxes Due" tableColumnId="12"/>
      <queryTableField id="13" name="Acres" tableColumnId="13"/>
      <queryTableField id="14" name="Age Category" tableColumnId="14"/>
      <queryTableField id="15" name="App Fee" tableColumnId="15"/>
      <queryTableField id="16" name="Appraisal Date" tableColumnId="16"/>
      <queryTableField id="17" name="APT Rent at Purchase" tableColumnId="17"/>
      <queryTableField id="18" name="Asset Type" tableColumnId="18"/>
      <queryTableField id="19" name="Boat Slip Rent at Purchase" tableColumnId="19"/>
      <queryTableField id="20" name="Broker Fee Buyer" tableColumnId="20"/>
      <queryTableField id="21" name="Broker Fee Paid By" tableColumnId="21"/>
      <queryTableField id="22" name="Broker Fee Seller" tableColumnId="22"/>
      <queryTableField id="23" name="Broker Fee" tableColumnId="23"/>
      <queryTableField id="24" name="Cap Rate at Purchase" tableColumnId="24"/>
      <queryTableField id="25" name="Commercial Rent at Purchase" tableColumnId="25"/>
      <queryTableField id="26" name="Community License Expiration Date" tableColumnId="26"/>
      <queryTableField id="27" name="Community" tableColumnId="27"/>
      <queryTableField id="28" name="County" tableColumnId="28"/>
      <queryTableField id="29" name="Court Filing Day" tableColumnId="29"/>
      <queryTableField id="30" name="Date Received" tableColumnId="30"/>
      <queryTableField id="31" name="Deal Type" tableColumnId="31"/>
      <queryTableField id="32" name="Debt - IO Term" tableColumnId="32"/>
      <queryTableField id="33" name="Debt - IO" tableColumnId="33"/>
      <queryTableField id="34" name="Debt Amortization" tableColumnId="34"/>
      <queryTableField id="35" name="Debt Amount at Closing" tableColumnId="35"/>
      <queryTableField id="36" name="Debt Lender" tableColumnId="36"/>
      <queryTableField id="37" name="Debt Rate" tableColumnId="37"/>
      <queryTableField id="38" name="Debt Term" tableColumnId="38"/>
      <queryTableField id="39" name="Earnest Money Deposit" tableColumnId="39"/>
      <queryTableField id="40" name="Equity at Closing" tableColumnId="40"/>
      <queryTableField id="41" name="Eviction Day" tableColumnId="41"/>
      <queryTableField id="42" name="Excess Cash" tableColumnId="42"/>
      <queryTableField id="43" name="Flood Zone" tableColumnId="43"/>
      <queryTableField id="44" name="Force Mow" tableColumnId="44"/>
      <queryTableField id="45" name="Goodwill Allocation" tableColumnId="45"/>
      <queryTableField id="46" name="GP Excess" tableColumnId="46"/>
      <queryTableField id="47" name="Holding Company" tableColumnId="47"/>
      <queryTableField id="48" name="Initial Cap Ex Budget" tableColumnId="48"/>
      <queryTableField id="49" name="Insurance Amount" tableColumnId="49"/>
      <queryTableField id="50" name="Insurance Company" tableColumnId="50"/>
      <queryTableField id="51" name="Insurance Renewal Date" tableColumnId="51"/>
      <queryTableField id="52" name="Jadian Equity Contribution" tableColumnId="52"/>
      <queryTableField id="53" name="Large Item Removal" tableColumnId="53"/>
      <queryTableField id="54" name="Late Fee" tableColumnId="54"/>
      <queryTableField id="55" name="Liability Policy Number" tableColumnId="55"/>
      <queryTableField id="56" name="Loan Costs" tableColumnId="56"/>
      <queryTableField id="57" name="Location" tableColumnId="57"/>
      <queryTableField id="58" name="Lot Rent at Purchase (MH)" tableColumnId="58"/>
      <queryTableField id="59" name="Lot Rent at Purchase (RV)" tableColumnId="59"/>
      <queryTableField id="60" name="LP Excess" tableColumnId="60"/>
      <queryTableField id="61" name="LTV at Purchase" tableColumnId="61"/>
      <queryTableField id="62" name="Market Value As Is" tableColumnId="62"/>
      <queryTableField id="63" name="MH Lot Rent at Purchase" tableColumnId="63"/>
      <queryTableField id="64" name="MSA" tableColumnId="64"/>
      <queryTableField id="65" name="NOI at Purchase" tableColumnId="65"/>
      <queryTableField id="66" name="Notice Day" tableColumnId="66"/>
      <queryTableField id="67" name="Occupied APT at Purchase" tableColumnId="67"/>
      <queryTableField id="68" name="Occupied Boat Slip at Purchase" tableColumnId="68"/>
      <queryTableField id="69" name="Occupied Commercial at Purchase" tableColumnId="69"/>
      <queryTableField id="70" name="Occupied Lots at Purchase (MH)" tableColumnId="70"/>
      <queryTableField id="71" name="Occupied Lots at Purchase (RV)" tableColumnId="71"/>
      <queryTableField id="72" name="Occupied Lots at Purchase" tableColumnId="72"/>
      <queryTableField id="73" name="Occupied POH at Purchase" tableColumnId="73"/>
      <queryTableField id="74" name="Occupied Rv Lots at Purchase - Permanent/Monthly" tableColumnId="74"/>
      <queryTableField id="75" name="Occupied Rv Lots at Purchase - Transient" tableColumnId="75"/>
      <queryTableField id="76" name="Occupied SFH at Purchase" tableColumnId="76"/>
      <queryTableField id="77" name="Occupied Storage at Purchase" tableColumnId="77"/>
      <queryTableField id="78" name="Opty. Zone" tableColumnId="78"/>
      <queryTableField id="79" name="Parcel Number" tableColumnId="79"/>
      <queryTableField id="80" name="Personal Property Allocation" tableColumnId="80"/>
      <queryTableField id="81" name="Pet Fee" tableColumnId="81"/>
      <queryTableField id="82" name="PFG Equity Contribution" tableColumnId="82"/>
      <queryTableField id="83" name="POH Rent at Purchase" tableColumnId="83"/>
      <queryTableField id="84" name="Postal Code" tableColumnId="84"/>
      <queryTableField id="85" name="Preferred Return" tableColumnId="85"/>
      <queryTableField id="86" name="Prepaid Expenses" tableColumnId="86"/>
      <queryTableField id="87" name="Primary Property (Use for Occupancy Calc)" tableColumnId="87"/>
      <queryTableField id="88" name="Property Mgmt Fee" tableColumnId="88"/>
      <queryTableField id="89" name="Property Name" tableColumnId="89"/>
      <queryTableField id="90" name="Property Policy Number" tableColumnId="90"/>
      <queryTableField id="91" name="Property Policy Renewal Date" tableColumnId="91"/>
      <queryTableField id="92" name="Prospective Mrkt Value Upon Economic Stabalization" tableColumnId="92"/>
      <queryTableField id="93" name="Purchase Date" tableColumnId="93"/>
      <queryTableField id="94" name="Purchase DD &amp; Other Costs" tableColumnId="94"/>
      <queryTableField id="95" name="Purchase Escrow/Title" tableColumnId="95"/>
      <queryTableField id="96" name="Purchase Legal Fees" tableColumnId="96"/>
      <queryTableField id="97" name="Purchase Lender Reserves" tableColumnId="97"/>
      <queryTableField id="98" name="Purchase Net Prorations" tableColumnId="98"/>
      <queryTableField id="99" name="Purchase Price" tableColumnId="99"/>
      <queryTableField id="100" name="Real Estate Allocation" tableColumnId="100"/>
      <queryTableField id="101" name="Real Property" tableColumnId="101"/>
      <queryTableField id="102" name="Region" tableColumnId="102"/>
      <queryTableField id="103" name="Regional Manager" tableColumnId="103"/>
      <queryTableField id="104" name="Rent Collection Day" tableColumnId="104"/>
      <queryTableField id="105" name="Rent Increase Month" tableColumnId="105"/>
      <queryTableField id="106" name="Rent Increase Notification Deadline" tableColumnId="106"/>
      <queryTableField id="107" name="Rent Increase Notification Period" tableColumnId="107"/>
      <queryTableField id="108" name="Rule Violation" tableColumnId="108"/>
      <queryTableField id="109" name="Rv Lot Rent at Purchase - Permanent/Monthly" tableColumnId="109"/>
      <queryTableField id="110" name="Seller Profile" tableColumnId="110"/>
      <queryTableField id="111" name="SFH Rent at Purchase" tableColumnId="111"/>
      <queryTableField id="112" name="Source Company" tableColumnId="112"/>
      <queryTableField id="113" name="Source Email" tableColumnId="113"/>
      <queryTableField id="114" name="Source Name" tableColumnId="114"/>
      <queryTableField id="115" name="Source Phone #" tableColumnId="115"/>
      <queryTableField id="116" name="State" tableColumnId="116"/>
      <queryTableField id="117" name="Storage Rent at Purchase" tableColumnId="117"/>
      <queryTableField id="118" name="Storage" tableColumnId="118"/>
      <queryTableField id="119" name="Street1" tableColumnId="119"/>
      <queryTableField id="120" name="Total APT" tableColumnId="120"/>
      <queryTableField id="121" name="Total Boat Slips" tableColumnId="121"/>
      <queryTableField id="122" name="Total Commercial" tableColumnId="122"/>
      <queryTableField id="123" name="Total Cost" tableColumnId="123"/>
      <queryTableField id="124" name="Total Lots" tableColumnId="124"/>
      <queryTableField id="125" name="Total MH Lots" tableColumnId="125"/>
      <queryTableField id="126" name="Total MH Permitted Lots" tableColumnId="126"/>
      <queryTableField id="127" name="Total POH" tableColumnId="127"/>
      <queryTableField id="128" name="Total Property Tax Amount" tableColumnId="128"/>
      <queryTableField id="129" name="Total RV Lots - Permanent/Monthly" tableColumnId="129"/>
      <queryTableField id="130" name="Total RV Lots - Transient" tableColumnId="130"/>
      <queryTableField id="131" name="Total RV Lots" tableColumnId="131"/>
      <queryTableField id="132" name="Total RV Permitted Lots" tableColumnId="132"/>
      <queryTableField id="133" name="Total SFH" tableColumnId="133"/>
      <queryTableField id="134" name="Total Units" tableColumnId="134"/>
      <queryTableField id="135" name="Umbrella Policy Number" tableColumnId="135"/>
      <queryTableField id="136" name="Utilities - Electric (Billing)" tableColumnId="136"/>
      <queryTableField id="137" name="Utilities - Sewer (Billing)" tableColumnId="137"/>
      <queryTableField id="138" name="Utilities - Sewer, Public" tableColumnId="138"/>
      <queryTableField id="139" name="Utilities - Sewer" tableColumnId="139"/>
      <queryTableField id="140" name="Utilities - Waste Disposal" tableColumnId="140"/>
      <queryTableField id="141" name="Utilities - Water (Billing)" tableColumnId="141"/>
      <queryTableField id="142" name="Utilities - Water, Public" tableColumnId="142"/>
      <queryTableField id="143" name="Utilities - Water" tableColumnId="143"/>
      <queryTableField id="144" name="Vacant APT at Purchase" tableColumnId="144"/>
      <queryTableField id="145" name="Vacant Boat Slip at Purchase" tableColumnId="145"/>
      <queryTableField id="146" name="Vacant Commercial at Purchase" tableColumnId="146"/>
      <queryTableField id="147" name="Vacant MH at Purchase" tableColumnId="147"/>
      <queryTableField id="148" name="Vacant POH at Purchase - Lease Ready" tableColumnId="148"/>
      <queryTableField id="149" name="Vacant POH at Purchase - Need Rehab" tableColumnId="149"/>
      <queryTableField id="150" name="Vacant RV at Purchase" tableColumnId="150"/>
      <queryTableField id="151" name="Vacant SFH at Purchase" tableColumnId="151"/>
      <queryTableField id="152" name="Vacant Storage at Purchase" tableColumnId="152"/>
      <queryTableField id="153" name="Vehicle" tableColumnId="153"/>
      <queryTableField id="154" name="Violation Fee (1st Notice)" tableColumnId="154"/>
      <queryTableField id="155" name="Violation Fee (2nd Notice)" tableColumnId="155"/>
      <queryTableField id="156" name="Violation Fee (3rd Notice)" tableColumnId="156"/>
      <queryTableField id="157" name="Watch Community" tableColumnId="157"/>
      <queryTableField id="158" name="Website" tableColumnId="1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E5A4F-CBCD-4E11-96D9-B6064B1DD0BF}" name="vwr_dimProperties" displayName="vwr_dimProperties" ref="A2:FB199" tableType="queryTable" totalsRowShown="0">
  <autoFilter ref="A2:FB199" xr:uid="{BD717F14-0E81-4FB0-80C9-1F264E59A47E}"/>
  <tableColumns count="158">
    <tableColumn id="1" xr3:uid="{30234410-A3CC-4A12-95C7-5533A5511F80}" uniqueName="1" name="Property ID" queryTableFieldId="1"/>
    <tableColumn id="2" xr3:uid="{67F09C7B-1FEB-4DEF-B83C-8EE6828088FE}" uniqueName="2" name="Property Short Name" queryTableFieldId="2" dataDxfId="154"/>
    <tableColumn id="3" xr3:uid="{E97D166B-7718-4DD3-849E-039AC1F47E38}" uniqueName="3" name="Name" queryTableFieldId="3" dataDxfId="153"/>
    <tableColumn id="4" xr3:uid="{2B5927A2-3728-4615-8439-1185A698DB83}" uniqueName="4" name="BillingName1" queryTableFieldId="4" dataDxfId="152"/>
    <tableColumn id="5" xr3:uid="{238623FF-8BC8-4314-AD80-F9C21CBDD327}" uniqueName="5" name="IsActive" queryTableFieldId="5"/>
    <tableColumn id="6" xr3:uid="{139A6F0F-8998-41B2-A108-FF5C7E70187B}" uniqueName="6" name="Address" queryTableFieldId="6" dataDxfId="151"/>
    <tableColumn id="7" xr3:uid="{BFD5C50C-42F9-414D-9B50-B8ECBEFA160D}" uniqueName="7" name="Street" queryTableFieldId="7" dataDxfId="150"/>
    <tableColumn id="8" xr3:uid="{330CBA65-BB35-411C-9B9D-CF7213180C03}" uniqueName="8" name="City" queryTableFieldId="8" dataDxfId="149"/>
    <tableColumn id="9" xr3:uid="{D97482D0-CFBD-4F2F-BAFB-2FDDCAB60875}" uniqueName="9" name="PostalCode" queryTableFieldId="9" dataDxfId="148"/>
    <tableColumn id="10" xr3:uid="{7C55EB43-1914-4453-9F1F-FD6D99972EEF}" uniqueName="10" name="PropertyID" queryTableFieldId="10"/>
    <tableColumn id="11" xr3:uid="{652A654F-0035-46CC-8FC3-4B67335BC077}" uniqueName="11" name="1st Half Taxes Due" queryTableFieldId="11" dataDxfId="147"/>
    <tableColumn id="12" xr3:uid="{F2D10DEA-7E4E-4C5D-AA2D-69AFCD9877D8}" uniqueName="12" name="2nd Half Taxes Due" queryTableFieldId="12" dataDxfId="146"/>
    <tableColumn id="13" xr3:uid="{69835F37-B07A-4C12-BAA0-D6A17300A4AA}" uniqueName="13" name="Acres" queryTableFieldId="13" dataDxfId="145"/>
    <tableColumn id="14" xr3:uid="{CF030934-E22C-4718-B4F1-E585BD52E4E3}" uniqueName="14" name="Age Category" queryTableFieldId="14" dataDxfId="144"/>
    <tableColumn id="15" xr3:uid="{1E9C56F1-5758-4B0C-A29A-DD38E77F628A}" uniqueName="15" name="App Fee" queryTableFieldId="15" dataDxfId="143"/>
    <tableColumn id="16" xr3:uid="{FF8E8037-B7F6-49C5-908F-7064A66094BD}" uniqueName="16" name="Appraisal Date" queryTableFieldId="16" dataDxfId="142"/>
    <tableColumn id="17" xr3:uid="{A1109AAB-A947-4DBE-AB4F-1F53C3A431C7}" uniqueName="17" name="APT Rent at Purchase" queryTableFieldId="17" dataDxfId="141"/>
    <tableColumn id="18" xr3:uid="{9FA99395-5D44-4EFD-9D8E-AD24901E18C5}" uniqueName="18" name="Asset Type" queryTableFieldId="18" dataDxfId="140"/>
    <tableColumn id="19" xr3:uid="{B5F857D4-315C-46A8-8DB6-FFA77EF66E36}" uniqueName="19" name="Boat Slip Rent at Purchase" queryTableFieldId="19" dataDxfId="139"/>
    <tableColumn id="20" xr3:uid="{ADF445C1-F663-4B4C-B0BF-62F371314614}" uniqueName="20" name="Broker Fee Buyer" queryTableFieldId="20" dataDxfId="138"/>
    <tableColumn id="21" xr3:uid="{71D6465B-C86A-4CB4-933B-2C396D3A7C6F}" uniqueName="21" name="Broker Fee Paid By" queryTableFieldId="21" dataDxfId="137"/>
    <tableColumn id="22" xr3:uid="{2EEAECF9-B5FD-4A8E-B4CD-8B11371B5770}" uniqueName="22" name="Broker Fee Seller" queryTableFieldId="22" dataDxfId="136"/>
    <tableColumn id="23" xr3:uid="{88B850EA-DAD5-4EA9-8D7F-113822CE15F4}" uniqueName="23" name="Broker Fee" queryTableFieldId="23" dataDxfId="135"/>
    <tableColumn id="24" xr3:uid="{4D4E54C7-D2FA-4B9D-A721-A1F8DE544286}" uniqueName="24" name="Cap Rate at Purchase" queryTableFieldId="24" dataDxfId="134"/>
    <tableColumn id="25" xr3:uid="{9E6834B2-8381-4926-8D42-80F8DF35C087}" uniqueName="25" name="Commercial Rent at Purchase" queryTableFieldId="25" dataDxfId="133"/>
    <tableColumn id="26" xr3:uid="{1D1E78C5-B5ED-43FF-B9D3-81230003974D}" uniqueName="26" name="Community License Expiration Date" queryTableFieldId="26" dataDxfId="132"/>
    <tableColumn id="27" xr3:uid="{070A0A45-5092-4CE4-88DA-42B944E489D2}" uniqueName="27" name="Community" queryTableFieldId="27" dataDxfId="131"/>
    <tableColumn id="28" xr3:uid="{4C756846-B2A7-4A34-A358-5DCEC7C7F7C2}" uniqueName="28" name="County" queryTableFieldId="28" dataDxfId="130"/>
    <tableColumn id="29" xr3:uid="{30967DDD-AA20-44AE-9329-B5249FFC3AFD}" uniqueName="29" name="Court Filing Day" queryTableFieldId="29" dataDxfId="129"/>
    <tableColumn id="30" xr3:uid="{61619C9C-5685-44AC-8B82-498557E936BA}" uniqueName="30" name="Date Received" queryTableFieldId="30" dataDxfId="128"/>
    <tableColumn id="31" xr3:uid="{34270322-6FDC-488F-BA86-F10A276DE9D8}" uniqueName="31" name="Deal Type" queryTableFieldId="31" dataDxfId="127"/>
    <tableColumn id="32" xr3:uid="{9F874EA0-0590-4EE0-B25C-FA6E6C5596B9}" uniqueName="32" name="Debt - IO Term" queryTableFieldId="32" dataDxfId="126"/>
    <tableColumn id="33" xr3:uid="{DB62B2A7-CB10-4CAF-83A6-164595E6B528}" uniqueName="33" name="Debt - IO" queryTableFieldId="33" dataDxfId="125"/>
    <tableColumn id="34" xr3:uid="{19028E2A-400E-4229-A44A-B35846F7E5F8}" uniqueName="34" name="Debt Amortization" queryTableFieldId="34" dataDxfId="124"/>
    <tableColumn id="35" xr3:uid="{98F4C929-D2D7-49B2-96F0-437791C20599}" uniqueName="35" name="Debt Amount at Closing" queryTableFieldId="35" dataDxfId="123"/>
    <tableColumn id="36" xr3:uid="{0A3679D8-612B-443F-99C1-171631C8F1E2}" uniqueName="36" name="Debt Lender" queryTableFieldId="36" dataDxfId="122"/>
    <tableColumn id="37" xr3:uid="{1A449360-AD53-4179-881A-C2D3BCAAA889}" uniqueName="37" name="Debt Rate" queryTableFieldId="37" dataDxfId="121"/>
    <tableColumn id="38" xr3:uid="{258D7157-2E6B-422F-8A9C-A07A61308D2F}" uniqueName="38" name="Debt Term" queryTableFieldId="38" dataDxfId="120"/>
    <tableColumn id="39" xr3:uid="{9FF7B8DF-0E67-49A9-856C-AEAB60610F7F}" uniqueName="39" name="Earnest Money Deposit" queryTableFieldId="39" dataDxfId="119"/>
    <tableColumn id="40" xr3:uid="{CB0A01D8-4D0C-44A0-917B-217F74FDCF4D}" uniqueName="40" name="Equity at Closing" queryTableFieldId="40" dataDxfId="118"/>
    <tableColumn id="41" xr3:uid="{FDFEDC8A-DD3D-4A52-A609-DD77693B9921}" uniqueName="41" name="Eviction Day" queryTableFieldId="41" dataDxfId="117"/>
    <tableColumn id="42" xr3:uid="{A4D2F991-2A84-4928-A4DF-0B0E06F32EDD}" uniqueName="42" name="Excess Cash" queryTableFieldId="42" dataDxfId="116"/>
    <tableColumn id="43" xr3:uid="{80563930-63F8-4E02-85C0-67E7B993DB6C}" uniqueName="43" name="Flood Zone" queryTableFieldId="43" dataDxfId="115"/>
    <tableColumn id="44" xr3:uid="{3C31E455-FB7B-4D16-B850-64C07C36240E}" uniqueName="44" name="Force Mow" queryTableFieldId="44" dataDxfId="114"/>
    <tableColumn id="45" xr3:uid="{4371068B-6847-4E0B-AD8B-02891EC8F541}" uniqueName="45" name="Goodwill Allocation" queryTableFieldId="45" dataDxfId="113"/>
    <tableColumn id="46" xr3:uid="{04B15F61-511E-4AE4-BB01-5D3ED15CD205}" uniqueName="46" name="GP Excess" queryTableFieldId="46" dataDxfId="112"/>
    <tableColumn id="47" xr3:uid="{B353B523-E479-4A68-92BF-80FFA7F3D2D4}" uniqueName="47" name="Holding Company" queryTableFieldId="47" dataDxfId="111"/>
    <tableColumn id="48" xr3:uid="{B13126BF-ECCF-444D-ADE1-3F1D20E4A8AB}" uniqueName="48" name="Initial Cap Ex Budget" queryTableFieldId="48" dataDxfId="110"/>
    <tableColumn id="49" xr3:uid="{6F212D4A-031F-4138-BE96-4D2124944754}" uniqueName="49" name="Insurance Amount" queryTableFieldId="49" dataDxfId="109"/>
    <tableColumn id="50" xr3:uid="{A09D79C1-8894-4278-9C33-1D33259F0DFB}" uniqueName="50" name="Insurance Company" queryTableFieldId="50" dataDxfId="108"/>
    <tableColumn id="51" xr3:uid="{18668180-1636-42B1-96A1-600A1F8E6F26}" uniqueName="51" name="Insurance Renewal Date" queryTableFieldId="51" dataDxfId="107"/>
    <tableColumn id="52" xr3:uid="{547DDF8C-7BB4-4AF1-941B-0A611CC0939F}" uniqueName="52" name="Jadian Equity Contribution" queryTableFieldId="52" dataDxfId="106"/>
    <tableColumn id="53" xr3:uid="{4CBED672-CD08-411C-9B49-B5778DB2A4EF}" uniqueName="53" name="Large Item Removal" queryTableFieldId="53" dataDxfId="105"/>
    <tableColumn id="54" xr3:uid="{7C5BDFC2-81D3-485F-B5BD-EE19F705247E}" uniqueName="54" name="Late Fee" queryTableFieldId="54" dataDxfId="104"/>
    <tableColumn id="55" xr3:uid="{7972347B-960A-4798-BC5D-86349CBAD21C}" uniqueName="55" name="Liability Policy Number" queryTableFieldId="55" dataDxfId="103"/>
    <tableColumn id="56" xr3:uid="{E638D781-5953-43DD-B46C-1A70CE6880E3}" uniqueName="56" name="Loan Costs" queryTableFieldId="56" dataDxfId="102"/>
    <tableColumn id="57" xr3:uid="{21541FA9-B296-4463-A660-9FEB1B6C5694}" uniqueName="57" name="Location" queryTableFieldId="57" dataDxfId="101"/>
    <tableColumn id="58" xr3:uid="{251FAA9A-956D-4F6B-A46A-1FED70412EAE}" uniqueName="58" name="Lot Rent at Purchase (MH)" queryTableFieldId="58" dataDxfId="100"/>
    <tableColumn id="59" xr3:uid="{33D8DC81-2B9B-4BC1-9F66-4ABA3ADD1FB6}" uniqueName="59" name="Lot Rent at Purchase (RV)" queryTableFieldId="59" dataDxfId="99"/>
    <tableColumn id="60" xr3:uid="{A0AF8CB4-23D2-418A-9B2F-0865D3B33B09}" uniqueName="60" name="LP Excess" queryTableFieldId="60" dataDxfId="98"/>
    <tableColumn id="61" xr3:uid="{F9FAADEB-F34F-49B1-B2DF-69B2D1A73A22}" uniqueName="61" name="LTV at Purchase" queryTableFieldId="61" dataDxfId="97"/>
    <tableColumn id="62" xr3:uid="{F28E2BEE-36E3-4646-A0B0-F91F446545A0}" uniqueName="62" name="Market Value As Is" queryTableFieldId="62" dataDxfId="96"/>
    <tableColumn id="63" xr3:uid="{0F89BED8-82C5-4D3D-B638-7289E7D7A5CD}" uniqueName="63" name="MH Lot Rent at Purchase" queryTableFieldId="63" dataDxfId="95"/>
    <tableColumn id="64" xr3:uid="{A6DB929C-117C-4D66-9970-0995D4E027E3}" uniqueName="64" name="MSA" queryTableFieldId="64" dataDxfId="94"/>
    <tableColumn id="65" xr3:uid="{0D2571E5-9DFD-4D1B-8E59-9AAFCB5A064F}" uniqueName="65" name="NOI at Purchase" queryTableFieldId="65" dataDxfId="93"/>
    <tableColumn id="66" xr3:uid="{FC1D3FEE-AECD-49E7-9D0C-63509DFFD0E4}" uniqueName="66" name="Notice Day" queryTableFieldId="66" dataDxfId="92"/>
    <tableColumn id="67" xr3:uid="{B2D64F3C-031E-4869-819E-804282433170}" uniqueName="67" name="Occupied APT at Purchase" queryTableFieldId="67" dataDxfId="91"/>
    <tableColumn id="68" xr3:uid="{D72682CB-92EC-45F4-937A-AA0C17C4D107}" uniqueName="68" name="Occupied Boat Slip at Purchase" queryTableFieldId="68" dataDxfId="90"/>
    <tableColumn id="69" xr3:uid="{47454B56-F25E-4165-B860-5FBF9137B376}" uniqueName="69" name="Occupied Commercial at Purchase" queryTableFieldId="69" dataDxfId="89"/>
    <tableColumn id="70" xr3:uid="{5BECC918-28E0-441F-AF44-186FEB77FD50}" uniqueName="70" name="Occupied Lots at Purchase (MH)" queryTableFieldId="70" dataDxfId="88"/>
    <tableColumn id="71" xr3:uid="{757C381F-6E29-4F3D-990B-1F4B0AD93CE7}" uniqueName="71" name="Occupied Lots at Purchase (RV)" queryTableFieldId="71" dataDxfId="87"/>
    <tableColumn id="72" xr3:uid="{6F0F08DB-97D9-45F9-BCB2-A6E86C140CB5}" uniqueName="72" name="Occupied Lots at Purchase" queryTableFieldId="72" dataDxfId="86"/>
    <tableColumn id="73" xr3:uid="{12A5CBAF-EB03-4C58-9C91-FFB7FA8D77BD}" uniqueName="73" name="Occupied POH at Purchase" queryTableFieldId="73" dataDxfId="85"/>
    <tableColumn id="74" xr3:uid="{9B522968-18C6-4894-A4C5-426183DAAC32}" uniqueName="74" name="Occupied Rv Lots at Purchase - Permanent/Monthly" queryTableFieldId="74" dataDxfId="84"/>
    <tableColumn id="75" xr3:uid="{F7900285-82BD-41AD-B9AE-B4B90ECE6C74}" uniqueName="75" name="Occupied Rv Lots at Purchase - Transient" queryTableFieldId="75" dataDxfId="83"/>
    <tableColumn id="76" xr3:uid="{F9855AA2-3A5C-4355-82E1-BF722565FD9C}" uniqueName="76" name="Occupied SFH at Purchase" queryTableFieldId="76" dataDxfId="82"/>
    <tableColumn id="77" xr3:uid="{F3EADE1C-A09B-4AC8-81AB-93D6AD94EACD}" uniqueName="77" name="Occupied Storage at Purchase" queryTableFieldId="77" dataDxfId="81"/>
    <tableColumn id="78" xr3:uid="{44E7232B-808A-4D71-9AA3-B449F9456B43}" uniqueName="78" name="Opty. Zone" queryTableFieldId="78" dataDxfId="80"/>
    <tableColumn id="79" xr3:uid="{286F3500-3CFD-4625-AD70-62EAC7C291F2}" uniqueName="79" name="Parcel Number" queryTableFieldId="79" dataDxfId="79"/>
    <tableColumn id="80" xr3:uid="{74477241-F6BC-4DB5-95B0-F9E317BAE619}" uniqueName="80" name="Personal Property Allocation" queryTableFieldId="80" dataDxfId="78"/>
    <tableColumn id="81" xr3:uid="{70D0B132-7479-43B6-ACAD-8C736AA039CD}" uniqueName="81" name="Pet Fee" queryTableFieldId="81" dataDxfId="77"/>
    <tableColumn id="82" xr3:uid="{3A3701F4-B348-4D34-9DAD-9F342677140A}" uniqueName="82" name="PFG Equity Contribution" queryTableFieldId="82" dataDxfId="76"/>
    <tableColumn id="83" xr3:uid="{D8017A7E-A1FE-4C03-973C-9274412BE19A}" uniqueName="83" name="POH Rent at Purchase" queryTableFieldId="83" dataDxfId="75"/>
    <tableColumn id="84" xr3:uid="{484B4B26-7C2A-4E28-BB87-EE1B0C2D505C}" uniqueName="84" name="Postal Code" queryTableFieldId="84" dataDxfId="74"/>
    <tableColumn id="85" xr3:uid="{0CC0C937-C3D4-4B85-A23B-B5C6B8D8CF96}" uniqueName="85" name="Preferred Return" queryTableFieldId="85" dataDxfId="73"/>
    <tableColumn id="86" xr3:uid="{774447CD-1C6B-4E94-A3E5-378D9115047F}" uniqueName="86" name="Prepaid Expenses" queryTableFieldId="86" dataDxfId="72"/>
    <tableColumn id="87" xr3:uid="{312CEFFD-A253-400B-B64D-9F18BD7877D3}" uniqueName="87" name="Primary Property (Use for Occupancy Calc)" queryTableFieldId="87" dataDxfId="71"/>
    <tableColumn id="88" xr3:uid="{F64DA65D-D4CB-4C37-B9A7-382F70286656}" uniqueName="88" name="Property Mgmt Fee" queryTableFieldId="88" dataDxfId="70"/>
    <tableColumn id="89" xr3:uid="{114616AE-FDB0-4A95-A5F1-06F688E50FC1}" uniqueName="89" name="Property Name" queryTableFieldId="89" dataDxfId="69"/>
    <tableColumn id="90" xr3:uid="{80DD9213-2888-430B-B371-35ECBE52B33B}" uniqueName="90" name="Property Policy Number" queryTableFieldId="90" dataDxfId="68"/>
    <tableColumn id="91" xr3:uid="{7281B44E-6B37-45E5-B642-724103D6600E}" uniqueName="91" name="Property Policy Renewal Date" queryTableFieldId="91" dataDxfId="67"/>
    <tableColumn id="92" xr3:uid="{E197AA7C-D7F4-4DAF-BD1D-233C123AADA7}" uniqueName="92" name="Prospective Mrkt Value Upon Economic Stabalization" queryTableFieldId="92" dataDxfId="66"/>
    <tableColumn id="93" xr3:uid="{40CFE2FC-9A49-434C-9188-350A3FEBE73F}" uniqueName="93" name="Purchase Date" queryTableFieldId="93" dataDxfId="65"/>
    <tableColumn id="94" xr3:uid="{934204FA-8AF2-4160-AE59-8727E8CAF8E6}" uniqueName="94" name="Purchase DD &amp; Other Costs" queryTableFieldId="94" dataDxfId="64"/>
    <tableColumn id="95" xr3:uid="{0429A234-DA20-4FBA-BCD5-1BF0EC1CA938}" uniqueName="95" name="Purchase Escrow/Title" queryTableFieldId="95" dataDxfId="63"/>
    <tableColumn id="96" xr3:uid="{6D093F2E-46F2-4BCC-BFC9-FF52BFFDDE17}" uniqueName="96" name="Purchase Legal Fees" queryTableFieldId="96" dataDxfId="62"/>
    <tableColumn id="97" xr3:uid="{E33B8344-65B0-4B14-B1BE-C92A972473BE}" uniqueName="97" name="Purchase Lender Reserves" queryTableFieldId="97" dataDxfId="61"/>
    <tableColumn id="98" xr3:uid="{D0C15831-19F0-4B71-B89A-7546DB15801A}" uniqueName="98" name="Purchase Net Prorations" queryTableFieldId="98" dataDxfId="60"/>
    <tableColumn id="99" xr3:uid="{EFB7E383-0001-4AD9-A66C-804479B2DB57}" uniqueName="99" name="Purchase Price" queryTableFieldId="99" dataDxfId="59"/>
    <tableColumn id="100" xr3:uid="{63C85517-FF18-41EA-876F-E24B379FB779}" uniqueName="100" name="Real Estate Allocation" queryTableFieldId="100" dataDxfId="58"/>
    <tableColumn id="101" xr3:uid="{7FDE6C4A-2D9B-4393-9426-D0994598D552}" uniqueName="101" name="Real Property" queryTableFieldId="101" dataDxfId="57"/>
    <tableColumn id="102" xr3:uid="{6398D91D-0BE9-4CDD-8DB2-797E98EE949E}" uniqueName="102" name="Region" queryTableFieldId="102" dataDxfId="56"/>
    <tableColumn id="103" xr3:uid="{FB8D7686-E6B3-486D-A27A-536B44C9B242}" uniqueName="103" name="Regional Manager" queryTableFieldId="103" dataDxfId="55"/>
    <tableColumn id="104" xr3:uid="{FB82DB7C-4811-4974-9BF3-A119A8A53474}" uniqueName="104" name="Rent Collection Day" queryTableFieldId="104" dataDxfId="54"/>
    <tableColumn id="105" xr3:uid="{B6ED41A6-6B75-4F96-9062-550BDD215B49}" uniqueName="105" name="Rent Increase Month" queryTableFieldId="105" dataDxfId="53"/>
    <tableColumn id="106" xr3:uid="{00E2B854-45B0-4BA9-A03F-A7DF5E80AF66}" uniqueName="106" name="Rent Increase Notification Deadline" queryTableFieldId="106" dataDxfId="52"/>
    <tableColumn id="107" xr3:uid="{192FF8A8-DAA8-452A-A53E-C024A8C9E1F7}" uniqueName="107" name="Rent Increase Notification Period" queryTableFieldId="107" dataDxfId="51"/>
    <tableColumn id="108" xr3:uid="{399D520E-8DC6-4C37-984D-0647933C3C40}" uniqueName="108" name="Rule Violation" queryTableFieldId="108" dataDxfId="50"/>
    <tableColumn id="109" xr3:uid="{01118CAD-04D8-4FE0-9859-25986A357BE4}" uniqueName="109" name="Rv Lot Rent at Purchase - Permanent/Monthly" queryTableFieldId="109" dataDxfId="49"/>
    <tableColumn id="110" xr3:uid="{579A0158-4F75-474D-AB09-25EC94E87B1F}" uniqueName="110" name="Seller Profile" queryTableFieldId="110" dataDxfId="48"/>
    <tableColumn id="111" xr3:uid="{CF138DA3-C3ED-4FC8-9C34-86A38E484FFC}" uniqueName="111" name="SFH Rent at Purchase" queryTableFieldId="111" dataDxfId="47"/>
    <tableColumn id="112" xr3:uid="{A2FED76C-8FB3-4061-B25F-D9C833CB82D8}" uniqueName="112" name="Source Company" queryTableFieldId="112" dataDxfId="46"/>
    <tableColumn id="113" xr3:uid="{DD6E96B1-6F07-4ABE-BEBF-72BF7E2FF43E}" uniqueName="113" name="Source Email" queryTableFieldId="113" dataDxfId="45"/>
    <tableColumn id="114" xr3:uid="{F7DD464D-2765-4A24-85DB-A23D51B626C8}" uniqueName="114" name="Source Name" queryTableFieldId="114" dataDxfId="44"/>
    <tableColumn id="115" xr3:uid="{F2F7EDF4-B832-4720-B7D7-68B2EED12A08}" uniqueName="115" name="Source Phone #" queryTableFieldId="115" dataDxfId="43"/>
    <tableColumn id="116" xr3:uid="{1081A26F-BB44-49A1-B981-1C9EDA1F075D}" uniqueName="116" name="State" queryTableFieldId="116" dataDxfId="42"/>
    <tableColumn id="117" xr3:uid="{FF324146-1E21-4D89-AFAB-9A85532FF65D}" uniqueName="117" name="Storage Rent at Purchase" queryTableFieldId="117" dataDxfId="41"/>
    <tableColumn id="118" xr3:uid="{ADCAC1CD-8104-4182-97FB-A6D4CFAD170F}" uniqueName="118" name="Storage" queryTableFieldId="118" dataDxfId="40"/>
    <tableColumn id="119" xr3:uid="{24B00FF8-0AD1-4B62-886B-BF7AA9C83E6E}" uniqueName="119" name="Street1" queryTableFieldId="119" dataDxfId="39"/>
    <tableColumn id="120" xr3:uid="{174447C4-3AF8-4BA1-B0F0-68F8FF7F5CAF}" uniqueName="120" name="Total APT" queryTableFieldId="120" dataDxfId="38"/>
    <tableColumn id="121" xr3:uid="{57B9BF49-9E9C-4FA0-A2DC-DA2CF9BEF3D8}" uniqueName="121" name="Total Boat Slips" queryTableFieldId="121" dataDxfId="37"/>
    <tableColumn id="122" xr3:uid="{3888A425-6988-42F0-AAC6-093C85932B00}" uniqueName="122" name="Total Commercial" queryTableFieldId="122" dataDxfId="36"/>
    <tableColumn id="123" xr3:uid="{65146132-4E3D-4AE6-B29E-74BF57F7F810}" uniqueName="123" name="Total Cost" queryTableFieldId="123" dataDxfId="35"/>
    <tableColumn id="124" xr3:uid="{473E12EF-020E-43B8-A10E-0F0503B95D09}" uniqueName="124" name="Total Lots" queryTableFieldId="124" dataDxfId="34"/>
    <tableColumn id="125" xr3:uid="{EA64B6CD-13C6-444F-B816-15E20A74C43E}" uniqueName="125" name="Total MH Lots" queryTableFieldId="125" dataDxfId="33"/>
    <tableColumn id="126" xr3:uid="{DC01838C-C9B2-418A-ACAC-71268B608EA2}" uniqueName="126" name="Total MH Permitted Lots" queryTableFieldId="126" dataDxfId="32"/>
    <tableColumn id="127" xr3:uid="{D9EB9676-BC4A-4814-8293-367CD9DD5EB7}" uniqueName="127" name="Total POH" queryTableFieldId="127" dataDxfId="31"/>
    <tableColumn id="128" xr3:uid="{80F58044-E2A6-46B0-9B67-D874548E730E}" uniqueName="128" name="Total Property Tax Amount" queryTableFieldId="128" dataDxfId="30"/>
    <tableColumn id="129" xr3:uid="{A4030C0F-6E96-4B30-966B-9001492C9D12}" uniqueName="129" name="Total RV Lots - Permanent/Monthly" queryTableFieldId="129" dataDxfId="29"/>
    <tableColumn id="130" xr3:uid="{38FD605F-B6D0-45B8-882B-AB89E5CF7D5B}" uniqueName="130" name="Total RV Lots - Transient" queryTableFieldId="130" dataDxfId="28"/>
    <tableColumn id="131" xr3:uid="{BF51A807-321B-4D2A-8F12-776CF1932952}" uniqueName="131" name="Total RV Lots" queryTableFieldId="131" dataDxfId="27"/>
    <tableColumn id="132" xr3:uid="{7EFAD1D4-4B1B-407D-A5DE-E59A0457913C}" uniqueName="132" name="Total RV Permitted Lots" queryTableFieldId="132" dataDxfId="26"/>
    <tableColumn id="133" xr3:uid="{31E221A9-F9A0-4735-A3D3-CD05A82F8CDB}" uniqueName="133" name="Total SFH" queryTableFieldId="133" dataDxfId="25"/>
    <tableColumn id="134" xr3:uid="{D9F9D9D4-66CA-41EA-B401-87E3EF5FE901}" uniqueName="134" name="Total Units" queryTableFieldId="134" dataDxfId="24"/>
    <tableColumn id="135" xr3:uid="{66E13E97-FDC1-4A02-91CA-EBAB4D16D760}" uniqueName="135" name="Umbrella Policy Number" queryTableFieldId="135" dataDxfId="23"/>
    <tableColumn id="136" xr3:uid="{82E88BE9-9DD8-4499-8744-A10F9229E01B}" uniqueName="136" name="Utilities - Electric (Billing)" queryTableFieldId="136" dataDxfId="22"/>
    <tableColumn id="137" xr3:uid="{17AA605F-E2F6-4C9C-B541-355E52607DA4}" uniqueName="137" name="Utilities - Sewer (Billing)" queryTableFieldId="137" dataDxfId="21"/>
    <tableColumn id="138" xr3:uid="{CA9B4D06-E0BB-44DD-8B69-812153E10B62}" uniqueName="138" name="Utilities - Sewer, Public" queryTableFieldId="138" dataDxfId="20"/>
    <tableColumn id="139" xr3:uid="{F9557B93-F5B8-4972-B440-98C573D2A489}" uniqueName="139" name="Utilities - Sewer" queryTableFieldId="139" dataDxfId="19"/>
    <tableColumn id="140" xr3:uid="{CCEF7A8C-3AC2-4F41-99AA-342D68BFDCF5}" uniqueName="140" name="Utilities - Waste Disposal" queryTableFieldId="140" dataDxfId="18"/>
    <tableColumn id="141" xr3:uid="{C8892AB2-2EB4-4379-A8BC-FE888636D07D}" uniqueName="141" name="Utilities - Water (Billing)" queryTableFieldId="141" dataDxfId="17"/>
    <tableColumn id="142" xr3:uid="{5DBB324E-68B4-42EE-AD80-F783BC71438B}" uniqueName="142" name="Utilities - Water, Public" queryTableFieldId="142" dataDxfId="16"/>
    <tableColumn id="143" xr3:uid="{3AC3CBBD-4F9E-4598-B0C4-FC6A1346DA35}" uniqueName="143" name="Utilities - Water" queryTableFieldId="143" dataDxfId="15"/>
    <tableColumn id="144" xr3:uid="{58C7036F-3BF8-4B98-9968-53D8EDD8B7AF}" uniqueName="144" name="Vacant APT at Purchase" queryTableFieldId="144" dataDxfId="14"/>
    <tableColumn id="145" xr3:uid="{2F2196AB-8021-4848-96A2-398EBCB48FBE}" uniqueName="145" name="Vacant Boat Slip at Purchase" queryTableFieldId="145" dataDxfId="13"/>
    <tableColumn id="146" xr3:uid="{7136BDDA-36AE-4BD6-939D-1609A8D0BC52}" uniqueName="146" name="Vacant Commercial at Purchase" queryTableFieldId="146" dataDxfId="12"/>
    <tableColumn id="147" xr3:uid="{0A461AF7-1698-4598-BF73-0FB92B28FDE5}" uniqueName="147" name="Vacant MH at Purchase" queryTableFieldId="147" dataDxfId="11"/>
    <tableColumn id="148" xr3:uid="{5072B0C6-7255-400D-A35C-A49863CE8449}" uniqueName="148" name="Vacant POH at Purchase - Lease Ready" queryTableFieldId="148" dataDxfId="10"/>
    <tableColumn id="149" xr3:uid="{31D03FF2-6BAD-46E1-BD23-25F4C0725D47}" uniqueName="149" name="Vacant POH at Purchase - Need Rehab" queryTableFieldId="149" dataDxfId="9"/>
    <tableColumn id="150" xr3:uid="{841A44CC-EF9D-4FDD-9604-B86C1310DEDB}" uniqueName="150" name="Vacant RV at Purchase" queryTableFieldId="150" dataDxfId="8"/>
    <tableColumn id="151" xr3:uid="{CC28E7AA-9944-4D48-8F0A-620E03D32AFD}" uniqueName="151" name="Vacant SFH at Purchase" queryTableFieldId="151" dataDxfId="7"/>
    <tableColumn id="152" xr3:uid="{EF4A145E-CDAC-4F0D-BD1B-4D775E5FD0D9}" uniqueName="152" name="Vacant Storage at Purchase" queryTableFieldId="152" dataDxfId="6"/>
    <tableColumn id="153" xr3:uid="{27514F56-0E16-4254-A03A-3B0FBFE5EAF3}" uniqueName="153" name="Vehicle" queryTableFieldId="153" dataDxfId="5"/>
    <tableColumn id="154" xr3:uid="{5FBBF366-85C2-4B27-A92F-8BFE70FFA3EB}" uniqueName="154" name="Violation Fee (1st Notice)" queryTableFieldId="154" dataDxfId="4"/>
    <tableColumn id="155" xr3:uid="{8E79881F-E43C-4E99-BC1D-4C8001A55ACE}" uniqueName="155" name="Violation Fee (2nd Notice)" queryTableFieldId="155" dataDxfId="3"/>
    <tableColumn id="156" xr3:uid="{910D9973-C6D6-493A-BE3D-DBA72869A6EA}" uniqueName="156" name="Violation Fee (3rd Notice)" queryTableFieldId="156" dataDxfId="2"/>
    <tableColumn id="157" xr3:uid="{9228A36B-E6C2-4687-96E8-8344EF707A92}" uniqueName="157" name="Watch Community" queryTableFieldId="157" dataDxfId="1"/>
    <tableColumn id="158" xr3:uid="{B5502941-0675-423F-BAD1-D9DD56BEF67D}" uniqueName="158" name="Website" queryTableFieldId="15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3F96-78EE-4F32-8478-503F1DBD788F}">
  <dimension ref="A1:R77"/>
  <sheetViews>
    <sheetView showGridLines="0" tabSelected="1" view="pageBreakPreview" zoomScale="85" zoomScaleNormal="80" zoomScaleSheetLayoutView="85" workbookViewId="0">
      <pane xSplit="4" ySplit="3" topLeftCell="E4" activePane="bottomRight" state="frozen"/>
      <selection pane="bottomRight" activeCell="L9" sqref="L9"/>
      <selection pane="bottomLeft" activeCell="A4" sqref="A4"/>
      <selection pane="topRight" activeCell="D1" sqref="D1"/>
    </sheetView>
  </sheetViews>
  <sheetFormatPr defaultColWidth="8.85546875" defaultRowHeight="12.75"/>
  <cols>
    <col min="1" max="1" width="8.85546875" style="1"/>
    <col min="2" max="2" width="24.42578125" style="1" bestFit="1" customWidth="1"/>
    <col min="3" max="3" width="25" style="1" bestFit="1" customWidth="1"/>
    <col min="4" max="4" width="23.7109375" style="1" bestFit="1" customWidth="1"/>
    <col min="5" max="8" width="19.7109375" style="1" customWidth="1"/>
    <col min="9" max="9" width="17" style="1" customWidth="1"/>
    <col min="10" max="10" width="17.7109375" style="5" bestFit="1" customWidth="1"/>
    <col min="11" max="11" width="20.140625" style="3" customWidth="1"/>
    <col min="12" max="12" width="20.140625" style="1" customWidth="1"/>
    <col min="13" max="13" width="15.85546875" style="1" bestFit="1" customWidth="1"/>
    <col min="14" max="14" width="17.140625" style="1" bestFit="1" customWidth="1"/>
    <col min="15" max="15" width="22.5703125" style="1" bestFit="1" customWidth="1"/>
    <col min="16" max="16" width="11.85546875" style="1" bestFit="1" customWidth="1"/>
    <col min="17" max="17" width="19.140625" style="1" bestFit="1" customWidth="1"/>
    <col min="18" max="18" width="23.42578125" style="1" bestFit="1" customWidth="1"/>
    <col min="19" max="16384" width="8.85546875" style="1"/>
  </cols>
  <sheetData>
    <row r="1" spans="1:18">
      <c r="K1" s="1"/>
    </row>
    <row r="2" spans="1:18" hidden="1">
      <c r="D2" s="1" t="s">
        <v>0</v>
      </c>
      <c r="E2" s="5" t="s">
        <v>1</v>
      </c>
      <c r="F2" s="5"/>
      <c r="G2" s="5"/>
      <c r="H2" s="5"/>
      <c r="I2" s="5" t="s">
        <v>2</v>
      </c>
      <c r="K2" s="1"/>
    </row>
    <row r="3" spans="1:18" s="5" customFormat="1" ht="13.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17" t="s">
        <v>14</v>
      </c>
      <c r="M3" s="17" t="s">
        <v>15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</row>
    <row r="4" spans="1:18">
      <c r="A4" s="10" t="s">
        <v>21</v>
      </c>
      <c r="B4" s="15" t="s">
        <v>22</v>
      </c>
      <c r="C4" s="15" t="s">
        <v>23</v>
      </c>
      <c r="D4" s="15" t="s">
        <v>24</v>
      </c>
      <c r="E4" s="11">
        <v>1085000</v>
      </c>
      <c r="F4" s="19" t="s">
        <v>25</v>
      </c>
      <c r="G4" s="20">
        <v>4.0500000000000001E-2</v>
      </c>
      <c r="H4" s="20" t="s">
        <v>26</v>
      </c>
      <c r="I4" s="13">
        <v>12</v>
      </c>
      <c r="J4" s="23">
        <v>43769</v>
      </c>
      <c r="K4" s="14">
        <f>EDATE(J4,(I4*12))</f>
        <v>48152</v>
      </c>
      <c r="L4" s="15" t="s">
        <v>26</v>
      </c>
      <c r="M4" s="26"/>
      <c r="N4" s="26"/>
      <c r="O4" s="21" t="s">
        <v>26</v>
      </c>
      <c r="P4" s="26"/>
      <c r="Q4" s="26"/>
      <c r="R4" s="26"/>
    </row>
    <row r="5" spans="1:18">
      <c r="A5" s="10" t="s">
        <v>27</v>
      </c>
      <c r="B5" s="15" t="s">
        <v>28</v>
      </c>
      <c r="C5" s="15" t="s">
        <v>23</v>
      </c>
      <c r="D5" s="15" t="s">
        <v>29</v>
      </c>
      <c r="E5" s="12">
        <v>2534000</v>
      </c>
      <c r="F5" s="19" t="s">
        <v>25</v>
      </c>
      <c r="G5" s="20">
        <v>3.9199999999999999E-2</v>
      </c>
      <c r="H5" s="20" t="s">
        <v>26</v>
      </c>
      <c r="I5" s="13">
        <v>12</v>
      </c>
      <c r="J5" s="23">
        <v>43873</v>
      </c>
      <c r="K5" s="14">
        <f t="shared" ref="K5" si="0">EDATE(J5,(I5*12))</f>
        <v>48256</v>
      </c>
      <c r="L5" s="15" t="s">
        <v>26</v>
      </c>
      <c r="M5" s="21" t="s">
        <v>30</v>
      </c>
      <c r="N5" s="21" t="s">
        <v>31</v>
      </c>
      <c r="O5" s="21" t="s">
        <v>26</v>
      </c>
      <c r="P5" s="21" t="s">
        <v>26</v>
      </c>
      <c r="Q5" s="24">
        <v>48091</v>
      </c>
      <c r="R5" s="21" t="s">
        <v>32</v>
      </c>
    </row>
    <row r="6" spans="1:18">
      <c r="A6" s="10" t="s">
        <v>27</v>
      </c>
      <c r="B6" s="15" t="s">
        <v>33</v>
      </c>
      <c r="C6" s="15" t="s">
        <v>34</v>
      </c>
      <c r="D6" s="15" t="s">
        <v>29</v>
      </c>
      <c r="E6" s="12"/>
      <c r="F6" s="19"/>
      <c r="G6" s="20"/>
      <c r="H6" s="20"/>
      <c r="I6" s="13"/>
      <c r="J6" s="23"/>
      <c r="K6" s="14"/>
      <c r="L6" s="15"/>
      <c r="M6" s="21"/>
      <c r="N6" s="21"/>
      <c r="O6" s="21"/>
      <c r="P6" s="21"/>
      <c r="Q6" s="24"/>
      <c r="R6" s="21"/>
    </row>
    <row r="7" spans="1:18">
      <c r="A7" s="10" t="s">
        <v>35</v>
      </c>
      <c r="B7" s="15" t="s">
        <v>36</v>
      </c>
      <c r="C7" s="15" t="s">
        <v>37</v>
      </c>
      <c r="D7" s="16" t="s">
        <v>38</v>
      </c>
      <c r="E7" s="12">
        <f>VLOOKUP(A7,[1]UBS_WF!$C$6:$D$12,2,FALSE)</f>
        <v>1477277</v>
      </c>
      <c r="F7" s="19" t="s">
        <v>25</v>
      </c>
      <c r="G7" s="20">
        <v>7.034E-2</v>
      </c>
      <c r="H7" s="20" t="s">
        <v>26</v>
      </c>
      <c r="I7" s="13">
        <v>5</v>
      </c>
      <c r="J7" s="23">
        <v>45425</v>
      </c>
      <c r="K7" s="14">
        <v>47275</v>
      </c>
      <c r="L7" s="15" t="s">
        <v>26</v>
      </c>
      <c r="M7" s="21" t="s">
        <v>30</v>
      </c>
      <c r="N7" s="21" t="s">
        <v>39</v>
      </c>
      <c r="O7" s="21" t="s">
        <v>26</v>
      </c>
      <c r="P7" s="21" t="s">
        <v>26</v>
      </c>
      <c r="Q7" s="24">
        <v>47124</v>
      </c>
      <c r="R7" s="21" t="s">
        <v>40</v>
      </c>
    </row>
    <row r="8" spans="1:18">
      <c r="A8" s="10" t="s">
        <v>41</v>
      </c>
      <c r="B8" s="15" t="s">
        <v>36</v>
      </c>
      <c r="C8" s="15" t="s">
        <v>37</v>
      </c>
      <c r="D8" s="16" t="s">
        <v>42</v>
      </c>
      <c r="E8" s="12">
        <f>VLOOKUP(A8,[1]UBS_WF!$C$6:$D$12,2,FALSE)</f>
        <v>2652426</v>
      </c>
      <c r="F8" s="19" t="s">
        <v>25</v>
      </c>
      <c r="G8" s="20">
        <v>7.034E-2</v>
      </c>
      <c r="H8" s="20" t="s">
        <v>26</v>
      </c>
      <c r="I8" s="13">
        <v>5</v>
      </c>
      <c r="J8" s="23">
        <v>45425</v>
      </c>
      <c r="K8" s="14">
        <v>47275</v>
      </c>
      <c r="L8" s="15" t="s">
        <v>26</v>
      </c>
      <c r="M8" s="21" t="s">
        <v>30</v>
      </c>
      <c r="N8" s="21" t="s">
        <v>39</v>
      </c>
      <c r="O8" s="21" t="s">
        <v>26</v>
      </c>
      <c r="P8" s="21" t="s">
        <v>26</v>
      </c>
      <c r="Q8" s="24">
        <v>47124</v>
      </c>
      <c r="R8" s="21" t="s">
        <v>40</v>
      </c>
    </row>
    <row r="9" spans="1:18">
      <c r="A9" s="10" t="s">
        <v>43</v>
      </c>
      <c r="B9" s="15" t="s">
        <v>36</v>
      </c>
      <c r="C9" s="15" t="s">
        <v>37</v>
      </c>
      <c r="D9" s="16" t="s">
        <v>44</v>
      </c>
      <c r="E9" s="12">
        <f>VLOOKUP(A9,[1]UBS_WF!$C$6:$D$12,2,FALSE)</f>
        <v>2684398</v>
      </c>
      <c r="F9" s="19" t="s">
        <v>25</v>
      </c>
      <c r="G9" s="20">
        <v>7.034E-2</v>
      </c>
      <c r="H9" s="20" t="s">
        <v>26</v>
      </c>
      <c r="I9" s="13">
        <v>5</v>
      </c>
      <c r="J9" s="23">
        <v>45425</v>
      </c>
      <c r="K9" s="14">
        <v>47275</v>
      </c>
      <c r="L9" s="15" t="s">
        <v>26</v>
      </c>
      <c r="M9" s="21" t="s">
        <v>30</v>
      </c>
      <c r="N9" s="21" t="s">
        <v>39</v>
      </c>
      <c r="O9" s="21" t="s">
        <v>26</v>
      </c>
      <c r="P9" s="21" t="s">
        <v>26</v>
      </c>
      <c r="Q9" s="24">
        <v>47124</v>
      </c>
      <c r="R9" s="21" t="s">
        <v>40</v>
      </c>
    </row>
    <row r="10" spans="1:18">
      <c r="A10" s="10" t="s">
        <v>45</v>
      </c>
      <c r="B10" s="15" t="s">
        <v>36</v>
      </c>
      <c r="C10" s="15" t="s">
        <v>37</v>
      </c>
      <c r="D10" s="16" t="s">
        <v>46</v>
      </c>
      <c r="E10" s="12">
        <f>VLOOKUP(A10,[1]UBS_WF!$C$6:$D$12,2,FALSE)</f>
        <v>1926623</v>
      </c>
      <c r="F10" s="19" t="s">
        <v>25</v>
      </c>
      <c r="G10" s="20">
        <v>7.034E-2</v>
      </c>
      <c r="H10" s="20" t="s">
        <v>26</v>
      </c>
      <c r="I10" s="13">
        <v>5</v>
      </c>
      <c r="J10" s="23">
        <v>45425</v>
      </c>
      <c r="K10" s="14">
        <v>47275</v>
      </c>
      <c r="L10" s="15" t="s">
        <v>26</v>
      </c>
      <c r="M10" s="21" t="s">
        <v>30</v>
      </c>
      <c r="N10" s="21" t="s">
        <v>39</v>
      </c>
      <c r="O10" s="21" t="s">
        <v>26</v>
      </c>
      <c r="P10" s="21" t="s">
        <v>26</v>
      </c>
      <c r="Q10" s="24">
        <v>47124</v>
      </c>
      <c r="R10" s="21" t="s">
        <v>40</v>
      </c>
    </row>
    <row r="11" spans="1:18">
      <c r="A11" s="10" t="s">
        <v>47</v>
      </c>
      <c r="B11" s="15" t="s">
        <v>36</v>
      </c>
      <c r="C11" s="15" t="s">
        <v>37</v>
      </c>
      <c r="D11" s="16" t="s">
        <v>48</v>
      </c>
      <c r="E11" s="12">
        <f>VLOOKUP(A11,[1]UBS_WF!$C$6:$D$12,2,FALSE)</f>
        <v>1802239</v>
      </c>
      <c r="F11" s="19" t="s">
        <v>25</v>
      </c>
      <c r="G11" s="20">
        <v>7.034E-2</v>
      </c>
      <c r="H11" s="20" t="s">
        <v>26</v>
      </c>
      <c r="I11" s="13">
        <v>5</v>
      </c>
      <c r="J11" s="23">
        <v>45425</v>
      </c>
      <c r="K11" s="14">
        <v>47275</v>
      </c>
      <c r="L11" s="15" t="s">
        <v>26</v>
      </c>
      <c r="M11" s="21" t="s">
        <v>30</v>
      </c>
      <c r="N11" s="21" t="s">
        <v>39</v>
      </c>
      <c r="O11" s="21" t="s">
        <v>26</v>
      </c>
      <c r="P11" s="21" t="s">
        <v>26</v>
      </c>
      <c r="Q11" s="24">
        <v>47124</v>
      </c>
      <c r="R11" s="21" t="s">
        <v>40</v>
      </c>
    </row>
    <row r="12" spans="1:18">
      <c r="A12" s="10" t="s">
        <v>49</v>
      </c>
      <c r="B12" s="15" t="s">
        <v>36</v>
      </c>
      <c r="C12" s="15" t="s">
        <v>37</v>
      </c>
      <c r="D12" s="16" t="s">
        <v>50</v>
      </c>
      <c r="E12" s="12">
        <f>VLOOKUP(A12,[1]UBS_WF!$C$6:$D$12,2,FALSE)</f>
        <v>2717319</v>
      </c>
      <c r="F12" s="19" t="s">
        <v>25</v>
      </c>
      <c r="G12" s="20">
        <v>7.034E-2</v>
      </c>
      <c r="H12" s="20" t="s">
        <v>26</v>
      </c>
      <c r="I12" s="13">
        <v>5</v>
      </c>
      <c r="J12" s="23">
        <v>45425</v>
      </c>
      <c r="K12" s="14">
        <v>47275</v>
      </c>
      <c r="L12" s="15" t="s">
        <v>26</v>
      </c>
      <c r="M12" s="21" t="s">
        <v>30</v>
      </c>
      <c r="N12" s="21" t="s">
        <v>39</v>
      </c>
      <c r="O12" s="21" t="s">
        <v>26</v>
      </c>
      <c r="P12" s="21" t="s">
        <v>26</v>
      </c>
      <c r="Q12" s="24">
        <v>47124</v>
      </c>
      <c r="R12" s="21" t="s">
        <v>40</v>
      </c>
    </row>
    <row r="13" spans="1:18">
      <c r="A13" s="10" t="s">
        <v>51</v>
      </c>
      <c r="B13" s="15" t="s">
        <v>36</v>
      </c>
      <c r="C13" s="15" t="s">
        <v>37</v>
      </c>
      <c r="D13" s="16" t="s">
        <v>52</v>
      </c>
      <c r="E13" s="12">
        <f>VLOOKUP(A13,[1]UBS_WF!$C$6:$D$12,2,FALSE)</f>
        <v>739718</v>
      </c>
      <c r="F13" s="19" t="s">
        <v>25</v>
      </c>
      <c r="G13" s="20">
        <v>7.034E-2</v>
      </c>
      <c r="H13" s="20" t="s">
        <v>26</v>
      </c>
      <c r="I13" s="13">
        <v>5</v>
      </c>
      <c r="J13" s="23">
        <v>45425</v>
      </c>
      <c r="K13" s="14">
        <v>47275</v>
      </c>
      <c r="L13" s="15" t="s">
        <v>26</v>
      </c>
      <c r="M13" s="21" t="s">
        <v>30</v>
      </c>
      <c r="N13" s="21" t="s">
        <v>39</v>
      </c>
      <c r="O13" s="21" t="s">
        <v>26</v>
      </c>
      <c r="P13" s="21" t="s">
        <v>26</v>
      </c>
      <c r="Q13" s="24">
        <v>47124</v>
      </c>
      <c r="R13" s="21" t="s">
        <v>40</v>
      </c>
    </row>
    <row r="14" spans="1:18" ht="36.950000000000003" customHeight="1">
      <c r="A14" s="10" t="s">
        <v>53</v>
      </c>
      <c r="B14" s="15" t="s">
        <v>54</v>
      </c>
      <c r="C14" s="15" t="s">
        <v>55</v>
      </c>
      <c r="D14" s="15" t="s">
        <v>56</v>
      </c>
      <c r="E14" s="12">
        <v>4634370.79</v>
      </c>
      <c r="F14" s="19" t="s">
        <v>57</v>
      </c>
      <c r="G14" s="20">
        <v>2.8500000000000001E-2</v>
      </c>
      <c r="H14" s="19" t="s">
        <v>58</v>
      </c>
      <c r="I14" s="13">
        <f>ROUND((K14-J14)/365,0)</f>
        <v>3</v>
      </c>
      <c r="J14" s="23">
        <v>45442</v>
      </c>
      <c r="K14" s="14">
        <v>46547</v>
      </c>
      <c r="L14" s="15" t="s">
        <v>59</v>
      </c>
      <c r="M14" s="21" t="s">
        <v>30</v>
      </c>
      <c r="N14" s="21" t="s">
        <v>39</v>
      </c>
      <c r="O14" s="22" t="s">
        <v>30</v>
      </c>
      <c r="P14" s="22">
        <v>0.05</v>
      </c>
      <c r="Q14" s="22" t="s">
        <v>26</v>
      </c>
      <c r="R14" s="47" t="s">
        <v>60</v>
      </c>
    </row>
    <row r="15" spans="1:18">
      <c r="A15" s="10" t="s">
        <v>61</v>
      </c>
      <c r="B15" s="15" t="s">
        <v>54</v>
      </c>
      <c r="C15" s="15" t="s">
        <v>55</v>
      </c>
      <c r="D15" s="15" t="s">
        <v>62</v>
      </c>
      <c r="E15" s="12">
        <v>4037007.79</v>
      </c>
      <c r="F15" s="19" t="s">
        <v>57</v>
      </c>
      <c r="G15" s="20">
        <v>2.8500000000000001E-2</v>
      </c>
      <c r="H15" s="19" t="s">
        <v>58</v>
      </c>
      <c r="I15" s="13">
        <f t="shared" ref="I15:I73" si="1">ROUND((K15-J15)/365,0)</f>
        <v>3</v>
      </c>
      <c r="J15" s="23">
        <v>45442</v>
      </c>
      <c r="K15" s="14">
        <v>46547</v>
      </c>
      <c r="L15" s="15" t="s">
        <v>59</v>
      </c>
      <c r="M15" s="21" t="s">
        <v>30</v>
      </c>
      <c r="N15" s="21" t="s">
        <v>39</v>
      </c>
      <c r="O15" s="22" t="s">
        <v>30</v>
      </c>
      <c r="P15" s="22">
        <v>0.05</v>
      </c>
      <c r="Q15" s="22" t="s">
        <v>26</v>
      </c>
      <c r="R15" s="47"/>
    </row>
    <row r="16" spans="1:18">
      <c r="A16" s="10" t="s">
        <v>63</v>
      </c>
      <c r="B16" s="15" t="s">
        <v>54</v>
      </c>
      <c r="C16" s="15" t="s">
        <v>55</v>
      </c>
      <c r="D16" s="15" t="s">
        <v>64</v>
      </c>
      <c r="E16" s="12">
        <v>5393077.6500000004</v>
      </c>
      <c r="F16" s="19" t="s">
        <v>57</v>
      </c>
      <c r="G16" s="20">
        <v>2.8500000000000001E-2</v>
      </c>
      <c r="H16" s="19" t="s">
        <v>58</v>
      </c>
      <c r="I16" s="13">
        <f t="shared" si="1"/>
        <v>3</v>
      </c>
      <c r="J16" s="23">
        <v>45442</v>
      </c>
      <c r="K16" s="14">
        <v>46547</v>
      </c>
      <c r="L16" s="15" t="s">
        <v>59</v>
      </c>
      <c r="M16" s="21" t="s">
        <v>30</v>
      </c>
      <c r="N16" s="21" t="s">
        <v>39</v>
      </c>
      <c r="O16" s="22" t="s">
        <v>30</v>
      </c>
      <c r="P16" s="22">
        <v>0.05</v>
      </c>
      <c r="Q16" s="22" t="s">
        <v>26</v>
      </c>
      <c r="R16" s="47"/>
    </row>
    <row r="17" spans="1:18">
      <c r="A17" s="10" t="s">
        <v>65</v>
      </c>
      <c r="B17" s="15" t="s">
        <v>54</v>
      </c>
      <c r="C17" s="15" t="s">
        <v>55</v>
      </c>
      <c r="D17" s="15" t="s">
        <v>66</v>
      </c>
      <c r="E17" s="12">
        <v>2542751.4700000002</v>
      </c>
      <c r="F17" s="19" t="s">
        <v>57</v>
      </c>
      <c r="G17" s="20">
        <v>2.8500000000000001E-2</v>
      </c>
      <c r="H17" s="19" t="s">
        <v>58</v>
      </c>
      <c r="I17" s="13">
        <f t="shared" si="1"/>
        <v>3</v>
      </c>
      <c r="J17" s="23">
        <v>45442</v>
      </c>
      <c r="K17" s="14">
        <v>46547</v>
      </c>
      <c r="L17" s="15" t="s">
        <v>59</v>
      </c>
      <c r="M17" s="21" t="s">
        <v>30</v>
      </c>
      <c r="N17" s="21" t="s">
        <v>39</v>
      </c>
      <c r="O17" s="22" t="s">
        <v>30</v>
      </c>
      <c r="P17" s="22">
        <v>0.05</v>
      </c>
      <c r="Q17" s="22" t="s">
        <v>26</v>
      </c>
      <c r="R17" s="47"/>
    </row>
    <row r="18" spans="1:18">
      <c r="A18" s="10" t="s">
        <v>67</v>
      </c>
      <c r="B18" s="15" t="s">
        <v>54</v>
      </c>
      <c r="C18" s="15" t="s">
        <v>55</v>
      </c>
      <c r="D18" s="15" t="s">
        <v>68</v>
      </c>
      <c r="E18" s="12">
        <v>2040336.7</v>
      </c>
      <c r="F18" s="19" t="s">
        <v>57</v>
      </c>
      <c r="G18" s="20">
        <v>2.8500000000000001E-2</v>
      </c>
      <c r="H18" s="19" t="s">
        <v>58</v>
      </c>
      <c r="I18" s="13">
        <f t="shared" si="1"/>
        <v>3</v>
      </c>
      <c r="J18" s="23">
        <v>45442</v>
      </c>
      <c r="K18" s="14">
        <v>46547</v>
      </c>
      <c r="L18" s="15" t="s">
        <v>59</v>
      </c>
      <c r="M18" s="21" t="s">
        <v>30</v>
      </c>
      <c r="N18" s="21" t="s">
        <v>39</v>
      </c>
      <c r="O18" s="22" t="s">
        <v>30</v>
      </c>
      <c r="P18" s="22">
        <v>0.05</v>
      </c>
      <c r="Q18" s="22" t="s">
        <v>26</v>
      </c>
      <c r="R18" s="47"/>
    </row>
    <row r="19" spans="1:18">
      <c r="A19" s="10" t="s">
        <v>69</v>
      </c>
      <c r="B19" s="15" t="s">
        <v>54</v>
      </c>
      <c r="C19" s="15" t="s">
        <v>55</v>
      </c>
      <c r="D19" s="15" t="s">
        <v>70</v>
      </c>
      <c r="E19" s="12">
        <v>1753270.2</v>
      </c>
      <c r="F19" s="19" t="s">
        <v>57</v>
      </c>
      <c r="G19" s="20">
        <v>2.8500000000000001E-2</v>
      </c>
      <c r="H19" s="19" t="s">
        <v>58</v>
      </c>
      <c r="I19" s="13">
        <f t="shared" si="1"/>
        <v>3</v>
      </c>
      <c r="J19" s="23">
        <v>45442</v>
      </c>
      <c r="K19" s="14">
        <v>46547</v>
      </c>
      <c r="L19" s="15" t="s">
        <v>59</v>
      </c>
      <c r="M19" s="21" t="s">
        <v>30</v>
      </c>
      <c r="N19" s="21" t="s">
        <v>39</v>
      </c>
      <c r="O19" s="22" t="s">
        <v>30</v>
      </c>
      <c r="P19" s="22">
        <v>0.05</v>
      </c>
      <c r="Q19" s="22" t="s">
        <v>26</v>
      </c>
      <c r="R19" s="47"/>
    </row>
    <row r="20" spans="1:18">
      <c r="A20" s="10" t="s">
        <v>71</v>
      </c>
      <c r="B20" s="15" t="s">
        <v>54</v>
      </c>
      <c r="C20" s="15" t="s">
        <v>55</v>
      </c>
      <c r="D20" s="15" t="s">
        <v>72</v>
      </c>
      <c r="E20" s="12">
        <v>9996674.0299999993</v>
      </c>
      <c r="F20" s="19" t="s">
        <v>57</v>
      </c>
      <c r="G20" s="20">
        <v>2.8500000000000001E-2</v>
      </c>
      <c r="H20" s="19" t="s">
        <v>58</v>
      </c>
      <c r="I20" s="13">
        <f t="shared" si="1"/>
        <v>3</v>
      </c>
      <c r="J20" s="23">
        <v>45442</v>
      </c>
      <c r="K20" s="14">
        <v>46547</v>
      </c>
      <c r="L20" s="15" t="s">
        <v>59</v>
      </c>
      <c r="M20" s="21" t="s">
        <v>30</v>
      </c>
      <c r="N20" s="21" t="s">
        <v>39</v>
      </c>
      <c r="O20" s="22" t="s">
        <v>30</v>
      </c>
      <c r="P20" s="22">
        <v>0.05</v>
      </c>
      <c r="Q20" s="22" t="s">
        <v>26</v>
      </c>
      <c r="R20" s="47"/>
    </row>
    <row r="21" spans="1:18">
      <c r="A21" s="10" t="s">
        <v>73</v>
      </c>
      <c r="B21" s="15" t="s">
        <v>54</v>
      </c>
      <c r="C21" s="15" t="s">
        <v>55</v>
      </c>
      <c r="D21" s="15" t="s">
        <v>74</v>
      </c>
      <c r="E21" s="12">
        <v>1691745.58</v>
      </c>
      <c r="F21" s="19" t="s">
        <v>57</v>
      </c>
      <c r="G21" s="20">
        <v>2.8500000000000001E-2</v>
      </c>
      <c r="H21" s="19" t="s">
        <v>58</v>
      </c>
      <c r="I21" s="13">
        <f t="shared" si="1"/>
        <v>3</v>
      </c>
      <c r="J21" s="23">
        <v>45442</v>
      </c>
      <c r="K21" s="14">
        <v>46547</v>
      </c>
      <c r="L21" s="15" t="s">
        <v>59</v>
      </c>
      <c r="M21" s="21" t="s">
        <v>30</v>
      </c>
      <c r="N21" s="21" t="s">
        <v>39</v>
      </c>
      <c r="O21" s="22" t="s">
        <v>30</v>
      </c>
      <c r="P21" s="22">
        <v>0.05</v>
      </c>
      <c r="Q21" s="22" t="s">
        <v>26</v>
      </c>
      <c r="R21" s="47"/>
    </row>
    <row r="22" spans="1:18">
      <c r="A22" s="10" t="s">
        <v>75</v>
      </c>
      <c r="B22" s="15" t="s">
        <v>54</v>
      </c>
      <c r="C22" s="15" t="s">
        <v>55</v>
      </c>
      <c r="D22" s="15" t="s">
        <v>76</v>
      </c>
      <c r="E22" s="12">
        <v>9152861.7400000002</v>
      </c>
      <c r="F22" s="19" t="s">
        <v>57</v>
      </c>
      <c r="G22" s="20">
        <v>2.8500000000000001E-2</v>
      </c>
      <c r="H22" s="19" t="s">
        <v>58</v>
      </c>
      <c r="I22" s="13">
        <f t="shared" si="1"/>
        <v>3</v>
      </c>
      <c r="J22" s="23">
        <v>45442</v>
      </c>
      <c r="K22" s="14">
        <v>46547</v>
      </c>
      <c r="L22" s="15" t="s">
        <v>59</v>
      </c>
      <c r="M22" s="21" t="s">
        <v>30</v>
      </c>
      <c r="N22" s="21" t="s">
        <v>39</v>
      </c>
      <c r="O22" s="22" t="s">
        <v>30</v>
      </c>
      <c r="P22" s="22">
        <v>0.05</v>
      </c>
      <c r="Q22" s="22" t="s">
        <v>26</v>
      </c>
      <c r="R22" s="47"/>
    </row>
    <row r="23" spans="1:18">
      <c r="A23" s="10" t="s">
        <v>77</v>
      </c>
      <c r="B23" s="15" t="s">
        <v>54</v>
      </c>
      <c r="C23" s="15" t="s">
        <v>55</v>
      </c>
      <c r="D23" s="15" t="s">
        <v>78</v>
      </c>
      <c r="E23" s="12">
        <v>2153119.7400000002</v>
      </c>
      <c r="F23" s="19" t="s">
        <v>57</v>
      </c>
      <c r="G23" s="20">
        <v>2.8500000000000001E-2</v>
      </c>
      <c r="H23" s="19" t="s">
        <v>58</v>
      </c>
      <c r="I23" s="13">
        <f t="shared" si="1"/>
        <v>3</v>
      </c>
      <c r="J23" s="23">
        <v>45442</v>
      </c>
      <c r="K23" s="14">
        <v>46547</v>
      </c>
      <c r="L23" s="15" t="s">
        <v>59</v>
      </c>
      <c r="M23" s="21" t="s">
        <v>30</v>
      </c>
      <c r="N23" s="21" t="s">
        <v>39</v>
      </c>
      <c r="O23" s="22" t="s">
        <v>30</v>
      </c>
      <c r="P23" s="22">
        <v>0.05</v>
      </c>
      <c r="Q23" s="22" t="s">
        <v>26</v>
      </c>
      <c r="R23" s="47"/>
    </row>
    <row r="24" spans="1:18">
      <c r="A24" s="10" t="s">
        <v>79</v>
      </c>
      <c r="B24" s="15" t="s">
        <v>54</v>
      </c>
      <c r="C24" s="15" t="s">
        <v>55</v>
      </c>
      <c r="D24" s="15" t="s">
        <v>80</v>
      </c>
      <c r="E24" s="12">
        <v>8940610.2699999996</v>
      </c>
      <c r="F24" s="19" t="s">
        <v>57</v>
      </c>
      <c r="G24" s="20">
        <v>2.8500000000000001E-2</v>
      </c>
      <c r="H24" s="19" t="s">
        <v>58</v>
      </c>
      <c r="I24" s="13">
        <f t="shared" si="1"/>
        <v>3</v>
      </c>
      <c r="J24" s="23">
        <v>45442</v>
      </c>
      <c r="K24" s="14">
        <v>46547</v>
      </c>
      <c r="L24" s="15" t="s">
        <v>59</v>
      </c>
      <c r="M24" s="21" t="s">
        <v>30</v>
      </c>
      <c r="N24" s="21" t="s">
        <v>39</v>
      </c>
      <c r="O24" s="22" t="s">
        <v>30</v>
      </c>
      <c r="P24" s="22">
        <v>0.05</v>
      </c>
      <c r="Q24" s="22" t="s">
        <v>26</v>
      </c>
      <c r="R24" s="47"/>
    </row>
    <row r="25" spans="1:18">
      <c r="A25" s="10" t="s">
        <v>81</v>
      </c>
      <c r="B25" s="15" t="s">
        <v>54</v>
      </c>
      <c r="C25" s="15" t="s">
        <v>55</v>
      </c>
      <c r="D25" s="15" t="s">
        <v>82</v>
      </c>
      <c r="E25" s="12">
        <v>14364486.529999999</v>
      </c>
      <c r="F25" s="19" t="s">
        <v>57</v>
      </c>
      <c r="G25" s="20">
        <v>2.8500000000000001E-2</v>
      </c>
      <c r="H25" s="19" t="s">
        <v>58</v>
      </c>
      <c r="I25" s="13">
        <f t="shared" si="1"/>
        <v>3</v>
      </c>
      <c r="J25" s="23">
        <v>45442</v>
      </c>
      <c r="K25" s="14">
        <v>46547</v>
      </c>
      <c r="L25" s="15" t="s">
        <v>59</v>
      </c>
      <c r="M25" s="21" t="s">
        <v>30</v>
      </c>
      <c r="N25" s="21" t="s">
        <v>39</v>
      </c>
      <c r="O25" s="22" t="s">
        <v>30</v>
      </c>
      <c r="P25" s="22">
        <v>0.05</v>
      </c>
      <c r="Q25" s="22" t="s">
        <v>26</v>
      </c>
      <c r="R25" s="47"/>
    </row>
    <row r="26" spans="1:18">
      <c r="A26" s="10" t="s">
        <v>83</v>
      </c>
      <c r="B26" s="15" t="s">
        <v>54</v>
      </c>
      <c r="C26" s="15" t="s">
        <v>55</v>
      </c>
      <c r="D26" s="15" t="s">
        <v>84</v>
      </c>
      <c r="E26" s="12">
        <v>5998009.2599999998</v>
      </c>
      <c r="F26" s="19" t="s">
        <v>57</v>
      </c>
      <c r="G26" s="20">
        <v>2.8500000000000001E-2</v>
      </c>
      <c r="H26" s="19" t="s">
        <v>58</v>
      </c>
      <c r="I26" s="13">
        <f t="shared" si="1"/>
        <v>3</v>
      </c>
      <c r="J26" s="23">
        <v>45442</v>
      </c>
      <c r="K26" s="14">
        <v>46547</v>
      </c>
      <c r="L26" s="15" t="s">
        <v>59</v>
      </c>
      <c r="M26" s="21" t="s">
        <v>30</v>
      </c>
      <c r="N26" s="21" t="s">
        <v>39</v>
      </c>
      <c r="O26" s="22" t="s">
        <v>30</v>
      </c>
      <c r="P26" s="22">
        <v>0.05</v>
      </c>
      <c r="Q26" s="22" t="s">
        <v>26</v>
      </c>
      <c r="R26" s="47"/>
    </row>
    <row r="27" spans="1:18">
      <c r="A27" s="10" t="s">
        <v>85</v>
      </c>
      <c r="B27" s="15" t="s">
        <v>54</v>
      </c>
      <c r="C27" s="15" t="s">
        <v>55</v>
      </c>
      <c r="D27" s="15" t="s">
        <v>86</v>
      </c>
      <c r="E27" s="12">
        <v>5536635.0999999996</v>
      </c>
      <c r="F27" s="19" t="s">
        <v>57</v>
      </c>
      <c r="G27" s="20">
        <v>2.8500000000000001E-2</v>
      </c>
      <c r="H27" s="19" t="s">
        <v>58</v>
      </c>
      <c r="I27" s="13">
        <f t="shared" si="1"/>
        <v>3</v>
      </c>
      <c r="J27" s="23">
        <v>45442</v>
      </c>
      <c r="K27" s="14">
        <v>46547</v>
      </c>
      <c r="L27" s="15" t="s">
        <v>59</v>
      </c>
      <c r="M27" s="21" t="s">
        <v>30</v>
      </c>
      <c r="N27" s="21" t="s">
        <v>39</v>
      </c>
      <c r="O27" s="22" t="s">
        <v>30</v>
      </c>
      <c r="P27" s="22">
        <v>0.05</v>
      </c>
      <c r="Q27" s="22" t="s">
        <v>26</v>
      </c>
      <c r="R27" s="47"/>
    </row>
    <row r="28" spans="1:18">
      <c r="A28" s="10" t="s">
        <v>87</v>
      </c>
      <c r="B28" s="15" t="s">
        <v>54</v>
      </c>
      <c r="C28" s="15" t="s">
        <v>55</v>
      </c>
      <c r="D28" s="15" t="s">
        <v>88</v>
      </c>
      <c r="E28" s="12">
        <v>2491468.86</v>
      </c>
      <c r="F28" s="19" t="s">
        <v>57</v>
      </c>
      <c r="G28" s="20">
        <v>2.8500000000000001E-2</v>
      </c>
      <c r="H28" s="19" t="s">
        <v>58</v>
      </c>
      <c r="I28" s="13">
        <f t="shared" si="1"/>
        <v>3</v>
      </c>
      <c r="J28" s="23">
        <v>45442</v>
      </c>
      <c r="K28" s="14">
        <v>46547</v>
      </c>
      <c r="L28" s="15" t="s">
        <v>59</v>
      </c>
      <c r="M28" s="21" t="s">
        <v>30</v>
      </c>
      <c r="N28" s="21" t="s">
        <v>39</v>
      </c>
      <c r="O28" s="22" t="s">
        <v>30</v>
      </c>
      <c r="P28" s="22">
        <v>0.05</v>
      </c>
      <c r="Q28" s="22" t="s">
        <v>26</v>
      </c>
      <c r="R28" s="47"/>
    </row>
    <row r="29" spans="1:18">
      <c r="A29" s="10" t="s">
        <v>89</v>
      </c>
      <c r="B29" s="15" t="s">
        <v>54</v>
      </c>
      <c r="C29" s="15" t="s">
        <v>55</v>
      </c>
      <c r="D29" s="15" t="s">
        <v>90</v>
      </c>
      <c r="E29" s="12">
        <v>4244739.0599999996</v>
      </c>
      <c r="F29" s="19" t="s">
        <v>57</v>
      </c>
      <c r="G29" s="20">
        <v>2.8500000000000001E-2</v>
      </c>
      <c r="H29" s="19" t="s">
        <v>58</v>
      </c>
      <c r="I29" s="13">
        <f t="shared" si="1"/>
        <v>3</v>
      </c>
      <c r="J29" s="23">
        <v>45442</v>
      </c>
      <c r="K29" s="14">
        <v>46547</v>
      </c>
      <c r="L29" s="15" t="s">
        <v>59</v>
      </c>
      <c r="M29" s="21" t="s">
        <v>30</v>
      </c>
      <c r="N29" s="21" t="s">
        <v>39</v>
      </c>
      <c r="O29" s="22" t="s">
        <v>30</v>
      </c>
      <c r="P29" s="22">
        <v>0.05</v>
      </c>
      <c r="Q29" s="22" t="s">
        <v>26</v>
      </c>
      <c r="R29" s="47"/>
    </row>
    <row r="30" spans="1:18">
      <c r="A30" s="10" t="s">
        <v>91</v>
      </c>
      <c r="B30" s="15" t="s">
        <v>54</v>
      </c>
      <c r="C30" s="15" t="s">
        <v>55</v>
      </c>
      <c r="D30" s="15" t="s">
        <v>92</v>
      </c>
      <c r="E30" s="12">
        <v>3557798.82</v>
      </c>
      <c r="F30" s="19" t="s">
        <v>57</v>
      </c>
      <c r="G30" s="20">
        <v>2.8500000000000001E-2</v>
      </c>
      <c r="H30" s="19" t="s">
        <v>58</v>
      </c>
      <c r="I30" s="13">
        <f t="shared" si="1"/>
        <v>3</v>
      </c>
      <c r="J30" s="23">
        <v>45442</v>
      </c>
      <c r="K30" s="14">
        <v>46547</v>
      </c>
      <c r="L30" s="15" t="s">
        <v>59</v>
      </c>
      <c r="M30" s="21" t="s">
        <v>30</v>
      </c>
      <c r="N30" s="21" t="s">
        <v>39</v>
      </c>
      <c r="O30" s="22" t="s">
        <v>30</v>
      </c>
      <c r="P30" s="22">
        <v>0.05</v>
      </c>
      <c r="Q30" s="22" t="s">
        <v>26</v>
      </c>
      <c r="R30" s="47"/>
    </row>
    <row r="31" spans="1:18">
      <c r="A31" s="10" t="s">
        <v>93</v>
      </c>
      <c r="B31" s="15" t="s">
        <v>54</v>
      </c>
      <c r="C31" s="15" t="s">
        <v>55</v>
      </c>
      <c r="D31" s="15" t="s">
        <v>94</v>
      </c>
      <c r="E31" s="12">
        <v>12918791.039999999</v>
      </c>
      <c r="F31" s="19" t="s">
        <v>57</v>
      </c>
      <c r="G31" s="20">
        <v>2.8500000000000001E-2</v>
      </c>
      <c r="H31" s="19" t="s">
        <v>58</v>
      </c>
      <c r="I31" s="13">
        <f t="shared" si="1"/>
        <v>3</v>
      </c>
      <c r="J31" s="23">
        <v>45442</v>
      </c>
      <c r="K31" s="14">
        <v>46547</v>
      </c>
      <c r="L31" s="15" t="s">
        <v>59</v>
      </c>
      <c r="M31" s="21" t="s">
        <v>30</v>
      </c>
      <c r="N31" s="21" t="s">
        <v>39</v>
      </c>
      <c r="O31" s="22" t="s">
        <v>30</v>
      </c>
      <c r="P31" s="22">
        <v>0.05</v>
      </c>
      <c r="Q31" s="22" t="s">
        <v>26</v>
      </c>
      <c r="R31" s="47"/>
    </row>
    <row r="32" spans="1:18">
      <c r="A32" s="10" t="s">
        <v>95</v>
      </c>
      <c r="B32" s="15" t="s">
        <v>54</v>
      </c>
      <c r="C32" s="15" t="s">
        <v>55</v>
      </c>
      <c r="D32" s="15" t="s">
        <v>96</v>
      </c>
      <c r="E32" s="12">
        <v>5710918.5599999996</v>
      </c>
      <c r="F32" s="19" t="s">
        <v>57</v>
      </c>
      <c r="G32" s="20">
        <v>2.8500000000000001E-2</v>
      </c>
      <c r="H32" s="19" t="s">
        <v>58</v>
      </c>
      <c r="I32" s="13">
        <f t="shared" si="1"/>
        <v>3</v>
      </c>
      <c r="J32" s="23">
        <v>45442</v>
      </c>
      <c r="K32" s="14">
        <v>46547</v>
      </c>
      <c r="L32" s="15" t="s">
        <v>59</v>
      </c>
      <c r="M32" s="21" t="s">
        <v>30</v>
      </c>
      <c r="N32" s="21" t="s">
        <v>39</v>
      </c>
      <c r="O32" s="22" t="s">
        <v>30</v>
      </c>
      <c r="P32" s="22">
        <v>0.05</v>
      </c>
      <c r="Q32" s="22" t="s">
        <v>26</v>
      </c>
      <c r="R32" s="47"/>
    </row>
    <row r="33" spans="1:18">
      <c r="A33" s="10" t="s">
        <v>97</v>
      </c>
      <c r="B33" s="15" t="s">
        <v>54</v>
      </c>
      <c r="C33" s="15" t="s">
        <v>55</v>
      </c>
      <c r="D33" s="15" t="s">
        <v>98</v>
      </c>
      <c r="E33" s="12">
        <v>8766326.8100000005</v>
      </c>
      <c r="F33" s="19" t="s">
        <v>57</v>
      </c>
      <c r="G33" s="20">
        <v>2.8500000000000001E-2</v>
      </c>
      <c r="H33" s="19" t="s">
        <v>58</v>
      </c>
      <c r="I33" s="13">
        <f t="shared" si="1"/>
        <v>3</v>
      </c>
      <c r="J33" s="23">
        <v>45442</v>
      </c>
      <c r="K33" s="14">
        <v>46547</v>
      </c>
      <c r="L33" s="15" t="s">
        <v>59</v>
      </c>
      <c r="M33" s="21" t="s">
        <v>30</v>
      </c>
      <c r="N33" s="21" t="s">
        <v>39</v>
      </c>
      <c r="O33" s="22" t="s">
        <v>30</v>
      </c>
      <c r="P33" s="22">
        <v>0.05</v>
      </c>
      <c r="Q33" s="22" t="s">
        <v>26</v>
      </c>
      <c r="R33" s="47"/>
    </row>
    <row r="34" spans="1:18">
      <c r="A34" s="10" t="s">
        <v>99</v>
      </c>
      <c r="B34" s="15" t="s">
        <v>100</v>
      </c>
      <c r="C34" s="15" t="s">
        <v>55</v>
      </c>
      <c r="D34" s="15" t="s">
        <v>101</v>
      </c>
      <c r="E34" s="12">
        <v>7769119.7199999997</v>
      </c>
      <c r="F34" s="19" t="s">
        <v>57</v>
      </c>
      <c r="G34" s="20">
        <v>2.75E-2</v>
      </c>
      <c r="H34" s="19" t="s">
        <v>58</v>
      </c>
      <c r="I34" s="13">
        <f t="shared" si="1"/>
        <v>3</v>
      </c>
      <c r="J34" s="23">
        <v>45779</v>
      </c>
      <c r="K34" s="14">
        <v>46882</v>
      </c>
      <c r="L34" s="15" t="s">
        <v>59</v>
      </c>
      <c r="M34" s="21" t="s">
        <v>30</v>
      </c>
      <c r="N34" s="21" t="s">
        <v>39</v>
      </c>
      <c r="O34" s="22" t="s">
        <v>30</v>
      </c>
      <c r="P34" s="22">
        <v>0.05</v>
      </c>
      <c r="Q34" s="22"/>
      <c r="R34" s="28"/>
    </row>
    <row r="35" spans="1:18">
      <c r="A35" s="10" t="s">
        <v>102</v>
      </c>
      <c r="B35" s="15" t="s">
        <v>100</v>
      </c>
      <c r="C35" s="15" t="s">
        <v>55</v>
      </c>
      <c r="D35" s="15" t="s">
        <v>103</v>
      </c>
      <c r="E35" s="12">
        <v>2730065.89</v>
      </c>
      <c r="F35" s="19" t="s">
        <v>57</v>
      </c>
      <c r="G35" s="20">
        <v>2.75E-2</v>
      </c>
      <c r="H35" s="19" t="s">
        <v>58</v>
      </c>
      <c r="I35" s="13">
        <f t="shared" si="1"/>
        <v>3</v>
      </c>
      <c r="J35" s="23">
        <v>45779</v>
      </c>
      <c r="K35" s="14">
        <v>46882</v>
      </c>
      <c r="L35" s="15" t="s">
        <v>59</v>
      </c>
      <c r="M35" s="21" t="s">
        <v>30</v>
      </c>
      <c r="N35" s="21" t="s">
        <v>39</v>
      </c>
      <c r="O35" s="22" t="s">
        <v>30</v>
      </c>
      <c r="P35" s="22">
        <v>0.05</v>
      </c>
      <c r="Q35" s="22"/>
      <c r="R35" s="28"/>
    </row>
    <row r="36" spans="1:18">
      <c r="A36" s="10" t="s">
        <v>104</v>
      </c>
      <c r="B36" s="15" t="s">
        <v>100</v>
      </c>
      <c r="C36" s="15" t="s">
        <v>55</v>
      </c>
      <c r="D36" s="15" t="s">
        <v>105</v>
      </c>
      <c r="E36" s="12">
        <v>8609424.7400000002</v>
      </c>
      <c r="F36" s="19" t="s">
        <v>57</v>
      </c>
      <c r="G36" s="20">
        <v>2.75E-2</v>
      </c>
      <c r="H36" s="19" t="s">
        <v>58</v>
      </c>
      <c r="I36" s="13">
        <f t="shared" si="1"/>
        <v>3</v>
      </c>
      <c r="J36" s="23">
        <v>45779</v>
      </c>
      <c r="K36" s="14">
        <v>46882</v>
      </c>
      <c r="L36" s="15" t="s">
        <v>59</v>
      </c>
      <c r="M36" s="21" t="s">
        <v>30</v>
      </c>
      <c r="N36" s="21" t="s">
        <v>39</v>
      </c>
      <c r="O36" s="22" t="s">
        <v>30</v>
      </c>
      <c r="P36" s="22">
        <v>0.05</v>
      </c>
      <c r="Q36" s="22"/>
      <c r="R36" s="28"/>
    </row>
    <row r="37" spans="1:18">
      <c r="A37" s="10" t="s">
        <v>106</v>
      </c>
      <c r="B37" s="15" t="s">
        <v>100</v>
      </c>
      <c r="C37" s="15" t="s">
        <v>55</v>
      </c>
      <c r="D37" s="15" t="s">
        <v>107</v>
      </c>
      <c r="E37" s="12">
        <v>2590323.54</v>
      </c>
      <c r="F37" s="19" t="s">
        <v>57</v>
      </c>
      <c r="G37" s="20">
        <v>2.75E-2</v>
      </c>
      <c r="H37" s="19" t="s">
        <v>58</v>
      </c>
      <c r="I37" s="13">
        <f t="shared" si="1"/>
        <v>3</v>
      </c>
      <c r="J37" s="23">
        <v>45779</v>
      </c>
      <c r="K37" s="14">
        <v>46882</v>
      </c>
      <c r="L37" s="15" t="s">
        <v>59</v>
      </c>
      <c r="M37" s="21" t="s">
        <v>30</v>
      </c>
      <c r="N37" s="21" t="s">
        <v>39</v>
      </c>
      <c r="O37" s="22" t="s">
        <v>30</v>
      </c>
      <c r="P37" s="22">
        <v>0.05</v>
      </c>
      <c r="Q37" s="22"/>
      <c r="R37" s="28"/>
    </row>
    <row r="38" spans="1:18">
      <c r="A38" s="10" t="s">
        <v>77</v>
      </c>
      <c r="B38" s="15" t="s">
        <v>100</v>
      </c>
      <c r="C38" s="15" t="s">
        <v>55</v>
      </c>
      <c r="D38" s="15" t="s">
        <v>108</v>
      </c>
      <c r="E38" s="12">
        <v>2099837.12</v>
      </c>
      <c r="F38" s="19" t="s">
        <v>57</v>
      </c>
      <c r="G38" s="20">
        <v>2.75E-2</v>
      </c>
      <c r="H38" s="19" t="s">
        <v>58</v>
      </c>
      <c r="I38" s="13">
        <f t="shared" si="1"/>
        <v>3</v>
      </c>
      <c r="J38" s="23">
        <v>45779</v>
      </c>
      <c r="K38" s="14">
        <v>46882</v>
      </c>
      <c r="L38" s="15" t="s">
        <v>59</v>
      </c>
      <c r="M38" s="21" t="s">
        <v>30</v>
      </c>
      <c r="N38" s="21" t="s">
        <v>39</v>
      </c>
      <c r="O38" s="22" t="s">
        <v>30</v>
      </c>
      <c r="P38" s="22">
        <v>0.05</v>
      </c>
      <c r="Q38" s="22"/>
      <c r="R38" s="28"/>
    </row>
    <row r="39" spans="1:18">
      <c r="A39" s="10" t="s">
        <v>109</v>
      </c>
      <c r="B39" s="15" t="s">
        <v>100</v>
      </c>
      <c r="C39" s="15" t="s">
        <v>55</v>
      </c>
      <c r="D39" s="15" t="s">
        <v>110</v>
      </c>
      <c r="E39" s="12">
        <v>5319463.9800000004</v>
      </c>
      <c r="F39" s="19" t="s">
        <v>57</v>
      </c>
      <c r="G39" s="20">
        <v>2.75E-2</v>
      </c>
      <c r="H39" s="19" t="s">
        <v>58</v>
      </c>
      <c r="I39" s="13">
        <f t="shared" si="1"/>
        <v>3</v>
      </c>
      <c r="J39" s="23">
        <v>45779</v>
      </c>
      <c r="K39" s="14">
        <v>46882</v>
      </c>
      <c r="L39" s="15" t="s">
        <v>59</v>
      </c>
      <c r="M39" s="21" t="s">
        <v>30</v>
      </c>
      <c r="N39" s="21" t="s">
        <v>39</v>
      </c>
      <c r="O39" s="22" t="s">
        <v>30</v>
      </c>
      <c r="P39" s="22">
        <v>0.05</v>
      </c>
      <c r="Q39" s="22"/>
      <c r="R39" s="28"/>
    </row>
    <row r="40" spans="1:18">
      <c r="A40" s="10" t="s">
        <v>111</v>
      </c>
      <c r="B40" s="15" t="s">
        <v>100</v>
      </c>
      <c r="C40" s="15" t="s">
        <v>55</v>
      </c>
      <c r="D40" s="15" t="s">
        <v>112</v>
      </c>
      <c r="E40" s="12">
        <v>6158843.5599999996</v>
      </c>
      <c r="F40" s="19" t="s">
        <v>57</v>
      </c>
      <c r="G40" s="20">
        <v>2.75E-2</v>
      </c>
      <c r="H40" s="19" t="s">
        <v>58</v>
      </c>
      <c r="I40" s="13">
        <f t="shared" si="1"/>
        <v>3</v>
      </c>
      <c r="J40" s="23">
        <v>45779</v>
      </c>
      <c r="K40" s="14">
        <v>46882</v>
      </c>
      <c r="L40" s="15" t="s">
        <v>59</v>
      </c>
      <c r="M40" s="21" t="s">
        <v>30</v>
      </c>
      <c r="N40" s="21" t="s">
        <v>39</v>
      </c>
      <c r="O40" s="22" t="s">
        <v>30</v>
      </c>
      <c r="P40" s="22">
        <v>0.05</v>
      </c>
      <c r="Q40" s="22"/>
      <c r="R40" s="28"/>
    </row>
    <row r="41" spans="1:18">
      <c r="A41" s="10" t="s">
        <v>113</v>
      </c>
      <c r="B41" s="15" t="s">
        <v>100</v>
      </c>
      <c r="C41" s="15" t="s">
        <v>55</v>
      </c>
      <c r="D41" s="15" t="s">
        <v>114</v>
      </c>
      <c r="E41" s="12">
        <v>6368919.8200000003</v>
      </c>
      <c r="F41" s="19" t="s">
        <v>57</v>
      </c>
      <c r="G41" s="20">
        <v>2.75E-2</v>
      </c>
      <c r="H41" s="19" t="s">
        <v>58</v>
      </c>
      <c r="I41" s="13">
        <f t="shared" si="1"/>
        <v>3</v>
      </c>
      <c r="J41" s="23">
        <v>45779</v>
      </c>
      <c r="K41" s="14">
        <v>46882</v>
      </c>
      <c r="L41" s="15" t="s">
        <v>59</v>
      </c>
      <c r="M41" s="21" t="s">
        <v>30</v>
      </c>
      <c r="N41" s="21" t="s">
        <v>39</v>
      </c>
      <c r="O41" s="22" t="s">
        <v>30</v>
      </c>
      <c r="P41" s="22">
        <v>0.05</v>
      </c>
      <c r="Q41" s="22"/>
      <c r="R41" s="28"/>
    </row>
    <row r="42" spans="1:18">
      <c r="A42" s="10" t="s">
        <v>115</v>
      </c>
      <c r="B42" s="15" t="s">
        <v>100</v>
      </c>
      <c r="C42" s="15" t="s">
        <v>55</v>
      </c>
      <c r="D42" s="15" t="s">
        <v>116</v>
      </c>
      <c r="E42" s="12">
        <v>4479158.96</v>
      </c>
      <c r="F42" s="19" t="s">
        <v>57</v>
      </c>
      <c r="G42" s="20">
        <v>2.75E-2</v>
      </c>
      <c r="H42" s="19" t="s">
        <v>58</v>
      </c>
      <c r="I42" s="13">
        <f t="shared" si="1"/>
        <v>3</v>
      </c>
      <c r="J42" s="23">
        <v>45779</v>
      </c>
      <c r="K42" s="14">
        <v>46882</v>
      </c>
      <c r="L42" s="15" t="s">
        <v>59</v>
      </c>
      <c r="M42" s="21" t="s">
        <v>30</v>
      </c>
      <c r="N42" s="21" t="s">
        <v>39</v>
      </c>
      <c r="O42" s="22" t="s">
        <v>30</v>
      </c>
      <c r="P42" s="22">
        <v>0.05</v>
      </c>
      <c r="Q42" s="22"/>
      <c r="R42" s="28"/>
    </row>
    <row r="43" spans="1:18">
      <c r="A43" s="10" t="s">
        <v>117</v>
      </c>
      <c r="B43" s="15" t="s">
        <v>100</v>
      </c>
      <c r="C43" s="15" t="s">
        <v>55</v>
      </c>
      <c r="D43" s="15" t="s">
        <v>118</v>
      </c>
      <c r="E43" s="12">
        <v>2519989.64</v>
      </c>
      <c r="F43" s="19" t="s">
        <v>57</v>
      </c>
      <c r="G43" s="20">
        <v>2.75E-2</v>
      </c>
      <c r="H43" s="19" t="s">
        <v>58</v>
      </c>
      <c r="I43" s="13">
        <f t="shared" si="1"/>
        <v>3</v>
      </c>
      <c r="J43" s="23">
        <v>45779</v>
      </c>
      <c r="K43" s="14">
        <v>46882</v>
      </c>
      <c r="L43" s="15" t="s">
        <v>59</v>
      </c>
      <c r="M43" s="21" t="s">
        <v>30</v>
      </c>
      <c r="N43" s="21" t="s">
        <v>39</v>
      </c>
      <c r="O43" s="22" t="s">
        <v>30</v>
      </c>
      <c r="P43" s="22">
        <v>0.05</v>
      </c>
      <c r="Q43" s="22"/>
      <c r="R43" s="28"/>
    </row>
    <row r="44" spans="1:18">
      <c r="A44" s="10" t="s">
        <v>119</v>
      </c>
      <c r="B44" s="15" t="s">
        <v>100</v>
      </c>
      <c r="C44" s="15" t="s">
        <v>55</v>
      </c>
      <c r="D44" s="15" t="s">
        <v>120</v>
      </c>
      <c r="E44" s="12">
        <v>3569445.47</v>
      </c>
      <c r="F44" s="19" t="s">
        <v>57</v>
      </c>
      <c r="G44" s="20">
        <v>2.75E-2</v>
      </c>
      <c r="H44" s="19" t="s">
        <v>58</v>
      </c>
      <c r="I44" s="13">
        <f t="shared" si="1"/>
        <v>3</v>
      </c>
      <c r="J44" s="23">
        <v>45779</v>
      </c>
      <c r="K44" s="14">
        <v>46882</v>
      </c>
      <c r="L44" s="15" t="s">
        <v>59</v>
      </c>
      <c r="M44" s="21" t="s">
        <v>30</v>
      </c>
      <c r="N44" s="21" t="s">
        <v>39</v>
      </c>
      <c r="O44" s="22" t="s">
        <v>30</v>
      </c>
      <c r="P44" s="22">
        <v>0.05</v>
      </c>
      <c r="Q44" s="22"/>
      <c r="R44" s="28"/>
    </row>
    <row r="45" spans="1:18">
      <c r="A45" s="10" t="s">
        <v>121</v>
      </c>
      <c r="B45" s="15" t="s">
        <v>100</v>
      </c>
      <c r="C45" s="15" t="s">
        <v>55</v>
      </c>
      <c r="D45" s="15" t="s">
        <v>122</v>
      </c>
      <c r="E45" s="12">
        <v>10285407.57</v>
      </c>
      <c r="F45" s="19" t="s">
        <v>57</v>
      </c>
      <c r="G45" s="20">
        <v>2.75E-2</v>
      </c>
      <c r="H45" s="19" t="s">
        <v>58</v>
      </c>
      <c r="I45" s="13">
        <f t="shared" si="1"/>
        <v>3</v>
      </c>
      <c r="J45" s="23">
        <v>45779</v>
      </c>
      <c r="K45" s="14">
        <v>46882</v>
      </c>
      <c r="L45" s="15" t="s">
        <v>59</v>
      </c>
      <c r="M45" s="21" t="s">
        <v>30</v>
      </c>
      <c r="N45" s="21" t="s">
        <v>39</v>
      </c>
      <c r="O45" s="22" t="s">
        <v>30</v>
      </c>
      <c r="P45" s="22">
        <v>0.05</v>
      </c>
      <c r="Q45" s="22"/>
      <c r="R45" s="28"/>
    </row>
    <row r="46" spans="1:18">
      <c r="A46" s="10" t="s">
        <v>123</v>
      </c>
      <c r="B46" s="15" t="s">
        <v>100</v>
      </c>
      <c r="C46" s="15" t="s">
        <v>55</v>
      </c>
      <c r="D46" s="15" t="s">
        <v>124</v>
      </c>
      <c r="E46" s="12">
        <v>6053065.2199999997</v>
      </c>
      <c r="F46" s="19" t="s">
        <v>57</v>
      </c>
      <c r="G46" s="20">
        <v>2.75E-2</v>
      </c>
      <c r="H46" s="19" t="s">
        <v>58</v>
      </c>
      <c r="I46" s="13">
        <f t="shared" si="1"/>
        <v>3</v>
      </c>
      <c r="J46" s="23">
        <v>45838</v>
      </c>
      <c r="K46" s="14">
        <v>46882</v>
      </c>
      <c r="L46" s="15" t="s">
        <v>59</v>
      </c>
      <c r="M46" s="21" t="s">
        <v>30</v>
      </c>
      <c r="N46" s="21" t="s">
        <v>39</v>
      </c>
      <c r="O46" s="22" t="s">
        <v>30</v>
      </c>
      <c r="P46" s="22">
        <v>0.05</v>
      </c>
      <c r="Q46" s="22"/>
      <c r="R46" s="28"/>
    </row>
    <row r="47" spans="1:18">
      <c r="A47" s="10" t="s">
        <v>125</v>
      </c>
      <c r="B47" s="15" t="s">
        <v>100</v>
      </c>
      <c r="C47" s="15" t="s">
        <v>55</v>
      </c>
      <c r="D47" s="15" t="s">
        <v>126</v>
      </c>
      <c r="E47" s="12">
        <v>9934427.1099999994</v>
      </c>
      <c r="F47" s="19" t="s">
        <v>57</v>
      </c>
      <c r="G47" s="20">
        <v>2.75E-2</v>
      </c>
      <c r="H47" s="19" t="s">
        <v>58</v>
      </c>
      <c r="I47" s="13">
        <f t="shared" si="1"/>
        <v>3</v>
      </c>
      <c r="J47" s="23">
        <v>45838</v>
      </c>
      <c r="K47" s="14">
        <v>46882</v>
      </c>
      <c r="L47" s="15" t="s">
        <v>59</v>
      </c>
      <c r="M47" s="21" t="s">
        <v>30</v>
      </c>
      <c r="N47" s="21" t="s">
        <v>39</v>
      </c>
      <c r="O47" s="22" t="s">
        <v>30</v>
      </c>
      <c r="P47" s="22">
        <v>0.05</v>
      </c>
      <c r="Q47" s="22"/>
      <c r="R47" s="28"/>
    </row>
    <row r="48" spans="1:18">
      <c r="A48" s="10" t="s">
        <v>127</v>
      </c>
      <c r="B48" s="15" t="s">
        <v>100</v>
      </c>
      <c r="C48" s="15" t="s">
        <v>55</v>
      </c>
      <c r="D48" s="15" t="s">
        <v>128</v>
      </c>
      <c r="E48" s="12">
        <v>2187507.67</v>
      </c>
      <c r="F48" s="19" t="s">
        <v>57</v>
      </c>
      <c r="G48" s="20">
        <v>2.75E-2</v>
      </c>
      <c r="H48" s="19" t="s">
        <v>58</v>
      </c>
      <c r="I48" s="13">
        <f t="shared" si="1"/>
        <v>3</v>
      </c>
      <c r="J48" s="23">
        <v>45838</v>
      </c>
      <c r="K48" s="14">
        <v>46882</v>
      </c>
      <c r="L48" s="15" t="s">
        <v>59</v>
      </c>
      <c r="M48" s="21" t="s">
        <v>30</v>
      </c>
      <c r="N48" s="21" t="s">
        <v>39</v>
      </c>
      <c r="O48" s="22" t="s">
        <v>30</v>
      </c>
      <c r="P48" s="22">
        <v>0.05</v>
      </c>
      <c r="Q48" s="22"/>
      <c r="R48" s="28"/>
    </row>
    <row r="49" spans="1:18">
      <c r="A49" s="10" t="s">
        <v>129</v>
      </c>
      <c r="B49" s="15" t="s">
        <v>100</v>
      </c>
      <c r="C49" s="15" t="s">
        <v>55</v>
      </c>
      <c r="D49" s="15" t="s">
        <v>130</v>
      </c>
      <c r="E49" s="12">
        <v>0</v>
      </c>
      <c r="F49" s="19" t="s">
        <v>57</v>
      </c>
      <c r="G49" s="20">
        <v>2.75E-2</v>
      </c>
      <c r="H49" s="19" t="s">
        <v>58</v>
      </c>
      <c r="I49" s="13">
        <f t="shared" si="1"/>
        <v>3</v>
      </c>
      <c r="J49" s="23">
        <v>45890</v>
      </c>
      <c r="K49" s="14">
        <v>46882</v>
      </c>
      <c r="L49" s="15" t="s">
        <v>59</v>
      </c>
      <c r="M49" s="21" t="s">
        <v>30</v>
      </c>
      <c r="N49" s="21" t="s">
        <v>39</v>
      </c>
      <c r="O49" s="22" t="s">
        <v>30</v>
      </c>
      <c r="P49" s="22">
        <v>0.05</v>
      </c>
      <c r="Q49" s="22"/>
      <c r="R49" s="28"/>
    </row>
    <row r="50" spans="1:18">
      <c r="A50" s="10" t="s">
        <v>131</v>
      </c>
      <c r="B50" s="15" t="s">
        <v>100</v>
      </c>
      <c r="C50" s="15" t="s">
        <v>55</v>
      </c>
      <c r="D50" s="15" t="s">
        <v>132</v>
      </c>
      <c r="E50" s="12">
        <v>4833504.03</v>
      </c>
      <c r="F50" s="19" t="s">
        <v>57</v>
      </c>
      <c r="G50" s="20">
        <v>2.75E-2</v>
      </c>
      <c r="H50" s="19" t="s">
        <v>58</v>
      </c>
      <c r="I50" s="13">
        <f t="shared" si="1"/>
        <v>3</v>
      </c>
      <c r="J50" s="23">
        <v>45890</v>
      </c>
      <c r="K50" s="14">
        <v>46882</v>
      </c>
      <c r="L50" s="15" t="s">
        <v>59</v>
      </c>
      <c r="M50" s="21" t="s">
        <v>30</v>
      </c>
      <c r="N50" s="21" t="s">
        <v>39</v>
      </c>
      <c r="O50" s="22" t="s">
        <v>30</v>
      </c>
      <c r="P50" s="22">
        <v>0.05</v>
      </c>
      <c r="Q50" s="22"/>
      <c r="R50" s="28"/>
    </row>
    <row r="51" spans="1:18">
      <c r="A51" s="10" t="s">
        <v>133</v>
      </c>
      <c r="B51" s="15" t="s">
        <v>100</v>
      </c>
      <c r="C51" s="15" t="s">
        <v>55</v>
      </c>
      <c r="D51" s="15" t="s">
        <v>134</v>
      </c>
      <c r="E51" s="12">
        <v>16333415.1</v>
      </c>
      <c r="F51" s="19" t="s">
        <v>57</v>
      </c>
      <c r="G51" s="20">
        <v>2.75E-2</v>
      </c>
      <c r="H51" s="19" t="s">
        <v>58</v>
      </c>
      <c r="I51" s="13">
        <f t="shared" si="1"/>
        <v>3</v>
      </c>
      <c r="J51" s="23">
        <v>45890</v>
      </c>
      <c r="K51" s="14">
        <v>46882</v>
      </c>
      <c r="L51" s="15" t="s">
        <v>59</v>
      </c>
      <c r="M51" s="21" t="s">
        <v>30</v>
      </c>
      <c r="N51" s="21" t="s">
        <v>39</v>
      </c>
      <c r="O51" s="22" t="s">
        <v>30</v>
      </c>
      <c r="P51" s="22">
        <v>0.05</v>
      </c>
      <c r="Q51" s="22"/>
      <c r="R51" s="28"/>
    </row>
    <row r="52" spans="1:18">
      <c r="A52" s="10" t="s">
        <v>135</v>
      </c>
      <c r="B52" s="15" t="s">
        <v>100</v>
      </c>
      <c r="C52" s="15" t="s">
        <v>55</v>
      </c>
      <c r="D52" s="15" t="s">
        <v>136</v>
      </c>
      <c r="E52" s="12">
        <v>14169345.27</v>
      </c>
      <c r="F52" s="19" t="s">
        <v>57</v>
      </c>
      <c r="G52" s="20">
        <v>2.75E-2</v>
      </c>
      <c r="H52" s="19" t="s">
        <v>58</v>
      </c>
      <c r="I52" s="13">
        <f t="shared" si="1"/>
        <v>3</v>
      </c>
      <c r="J52" s="23">
        <v>45890</v>
      </c>
      <c r="K52" s="14">
        <v>46882</v>
      </c>
      <c r="L52" s="15" t="s">
        <v>59</v>
      </c>
      <c r="M52" s="21" t="s">
        <v>30</v>
      </c>
      <c r="N52" s="21" t="s">
        <v>39</v>
      </c>
      <c r="O52" s="22" t="s">
        <v>30</v>
      </c>
      <c r="P52" s="22">
        <v>0.05</v>
      </c>
      <c r="Q52" s="22"/>
      <c r="R52" s="28"/>
    </row>
    <row r="53" spans="1:18">
      <c r="A53" s="10" t="s">
        <v>137</v>
      </c>
      <c r="B53" s="15" t="s">
        <v>100</v>
      </c>
      <c r="C53" s="15" t="s">
        <v>55</v>
      </c>
      <c r="D53" s="15" t="s">
        <v>138</v>
      </c>
      <c r="E53" s="12">
        <v>12388127.25</v>
      </c>
      <c r="F53" s="19" t="s">
        <v>57</v>
      </c>
      <c r="G53" s="20">
        <v>2.75E-2</v>
      </c>
      <c r="H53" s="19" t="s">
        <v>58</v>
      </c>
      <c r="I53" s="13">
        <f t="shared" si="1"/>
        <v>3</v>
      </c>
      <c r="J53" s="23">
        <v>45890</v>
      </c>
      <c r="K53" s="14">
        <v>46882</v>
      </c>
      <c r="L53" s="15" t="s">
        <v>59</v>
      </c>
      <c r="M53" s="21" t="s">
        <v>30</v>
      </c>
      <c r="N53" s="21" t="s">
        <v>39</v>
      </c>
      <c r="O53" s="22" t="s">
        <v>30</v>
      </c>
      <c r="P53" s="22">
        <v>0.05</v>
      </c>
      <c r="Q53" s="22"/>
      <c r="R53" s="28"/>
    </row>
    <row r="54" spans="1:18">
      <c r="A54" s="10" t="s">
        <v>139</v>
      </c>
      <c r="B54" s="15" t="s">
        <v>100</v>
      </c>
      <c r="C54" s="15" t="s">
        <v>55</v>
      </c>
      <c r="D54" s="15" t="s">
        <v>140</v>
      </c>
      <c r="E54" s="12">
        <v>6572608.3499999996</v>
      </c>
      <c r="F54" s="19" t="s">
        <v>57</v>
      </c>
      <c r="G54" s="20">
        <v>2.75E-2</v>
      </c>
      <c r="H54" s="19" t="s">
        <v>58</v>
      </c>
      <c r="I54" s="13">
        <f t="shared" si="1"/>
        <v>3</v>
      </c>
      <c r="J54" s="23">
        <v>45890</v>
      </c>
      <c r="K54" s="14">
        <v>46882</v>
      </c>
      <c r="L54" s="15" t="s">
        <v>59</v>
      </c>
      <c r="M54" s="21" t="s">
        <v>30</v>
      </c>
      <c r="N54" s="21" t="s">
        <v>39</v>
      </c>
      <c r="O54" s="22" t="s">
        <v>30</v>
      </c>
      <c r="P54" s="22">
        <v>0.05</v>
      </c>
      <c r="Q54" s="22"/>
      <c r="R54" s="28"/>
    </row>
    <row r="55" spans="1:18">
      <c r="A55" s="33" t="s">
        <v>141</v>
      </c>
      <c r="B55" s="34" t="s">
        <v>142</v>
      </c>
      <c r="C55" s="34" t="s">
        <v>143</v>
      </c>
      <c r="D55" s="35" t="s">
        <v>144</v>
      </c>
      <c r="E55" s="36">
        <f>VLOOKUP(A55,[1]KEY_FUNDII!$C$6:$D$12,2,FALSE)</f>
        <v>1860461.4785</v>
      </c>
      <c r="F55" s="37" t="s">
        <v>25</v>
      </c>
      <c r="G55" s="38">
        <v>5.0500000000000003E-2</v>
      </c>
      <c r="H55" s="38" t="s">
        <v>26</v>
      </c>
      <c r="I55" s="39">
        <f t="shared" si="1"/>
        <v>5</v>
      </c>
      <c r="J55" s="40">
        <v>44495</v>
      </c>
      <c r="K55" s="41">
        <v>46327</v>
      </c>
      <c r="L55" s="34" t="s">
        <v>26</v>
      </c>
      <c r="M55" s="34" t="s">
        <v>145</v>
      </c>
      <c r="N55" s="34" t="s">
        <v>26</v>
      </c>
      <c r="O55" s="34" t="s">
        <v>26</v>
      </c>
      <c r="P55" s="34" t="s">
        <v>26</v>
      </c>
      <c r="Q55" s="42" t="s">
        <v>26</v>
      </c>
      <c r="R55" s="34" t="s">
        <v>146</v>
      </c>
    </row>
    <row r="56" spans="1:18">
      <c r="A56" s="33" t="s">
        <v>147</v>
      </c>
      <c r="B56" s="34" t="s">
        <v>142</v>
      </c>
      <c r="C56" s="34" t="s">
        <v>143</v>
      </c>
      <c r="D56" s="35" t="s">
        <v>148</v>
      </c>
      <c r="E56" s="36">
        <f>VLOOKUP(A56,[1]KEY_FUNDII!$C$6:$D$12,2,FALSE)</f>
        <v>677066.755</v>
      </c>
      <c r="F56" s="37" t="s">
        <v>25</v>
      </c>
      <c r="G56" s="38">
        <v>5.0500000000000003E-2</v>
      </c>
      <c r="H56" s="38" t="s">
        <v>26</v>
      </c>
      <c r="I56" s="39">
        <f t="shared" si="1"/>
        <v>5</v>
      </c>
      <c r="J56" s="40">
        <v>44495</v>
      </c>
      <c r="K56" s="41">
        <v>46327</v>
      </c>
      <c r="L56" s="34" t="s">
        <v>26</v>
      </c>
      <c r="M56" s="34" t="s">
        <v>145</v>
      </c>
      <c r="N56" s="34" t="s">
        <v>26</v>
      </c>
      <c r="O56" s="34" t="s">
        <v>26</v>
      </c>
      <c r="P56" s="34" t="s">
        <v>26</v>
      </c>
      <c r="Q56" s="42" t="s">
        <v>26</v>
      </c>
      <c r="R56" s="34" t="s">
        <v>146</v>
      </c>
    </row>
    <row r="57" spans="1:18">
      <c r="A57" s="33" t="s">
        <v>149</v>
      </c>
      <c r="B57" s="34" t="s">
        <v>142</v>
      </c>
      <c r="C57" s="34" t="s">
        <v>143</v>
      </c>
      <c r="D57" s="35" t="s">
        <v>150</v>
      </c>
      <c r="E57" s="36">
        <f>VLOOKUP(A57,[1]KEY_FUNDII!$C$6:$D$12,2,FALSE)</f>
        <v>986162.38650000014</v>
      </c>
      <c r="F57" s="37" t="s">
        <v>25</v>
      </c>
      <c r="G57" s="38">
        <v>5.0500000000000003E-2</v>
      </c>
      <c r="H57" s="38" t="s">
        <v>26</v>
      </c>
      <c r="I57" s="39">
        <f t="shared" si="1"/>
        <v>5</v>
      </c>
      <c r="J57" s="40">
        <v>44495</v>
      </c>
      <c r="K57" s="41">
        <v>46327</v>
      </c>
      <c r="L57" s="34" t="s">
        <v>26</v>
      </c>
      <c r="M57" s="34" t="s">
        <v>145</v>
      </c>
      <c r="N57" s="34" t="s">
        <v>26</v>
      </c>
      <c r="O57" s="34" t="s">
        <v>26</v>
      </c>
      <c r="P57" s="34" t="s">
        <v>26</v>
      </c>
      <c r="Q57" s="42" t="s">
        <v>26</v>
      </c>
      <c r="R57" s="34" t="s">
        <v>146</v>
      </c>
    </row>
    <row r="58" spans="1:18">
      <c r="A58" s="33" t="s">
        <v>151</v>
      </c>
      <c r="B58" s="34" t="s">
        <v>142</v>
      </c>
      <c r="C58" s="34" t="s">
        <v>143</v>
      </c>
      <c r="D58" s="35" t="s">
        <v>152</v>
      </c>
      <c r="E58" s="36">
        <f>VLOOKUP(A58,[1]KEY_FUNDII!$C$6:$D$12,2,FALSE)</f>
        <v>783042.36</v>
      </c>
      <c r="F58" s="37" t="s">
        <v>25</v>
      </c>
      <c r="G58" s="38">
        <v>5.0500000000000003E-2</v>
      </c>
      <c r="H58" s="38" t="s">
        <v>26</v>
      </c>
      <c r="I58" s="39">
        <f t="shared" si="1"/>
        <v>5</v>
      </c>
      <c r="J58" s="40">
        <v>44495</v>
      </c>
      <c r="K58" s="41">
        <v>46327</v>
      </c>
      <c r="L58" s="34" t="s">
        <v>26</v>
      </c>
      <c r="M58" s="34" t="s">
        <v>145</v>
      </c>
      <c r="N58" s="34" t="s">
        <v>26</v>
      </c>
      <c r="O58" s="34" t="s">
        <v>26</v>
      </c>
      <c r="P58" s="34" t="s">
        <v>26</v>
      </c>
      <c r="Q58" s="42" t="s">
        <v>26</v>
      </c>
      <c r="R58" s="34" t="s">
        <v>146</v>
      </c>
    </row>
    <row r="59" spans="1:18">
      <c r="A59" s="33" t="s">
        <v>153</v>
      </c>
      <c r="B59" s="34" t="s">
        <v>142</v>
      </c>
      <c r="C59" s="34" t="s">
        <v>143</v>
      </c>
      <c r="D59" s="35" t="s">
        <v>154</v>
      </c>
      <c r="E59" s="36">
        <f>VLOOKUP(A59,[1]KEY_FUNDII!$C$6:$D$12,2,FALSE)</f>
        <v>942005.76749999996</v>
      </c>
      <c r="F59" s="37" t="s">
        <v>25</v>
      </c>
      <c r="G59" s="38">
        <v>5.0500000000000003E-2</v>
      </c>
      <c r="H59" s="38" t="s">
        <v>26</v>
      </c>
      <c r="I59" s="39">
        <f t="shared" si="1"/>
        <v>5</v>
      </c>
      <c r="J59" s="40">
        <v>44495</v>
      </c>
      <c r="K59" s="41">
        <v>46327</v>
      </c>
      <c r="L59" s="34" t="s">
        <v>26</v>
      </c>
      <c r="M59" s="34" t="s">
        <v>145</v>
      </c>
      <c r="N59" s="34" t="s">
        <v>26</v>
      </c>
      <c r="O59" s="34" t="s">
        <v>26</v>
      </c>
      <c r="P59" s="34" t="s">
        <v>26</v>
      </c>
      <c r="Q59" s="42" t="s">
        <v>26</v>
      </c>
      <c r="R59" s="34" t="s">
        <v>146</v>
      </c>
    </row>
    <row r="60" spans="1:18">
      <c r="A60" s="33" t="s">
        <v>155</v>
      </c>
      <c r="B60" s="34" t="s">
        <v>142</v>
      </c>
      <c r="C60" s="34" t="s">
        <v>143</v>
      </c>
      <c r="D60" s="35" t="s">
        <v>156</v>
      </c>
      <c r="E60" s="36">
        <f>VLOOKUP(A60,[1]KEY_FUNDII!$C$6:$D$12,2,FALSE)</f>
        <v>956724.64049999998</v>
      </c>
      <c r="F60" s="37" t="s">
        <v>25</v>
      </c>
      <c r="G60" s="38">
        <v>5.0500000000000003E-2</v>
      </c>
      <c r="H60" s="38" t="s">
        <v>26</v>
      </c>
      <c r="I60" s="39">
        <f t="shared" si="1"/>
        <v>5</v>
      </c>
      <c r="J60" s="40">
        <v>44495</v>
      </c>
      <c r="K60" s="41">
        <v>46327</v>
      </c>
      <c r="L60" s="34" t="s">
        <v>26</v>
      </c>
      <c r="M60" s="34" t="s">
        <v>145</v>
      </c>
      <c r="N60" s="34" t="s">
        <v>26</v>
      </c>
      <c r="O60" s="34" t="s">
        <v>26</v>
      </c>
      <c r="P60" s="34" t="s">
        <v>26</v>
      </c>
      <c r="Q60" s="42" t="s">
        <v>26</v>
      </c>
      <c r="R60" s="34" t="s">
        <v>146</v>
      </c>
    </row>
    <row r="61" spans="1:18">
      <c r="A61" s="33" t="s">
        <v>157</v>
      </c>
      <c r="B61" s="34" t="s">
        <v>142</v>
      </c>
      <c r="C61" s="34" t="s">
        <v>143</v>
      </c>
      <c r="D61" s="35" t="s">
        <v>158</v>
      </c>
      <c r="E61" s="36">
        <f>VLOOKUP(A61,[1]KEY_FUNDII!$C$6:$D$12,2,FALSE)</f>
        <v>809536.61199999996</v>
      </c>
      <c r="F61" s="37" t="s">
        <v>25</v>
      </c>
      <c r="G61" s="38">
        <v>5.0500000000000003E-2</v>
      </c>
      <c r="H61" s="38" t="s">
        <v>26</v>
      </c>
      <c r="I61" s="39">
        <f t="shared" si="1"/>
        <v>5</v>
      </c>
      <c r="J61" s="40">
        <v>44495</v>
      </c>
      <c r="K61" s="41">
        <v>46327</v>
      </c>
      <c r="L61" s="34" t="s">
        <v>26</v>
      </c>
      <c r="M61" s="34" t="s">
        <v>145</v>
      </c>
      <c r="N61" s="34" t="s">
        <v>26</v>
      </c>
      <c r="O61" s="34" t="s">
        <v>26</v>
      </c>
      <c r="P61" s="34" t="s">
        <v>26</v>
      </c>
      <c r="Q61" s="42" t="s">
        <v>26</v>
      </c>
      <c r="R61" s="34" t="s">
        <v>146</v>
      </c>
    </row>
    <row r="62" spans="1:18">
      <c r="A62" s="10" t="s">
        <v>159</v>
      </c>
      <c r="B62" s="15" t="s">
        <v>160</v>
      </c>
      <c r="C62" s="15" t="s">
        <v>161</v>
      </c>
      <c r="D62" s="16" t="s">
        <v>144</v>
      </c>
      <c r="E62" s="44">
        <v>3825000</v>
      </c>
      <c r="F62" s="19" t="s">
        <v>57</v>
      </c>
      <c r="G62" s="43">
        <v>3.6499999999999998E-2</v>
      </c>
      <c r="H62" s="19" t="s">
        <v>58</v>
      </c>
      <c r="I62" s="45">
        <v>3</v>
      </c>
      <c r="J62" s="23">
        <v>46071</v>
      </c>
      <c r="K62" s="14">
        <v>47178</v>
      </c>
      <c r="L62" s="15" t="s">
        <v>162</v>
      </c>
      <c r="M62" s="21" t="s">
        <v>30</v>
      </c>
      <c r="N62" s="21" t="s">
        <v>39</v>
      </c>
      <c r="O62" s="22" t="s">
        <v>30</v>
      </c>
      <c r="P62" s="22">
        <v>5.5E-2</v>
      </c>
      <c r="Q62" s="46"/>
      <c r="R62" s="15"/>
    </row>
    <row r="63" spans="1:18">
      <c r="A63" s="10" t="s">
        <v>163</v>
      </c>
      <c r="B63" s="15" t="s">
        <v>160</v>
      </c>
      <c r="C63" s="15" t="s">
        <v>161</v>
      </c>
      <c r="D63" s="16" t="s">
        <v>148</v>
      </c>
      <c r="E63" s="44">
        <v>1725000</v>
      </c>
      <c r="F63" s="19" t="s">
        <v>57</v>
      </c>
      <c r="G63" s="43">
        <v>3.6499999999999998E-2</v>
      </c>
      <c r="H63" s="19" t="s">
        <v>58</v>
      </c>
      <c r="I63" s="45">
        <v>3</v>
      </c>
      <c r="J63" s="23">
        <v>46071</v>
      </c>
      <c r="K63" s="14">
        <v>47178</v>
      </c>
      <c r="L63" s="15" t="s">
        <v>162</v>
      </c>
      <c r="M63" s="21" t="s">
        <v>30</v>
      </c>
      <c r="N63" s="21" t="s">
        <v>39</v>
      </c>
      <c r="O63" s="22" t="s">
        <v>30</v>
      </c>
      <c r="P63" s="22">
        <v>5.5E-2</v>
      </c>
      <c r="Q63" s="46"/>
      <c r="R63" s="15"/>
    </row>
    <row r="64" spans="1:18">
      <c r="A64" s="10" t="s">
        <v>164</v>
      </c>
      <c r="B64" s="15" t="s">
        <v>160</v>
      </c>
      <c r="C64" s="15" t="s">
        <v>161</v>
      </c>
      <c r="D64" s="16" t="s">
        <v>150</v>
      </c>
      <c r="E64" s="44">
        <v>2550000</v>
      </c>
      <c r="F64" s="19" t="s">
        <v>57</v>
      </c>
      <c r="G64" s="43">
        <v>3.6499999999999998E-2</v>
      </c>
      <c r="H64" s="19" t="s">
        <v>58</v>
      </c>
      <c r="I64" s="45">
        <v>3</v>
      </c>
      <c r="J64" s="23">
        <v>46071</v>
      </c>
      <c r="K64" s="14">
        <v>47178</v>
      </c>
      <c r="L64" s="15" t="s">
        <v>162</v>
      </c>
      <c r="M64" s="21" t="s">
        <v>30</v>
      </c>
      <c r="N64" s="21" t="s">
        <v>39</v>
      </c>
      <c r="O64" s="22" t="s">
        <v>30</v>
      </c>
      <c r="P64" s="22">
        <v>5.5E-2</v>
      </c>
      <c r="Q64" s="46"/>
      <c r="R64" s="15"/>
    </row>
    <row r="65" spans="1:18">
      <c r="A65" s="10" t="s">
        <v>165</v>
      </c>
      <c r="B65" s="15" t="s">
        <v>160</v>
      </c>
      <c r="C65" s="15" t="s">
        <v>161</v>
      </c>
      <c r="D65" s="16" t="s">
        <v>152</v>
      </c>
      <c r="E65" s="44">
        <v>1800000</v>
      </c>
      <c r="F65" s="19" t="s">
        <v>57</v>
      </c>
      <c r="G65" s="43">
        <v>3.6499999999999998E-2</v>
      </c>
      <c r="H65" s="19" t="s">
        <v>58</v>
      </c>
      <c r="I65" s="45">
        <v>3</v>
      </c>
      <c r="J65" s="23">
        <v>46071</v>
      </c>
      <c r="K65" s="14">
        <v>47178</v>
      </c>
      <c r="L65" s="15" t="s">
        <v>162</v>
      </c>
      <c r="M65" s="21" t="s">
        <v>30</v>
      </c>
      <c r="N65" s="21" t="s">
        <v>39</v>
      </c>
      <c r="O65" s="22" t="s">
        <v>30</v>
      </c>
      <c r="P65" s="22">
        <v>5.5E-2</v>
      </c>
      <c r="Q65" s="46"/>
      <c r="R65" s="15"/>
    </row>
    <row r="66" spans="1:18">
      <c r="A66" s="10" t="s">
        <v>166</v>
      </c>
      <c r="B66" s="15" t="s">
        <v>160</v>
      </c>
      <c r="C66" s="15" t="s">
        <v>161</v>
      </c>
      <c r="D66" s="16" t="s">
        <v>154</v>
      </c>
      <c r="E66" s="44">
        <v>2250000</v>
      </c>
      <c r="F66" s="19" t="s">
        <v>57</v>
      </c>
      <c r="G66" s="43">
        <v>3.6499999999999998E-2</v>
      </c>
      <c r="H66" s="19" t="s">
        <v>58</v>
      </c>
      <c r="I66" s="45">
        <v>3</v>
      </c>
      <c r="J66" s="23">
        <v>46071</v>
      </c>
      <c r="K66" s="14">
        <v>47178</v>
      </c>
      <c r="L66" s="15" t="s">
        <v>162</v>
      </c>
      <c r="M66" s="21" t="s">
        <v>30</v>
      </c>
      <c r="N66" s="21" t="s">
        <v>39</v>
      </c>
      <c r="O66" s="22" t="s">
        <v>30</v>
      </c>
      <c r="P66" s="22">
        <v>5.5E-2</v>
      </c>
      <c r="Q66" s="46"/>
      <c r="R66" s="15"/>
    </row>
    <row r="67" spans="1:18">
      <c r="A67" s="10" t="s">
        <v>167</v>
      </c>
      <c r="B67" s="15" t="s">
        <v>160</v>
      </c>
      <c r="C67" s="15" t="s">
        <v>161</v>
      </c>
      <c r="D67" s="16" t="s">
        <v>156</v>
      </c>
      <c r="E67" s="44">
        <v>2250000</v>
      </c>
      <c r="F67" s="19" t="s">
        <v>57</v>
      </c>
      <c r="G67" s="43">
        <v>3.6499999999999998E-2</v>
      </c>
      <c r="H67" s="19" t="s">
        <v>58</v>
      </c>
      <c r="I67" s="45">
        <v>3</v>
      </c>
      <c r="J67" s="23">
        <v>46071</v>
      </c>
      <c r="K67" s="14">
        <v>47178</v>
      </c>
      <c r="L67" s="15" t="s">
        <v>162</v>
      </c>
      <c r="M67" s="21" t="s">
        <v>30</v>
      </c>
      <c r="N67" s="21" t="s">
        <v>39</v>
      </c>
      <c r="O67" s="22" t="s">
        <v>30</v>
      </c>
      <c r="P67" s="22">
        <v>5.5E-2</v>
      </c>
      <c r="Q67" s="46"/>
      <c r="R67" s="15"/>
    </row>
    <row r="68" spans="1:18">
      <c r="A68" s="10" t="s">
        <v>168</v>
      </c>
      <c r="B68" s="15" t="s">
        <v>160</v>
      </c>
      <c r="C68" s="15" t="s">
        <v>161</v>
      </c>
      <c r="D68" s="16" t="s">
        <v>158</v>
      </c>
      <c r="E68" s="44">
        <v>2025000</v>
      </c>
      <c r="F68" s="19" t="s">
        <v>57</v>
      </c>
      <c r="G68" s="43">
        <v>3.6499999999999998E-2</v>
      </c>
      <c r="H68" s="19" t="s">
        <v>58</v>
      </c>
      <c r="I68" s="45">
        <v>3</v>
      </c>
      <c r="J68" s="23">
        <v>46071</v>
      </c>
      <c r="K68" s="14">
        <v>47178</v>
      </c>
      <c r="L68" s="15" t="s">
        <v>162</v>
      </c>
      <c r="M68" s="21" t="s">
        <v>30</v>
      </c>
      <c r="N68" s="21" t="s">
        <v>39</v>
      </c>
      <c r="O68" s="22" t="s">
        <v>30</v>
      </c>
      <c r="P68" s="22">
        <v>5.5E-2</v>
      </c>
      <c r="Q68" s="46"/>
      <c r="R68" s="15"/>
    </row>
    <row r="69" spans="1:18">
      <c r="A69" s="10" t="s">
        <v>169</v>
      </c>
      <c r="B69" s="15" t="s">
        <v>160</v>
      </c>
      <c r="C69" s="15" t="s">
        <v>161</v>
      </c>
      <c r="D69" s="16" t="s">
        <v>170</v>
      </c>
      <c r="E69" s="44">
        <v>2550000</v>
      </c>
      <c r="F69" s="19" t="s">
        <v>57</v>
      </c>
      <c r="G69" s="43">
        <v>3.6499999999999998E-2</v>
      </c>
      <c r="H69" s="19" t="s">
        <v>58</v>
      </c>
      <c r="I69" s="45">
        <v>3</v>
      </c>
      <c r="J69" s="23">
        <v>46071</v>
      </c>
      <c r="K69" s="14">
        <v>47178</v>
      </c>
      <c r="L69" s="15" t="s">
        <v>162</v>
      </c>
      <c r="M69" s="21" t="s">
        <v>30</v>
      </c>
      <c r="N69" s="21" t="s">
        <v>39</v>
      </c>
      <c r="O69" s="22" t="s">
        <v>30</v>
      </c>
      <c r="P69" s="22">
        <v>5.5E-2</v>
      </c>
      <c r="Q69" s="46"/>
      <c r="R69" s="15"/>
    </row>
    <row r="70" spans="1:18">
      <c r="A70" s="10" t="s">
        <v>171</v>
      </c>
      <c r="B70" s="15" t="s">
        <v>160</v>
      </c>
      <c r="C70" s="15" t="s">
        <v>161</v>
      </c>
      <c r="D70" s="16" t="s">
        <v>172</v>
      </c>
      <c r="E70" s="44">
        <v>2700000</v>
      </c>
      <c r="F70" s="19" t="s">
        <v>57</v>
      </c>
      <c r="G70" s="43">
        <v>3.6499999999999998E-2</v>
      </c>
      <c r="H70" s="19" t="s">
        <v>58</v>
      </c>
      <c r="I70" s="45">
        <v>3</v>
      </c>
      <c r="J70" s="23">
        <v>46071</v>
      </c>
      <c r="K70" s="14">
        <v>47178</v>
      </c>
      <c r="L70" s="15" t="s">
        <v>162</v>
      </c>
      <c r="M70" s="21" t="s">
        <v>30</v>
      </c>
      <c r="N70" s="21" t="s">
        <v>39</v>
      </c>
      <c r="O70" s="22" t="s">
        <v>30</v>
      </c>
      <c r="P70" s="22">
        <v>5.5E-2</v>
      </c>
      <c r="Q70" s="46"/>
      <c r="R70" s="15"/>
    </row>
    <row r="71" spans="1:18">
      <c r="A71" s="10" t="s">
        <v>173</v>
      </c>
      <c r="B71" s="15" t="s">
        <v>160</v>
      </c>
      <c r="C71" s="15" t="s">
        <v>161</v>
      </c>
      <c r="D71" s="16" t="s">
        <v>174</v>
      </c>
      <c r="E71" s="44">
        <v>3825000</v>
      </c>
      <c r="F71" s="19" t="s">
        <v>57</v>
      </c>
      <c r="G71" s="43">
        <v>3.6499999999999998E-2</v>
      </c>
      <c r="H71" s="19" t="s">
        <v>58</v>
      </c>
      <c r="I71" s="45">
        <v>3</v>
      </c>
      <c r="J71" s="23">
        <v>46071</v>
      </c>
      <c r="K71" s="14">
        <v>47178</v>
      </c>
      <c r="L71" s="15" t="s">
        <v>162</v>
      </c>
      <c r="M71" s="21" t="s">
        <v>30</v>
      </c>
      <c r="N71" s="21" t="s">
        <v>39</v>
      </c>
      <c r="O71" s="22" t="s">
        <v>30</v>
      </c>
      <c r="P71" s="22">
        <v>5.5E-2</v>
      </c>
      <c r="Q71" s="46"/>
      <c r="R71" s="15"/>
    </row>
    <row r="72" spans="1:18">
      <c r="A72" s="10" t="s">
        <v>175</v>
      </c>
      <c r="B72" s="15" t="s">
        <v>176</v>
      </c>
      <c r="C72" s="15" t="s">
        <v>177</v>
      </c>
      <c r="D72" s="16" t="s">
        <v>178</v>
      </c>
      <c r="E72" s="12">
        <v>2034900</v>
      </c>
      <c r="F72" s="19" t="s">
        <v>25</v>
      </c>
      <c r="G72" s="20">
        <v>0.105</v>
      </c>
      <c r="H72" s="20" t="s">
        <v>26</v>
      </c>
      <c r="I72" s="13" t="s">
        <v>179</v>
      </c>
      <c r="J72" s="23">
        <v>45992</v>
      </c>
      <c r="K72" s="14">
        <v>46539</v>
      </c>
      <c r="L72" s="15" t="s">
        <v>26</v>
      </c>
      <c r="M72" s="21" t="s">
        <v>30</v>
      </c>
      <c r="N72" s="21" t="s">
        <v>26</v>
      </c>
      <c r="O72" s="21" t="s">
        <v>26</v>
      </c>
      <c r="P72" s="21" t="s">
        <v>26</v>
      </c>
      <c r="Q72" s="22" t="s">
        <v>26</v>
      </c>
      <c r="R72" s="21" t="s">
        <v>26</v>
      </c>
    </row>
    <row r="73" spans="1:18" ht="76.5">
      <c r="A73" s="10" t="s">
        <v>180</v>
      </c>
      <c r="B73" s="15" t="s">
        <v>181</v>
      </c>
      <c r="C73" s="15" t="s">
        <v>182</v>
      </c>
      <c r="D73" s="15" t="s">
        <v>183</v>
      </c>
      <c r="E73" s="12">
        <v>9150000</v>
      </c>
      <c r="F73" s="19" t="s">
        <v>57</v>
      </c>
      <c r="G73" s="20">
        <v>2.75E-2</v>
      </c>
      <c r="H73" s="19" t="s">
        <v>184</v>
      </c>
      <c r="I73" s="13">
        <f t="shared" si="1"/>
        <v>5</v>
      </c>
      <c r="J73" s="23">
        <v>44939</v>
      </c>
      <c r="K73" s="14">
        <v>46767</v>
      </c>
      <c r="L73" s="15" t="s">
        <v>26</v>
      </c>
      <c r="M73" s="15" t="s">
        <v>30</v>
      </c>
      <c r="N73" s="15" t="s">
        <v>185</v>
      </c>
      <c r="O73" s="21" t="s">
        <v>26</v>
      </c>
      <c r="P73" s="21" t="s">
        <v>26</v>
      </c>
      <c r="Q73" s="25" t="s">
        <v>186</v>
      </c>
      <c r="R73" s="27" t="s">
        <v>187</v>
      </c>
    </row>
    <row r="74" spans="1:18">
      <c r="A74" s="10" t="s">
        <v>188</v>
      </c>
      <c r="B74" s="10" t="s">
        <v>189</v>
      </c>
      <c r="C74" s="15" t="s">
        <v>177</v>
      </c>
      <c r="D74" s="10" t="s">
        <v>190</v>
      </c>
      <c r="E74" s="18"/>
      <c r="F74" s="19" t="s">
        <v>25</v>
      </c>
      <c r="G74" s="20"/>
      <c r="H74" s="20"/>
      <c r="I74" s="15"/>
      <c r="J74" s="23"/>
      <c r="K74" s="14">
        <v>46203</v>
      </c>
      <c r="L74" s="15"/>
      <c r="M74" s="15"/>
      <c r="N74" s="15"/>
      <c r="O74" s="21"/>
      <c r="P74" s="21"/>
      <c r="Q74" s="15"/>
      <c r="R74" s="15"/>
    </row>
    <row r="75" spans="1:18">
      <c r="A75" s="10" t="s">
        <v>191</v>
      </c>
      <c r="B75" s="10" t="s">
        <v>192</v>
      </c>
      <c r="C75" s="10" t="s">
        <v>193</v>
      </c>
      <c r="D75" s="10" t="s">
        <v>194</v>
      </c>
      <c r="E75" s="29">
        <v>825600</v>
      </c>
      <c r="F75" s="19" t="s">
        <v>25</v>
      </c>
      <c r="G75" s="43">
        <v>0.06</v>
      </c>
      <c r="H75" s="20"/>
      <c r="I75" s="32"/>
      <c r="J75" s="30"/>
      <c r="K75" s="31">
        <v>46173</v>
      </c>
      <c r="L75" s="32"/>
      <c r="M75" s="32"/>
      <c r="N75" s="32"/>
      <c r="O75" s="32"/>
      <c r="P75" s="32"/>
      <c r="Q75" s="32"/>
      <c r="R75" s="32"/>
    </row>
    <row r="76" spans="1:18">
      <c r="A76" s="10" t="s">
        <v>195</v>
      </c>
      <c r="B76" s="10" t="s">
        <v>196</v>
      </c>
      <c r="C76" s="10" t="s">
        <v>26</v>
      </c>
      <c r="D76" s="10" t="s">
        <v>197</v>
      </c>
      <c r="E76" s="18">
        <v>950000</v>
      </c>
      <c r="F76" s="19" t="s">
        <v>25</v>
      </c>
      <c r="G76" s="20"/>
      <c r="H76" s="20"/>
      <c r="I76" s="15"/>
      <c r="J76" s="23"/>
      <c r="K76" s="14"/>
      <c r="L76" s="15"/>
      <c r="M76" s="15"/>
      <c r="N76" s="15"/>
      <c r="O76" s="21"/>
      <c r="P76" s="21"/>
      <c r="Q76" s="15"/>
      <c r="R76" s="15"/>
    </row>
    <row r="77" spans="1:18">
      <c r="A77" s="10" t="s">
        <v>198</v>
      </c>
      <c r="B77" s="10" t="s">
        <v>199</v>
      </c>
      <c r="C77" s="10" t="s">
        <v>26</v>
      </c>
      <c r="D77" s="10" t="s">
        <v>200</v>
      </c>
      <c r="E77" s="18"/>
      <c r="F77" s="19" t="s">
        <v>25</v>
      </c>
      <c r="G77" s="20"/>
      <c r="H77" s="20"/>
      <c r="I77" s="15"/>
      <c r="J77" s="23"/>
      <c r="K77" s="14"/>
      <c r="L77" s="15"/>
      <c r="M77" s="15"/>
      <c r="N77" s="15"/>
      <c r="O77" s="21"/>
      <c r="P77" s="21"/>
      <c r="Q77" s="15"/>
      <c r="R77" s="15"/>
    </row>
  </sheetData>
  <mergeCells count="1">
    <mergeCell ref="R14:R33"/>
  </mergeCells>
  <dataValidations count="1">
    <dataValidation type="list" allowBlank="1" showInputMessage="1" showErrorMessage="1" sqref="F4:F77" xr:uid="{2F135847-9CDE-44CA-9470-34976320E9B9}">
      <formula1>"Fixed, Floating"</formula1>
    </dataValidation>
  </dataValidation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095D-E369-4158-86BC-AEBEA1007BCE}">
  <dimension ref="A3:B47"/>
  <sheetViews>
    <sheetView workbookViewId="0">
      <selection activeCell="A65" sqref="A65"/>
    </sheetView>
  </sheetViews>
  <sheetFormatPr defaultColWidth="8.85546875" defaultRowHeight="12.75"/>
  <cols>
    <col min="1" max="1" width="26.85546875" style="1" bestFit="1" customWidth="1"/>
    <col min="2" max="2" width="24.7109375" style="4" bestFit="1" customWidth="1"/>
    <col min="3" max="16384" width="8.85546875" style="1"/>
  </cols>
  <sheetData>
    <row r="3" spans="1:2">
      <c r="A3" s="6" t="s">
        <v>201</v>
      </c>
      <c r="B3" s="4" t="s">
        <v>202</v>
      </c>
    </row>
    <row r="4" spans="1:2">
      <c r="A4" s="7" t="s">
        <v>181</v>
      </c>
      <c r="B4" s="4">
        <v>9150000</v>
      </c>
    </row>
    <row r="5" spans="1:2">
      <c r="A5" s="8" t="s">
        <v>183</v>
      </c>
      <c r="B5" s="4">
        <v>9150000</v>
      </c>
    </row>
    <row r="6" spans="1:2">
      <c r="A6" s="7" t="s">
        <v>142</v>
      </c>
      <c r="B6" s="4">
        <v>7015000</v>
      </c>
    </row>
    <row r="7" spans="1:2">
      <c r="A7" s="8" t="s">
        <v>144</v>
      </c>
      <c r="B7" s="4">
        <v>1860461.4785</v>
      </c>
    </row>
    <row r="8" spans="1:2">
      <c r="A8" s="8" t="s">
        <v>148</v>
      </c>
      <c r="B8" s="4">
        <v>677066.755</v>
      </c>
    </row>
    <row r="9" spans="1:2">
      <c r="A9" s="8" t="s">
        <v>150</v>
      </c>
      <c r="B9" s="4">
        <v>986162.38650000014</v>
      </c>
    </row>
    <row r="10" spans="1:2">
      <c r="A10" s="8" t="s">
        <v>152</v>
      </c>
      <c r="B10" s="4">
        <v>783042.36</v>
      </c>
    </row>
    <row r="11" spans="1:2">
      <c r="A11" s="8" t="s">
        <v>154</v>
      </c>
      <c r="B11" s="4">
        <v>942005.76749999996</v>
      </c>
    </row>
    <row r="12" spans="1:2">
      <c r="A12" s="8" t="s">
        <v>156</v>
      </c>
      <c r="B12" s="4">
        <v>956724.64049999998</v>
      </c>
    </row>
    <row r="13" spans="1:2">
      <c r="A13" s="8" t="s">
        <v>158</v>
      </c>
      <c r="B13" s="4">
        <v>809536.61199999996</v>
      </c>
    </row>
    <row r="14" spans="1:2">
      <c r="A14" s="7" t="s">
        <v>203</v>
      </c>
      <c r="B14" s="4">
        <v>113050000</v>
      </c>
    </row>
    <row r="15" spans="1:2">
      <c r="A15" s="8" t="s">
        <v>56</v>
      </c>
      <c r="B15" s="4">
        <v>4520000</v>
      </c>
    </row>
    <row r="16" spans="1:2">
      <c r="A16" s="8" t="s">
        <v>62</v>
      </c>
      <c r="B16" s="4">
        <v>3923000</v>
      </c>
    </row>
    <row r="17" spans="1:2">
      <c r="A17" s="8" t="s">
        <v>64</v>
      </c>
      <c r="B17" s="4">
        <v>5260000</v>
      </c>
    </row>
    <row r="18" spans="1:2">
      <c r="A18" s="8" t="s">
        <v>66</v>
      </c>
      <c r="B18" s="4">
        <v>2480000</v>
      </c>
    </row>
    <row r="19" spans="1:2">
      <c r="A19" s="8" t="s">
        <v>68</v>
      </c>
      <c r="B19" s="4">
        <v>1990000</v>
      </c>
    </row>
    <row r="20" spans="1:2">
      <c r="A20" s="8" t="s">
        <v>70</v>
      </c>
      <c r="B20" s="4">
        <v>1710000</v>
      </c>
    </row>
    <row r="21" spans="1:2">
      <c r="A21" s="8" t="s">
        <v>72</v>
      </c>
      <c r="B21" s="4">
        <v>9750000</v>
      </c>
    </row>
    <row r="22" spans="1:2">
      <c r="A22" s="8" t="s">
        <v>74</v>
      </c>
      <c r="B22" s="4">
        <v>1650000</v>
      </c>
    </row>
    <row r="23" spans="1:2">
      <c r="A23" s="8" t="s">
        <v>76</v>
      </c>
      <c r="B23" s="4">
        <v>8927000</v>
      </c>
    </row>
    <row r="24" spans="1:2">
      <c r="A24" s="8" t="s">
        <v>78</v>
      </c>
      <c r="B24" s="4">
        <v>2100000</v>
      </c>
    </row>
    <row r="25" spans="1:2">
      <c r="A25" s="8" t="s">
        <v>80</v>
      </c>
      <c r="B25" s="4">
        <v>8720000</v>
      </c>
    </row>
    <row r="26" spans="1:2">
      <c r="A26" s="8" t="s">
        <v>84</v>
      </c>
      <c r="B26" s="4">
        <v>5850000</v>
      </c>
    </row>
    <row r="27" spans="1:2">
      <c r="A27" s="8" t="s">
        <v>82</v>
      </c>
      <c r="B27" s="4">
        <v>14010000</v>
      </c>
    </row>
    <row r="28" spans="1:2">
      <c r="A28" s="8" t="s">
        <v>86</v>
      </c>
      <c r="B28" s="4">
        <v>5400000</v>
      </c>
    </row>
    <row r="29" spans="1:2">
      <c r="A29" s="8" t="s">
        <v>88</v>
      </c>
      <c r="B29" s="4">
        <v>2430000</v>
      </c>
    </row>
    <row r="30" spans="1:2">
      <c r="A30" s="8" t="s">
        <v>90</v>
      </c>
      <c r="B30" s="4">
        <v>4140000</v>
      </c>
    </row>
    <row r="31" spans="1:2">
      <c r="A31" s="8" t="s">
        <v>92</v>
      </c>
      <c r="B31" s="4">
        <v>3470000</v>
      </c>
    </row>
    <row r="32" spans="1:2">
      <c r="A32" s="8" t="s">
        <v>94</v>
      </c>
      <c r="B32" s="4">
        <v>12600000</v>
      </c>
    </row>
    <row r="33" spans="1:2">
      <c r="A33" s="8" t="s">
        <v>96</v>
      </c>
      <c r="B33" s="4">
        <v>5570000</v>
      </c>
    </row>
    <row r="34" spans="1:2">
      <c r="A34" s="8" t="s">
        <v>98</v>
      </c>
      <c r="B34" s="4">
        <v>8550000</v>
      </c>
    </row>
    <row r="35" spans="1:2">
      <c r="A35" s="7" t="s">
        <v>36</v>
      </c>
      <c r="B35" s="4">
        <v>14000000</v>
      </c>
    </row>
    <row r="36" spans="1:2">
      <c r="A36" s="8" t="s">
        <v>38</v>
      </c>
      <c r="B36" s="4">
        <v>1477277</v>
      </c>
    </row>
    <row r="37" spans="1:2">
      <c r="A37" s="8" t="s">
        <v>46</v>
      </c>
      <c r="B37" s="4">
        <v>1926623</v>
      </c>
    </row>
    <row r="38" spans="1:2">
      <c r="A38" s="8" t="s">
        <v>50</v>
      </c>
      <c r="B38" s="4">
        <v>2717319</v>
      </c>
    </row>
    <row r="39" spans="1:2">
      <c r="A39" s="8" t="s">
        <v>42</v>
      </c>
      <c r="B39" s="4">
        <v>2652426</v>
      </c>
    </row>
    <row r="40" spans="1:2">
      <c r="A40" s="8" t="s">
        <v>52</v>
      </c>
      <c r="B40" s="4">
        <v>739718</v>
      </c>
    </row>
    <row r="41" spans="1:2">
      <c r="A41" s="8" t="s">
        <v>48</v>
      </c>
      <c r="B41" s="4">
        <v>1802239</v>
      </c>
    </row>
    <row r="42" spans="1:2">
      <c r="A42" s="8" t="s">
        <v>44</v>
      </c>
      <c r="B42" s="4">
        <v>2684398</v>
      </c>
    </row>
    <row r="43" spans="1:2">
      <c r="A43" s="7" t="s">
        <v>22</v>
      </c>
      <c r="B43" s="4">
        <v>1085000</v>
      </c>
    </row>
    <row r="44" spans="1:2">
      <c r="A44" s="8" t="s">
        <v>24</v>
      </c>
      <c r="B44" s="4">
        <v>1085000</v>
      </c>
    </row>
    <row r="45" spans="1:2">
      <c r="A45" s="7" t="s">
        <v>28</v>
      </c>
      <c r="B45" s="4">
        <v>2534000</v>
      </c>
    </row>
    <row r="46" spans="1:2">
      <c r="A46" s="8" t="s">
        <v>29</v>
      </c>
      <c r="B46" s="4">
        <v>2534000</v>
      </c>
    </row>
    <row r="47" spans="1:2">
      <c r="A47" s="7" t="s">
        <v>204</v>
      </c>
      <c r="B47" s="4">
        <v>146834000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00F5-08F7-42FB-B54D-98263EF67B58}">
  <dimension ref="A2:AX19"/>
  <sheetViews>
    <sheetView showGridLines="0" topLeftCell="Z1" zoomScale="54" workbookViewId="0">
      <selection activeCell="BC12" sqref="BC12"/>
    </sheetView>
  </sheetViews>
  <sheetFormatPr defaultRowHeight="14.25"/>
  <sheetData>
    <row r="2" spans="1:50">
      <c r="A2" t="s">
        <v>21</v>
      </c>
      <c r="I2" t="s">
        <v>27</v>
      </c>
      <c r="P2" t="s">
        <v>36</v>
      </c>
      <c r="AH2" t="s">
        <v>205</v>
      </c>
      <c r="AX2" t="s">
        <v>181</v>
      </c>
    </row>
    <row r="19" spans="34:34">
      <c r="AH19" t="s">
        <v>203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A58F-7B60-4DD5-B796-A2CCBA1A9EFA}">
  <dimension ref="A1:FB199"/>
  <sheetViews>
    <sheetView topLeftCell="BQ1" workbookViewId="0">
      <selection activeCell="BV2" sqref="A2:FB2"/>
    </sheetView>
  </sheetViews>
  <sheetFormatPr defaultRowHeight="14.25"/>
  <cols>
    <col min="1" max="1" width="11.85546875" bestFit="1" customWidth="1"/>
    <col min="2" max="2" width="19.7109375" bestFit="1" customWidth="1"/>
    <col min="3" max="3" width="38.28515625" bestFit="1" customWidth="1"/>
    <col min="4" max="4" width="37.28515625" bestFit="1" customWidth="1"/>
    <col min="5" max="5" width="9.42578125" bestFit="1" customWidth="1"/>
    <col min="6" max="6" width="43.7109375" bestFit="1" customWidth="1"/>
    <col min="7" max="7" width="24.42578125" bestFit="1" customWidth="1"/>
    <col min="8" max="8" width="15.7109375" bestFit="1" customWidth="1"/>
    <col min="9" max="9" width="12.28515625" bestFit="1" customWidth="1"/>
    <col min="10" max="10" width="11.5703125" bestFit="1" customWidth="1"/>
    <col min="11" max="11" width="17.7109375" bestFit="1" customWidth="1"/>
    <col min="12" max="12" width="18.28515625" bestFit="1" customWidth="1"/>
    <col min="13" max="13" width="7.5703125" bestFit="1" customWidth="1"/>
    <col min="14" max="14" width="13.42578125" bestFit="1" customWidth="1"/>
    <col min="15" max="15" width="9.42578125" bestFit="1" customWidth="1"/>
    <col min="16" max="16" width="14.85546875" bestFit="1" customWidth="1"/>
    <col min="17" max="17" width="19.85546875" bestFit="1" customWidth="1"/>
    <col min="18" max="18" width="11.5703125" bestFit="1" customWidth="1"/>
    <col min="19" max="19" width="24.140625" bestFit="1" customWidth="1"/>
    <col min="20" max="20" width="16.5703125" bestFit="1" customWidth="1"/>
    <col min="21" max="21" width="17.7109375" bestFit="1" customWidth="1"/>
    <col min="22" max="22" width="16.7109375" bestFit="1" customWidth="1"/>
    <col min="23" max="23" width="11.5703125" bestFit="1" customWidth="1"/>
    <col min="24" max="24" width="20.140625" bestFit="1" customWidth="1"/>
    <col min="25" max="25" width="26.85546875" bestFit="1" customWidth="1"/>
    <col min="26" max="26" width="31.7109375" bestFit="1" customWidth="1"/>
    <col min="27" max="27" width="23.7109375" bestFit="1" customWidth="1"/>
    <col min="28" max="28" width="12.7109375" bestFit="1" customWidth="1"/>
    <col min="29" max="29" width="15.5703125" bestFit="1" customWidth="1"/>
    <col min="30" max="30" width="14.5703125" bestFit="1" customWidth="1"/>
    <col min="31" max="31" width="14.28515625" bestFit="1" customWidth="1"/>
    <col min="32" max="32" width="14.7109375" customWidth="1"/>
    <col min="33" max="33" width="10" bestFit="1" customWidth="1"/>
    <col min="34" max="34" width="17.7109375" bestFit="1" customWidth="1"/>
    <col min="35" max="35" width="21.85546875" bestFit="1" customWidth="1"/>
    <col min="36" max="36" width="17" bestFit="1" customWidth="1"/>
    <col min="37" max="37" width="10.85546875" bestFit="1" customWidth="1"/>
    <col min="38" max="38" width="11.28515625" bestFit="1" customWidth="1"/>
    <col min="39" max="39" width="21.42578125" bestFit="1" customWidth="1"/>
    <col min="40" max="40" width="16.28515625" bestFit="1" customWidth="1"/>
    <col min="41" max="41" width="12.7109375" bestFit="1" customWidth="1"/>
    <col min="42" max="42" width="12.85546875" bestFit="1" customWidth="1"/>
    <col min="43" max="43" width="11.7109375" bestFit="1" customWidth="1"/>
    <col min="44" max="44" width="11.5703125" bestFit="1" customWidth="1"/>
    <col min="45" max="45" width="18.7109375" bestFit="1" customWidth="1"/>
    <col min="46" max="46" width="11.28515625" bestFit="1" customWidth="1"/>
    <col min="47" max="47" width="20.7109375" bestFit="1" customWidth="1"/>
    <col min="48" max="48" width="19.42578125" bestFit="1" customWidth="1"/>
    <col min="49" max="49" width="17.5703125" bestFit="1" customWidth="1"/>
    <col min="50" max="50" width="59.42578125" bestFit="1" customWidth="1"/>
    <col min="51" max="51" width="22.42578125" bestFit="1" customWidth="1"/>
    <col min="52" max="52" width="24.140625" bestFit="1" customWidth="1"/>
    <col min="53" max="53" width="18.85546875" bestFit="1" customWidth="1"/>
    <col min="54" max="54" width="9.7109375" bestFit="1" customWidth="1"/>
    <col min="55" max="55" width="21.7109375" bestFit="1" customWidth="1"/>
    <col min="56" max="56" width="11.7109375" bestFit="1" customWidth="1"/>
    <col min="57" max="57" width="17.140625" bestFit="1" customWidth="1"/>
    <col min="58" max="58" width="23.7109375" bestFit="1" customWidth="1"/>
    <col min="59" max="59" width="23.28515625" bestFit="1" customWidth="1"/>
    <col min="60" max="60" width="10.7109375" bestFit="1" customWidth="1"/>
    <col min="61" max="61" width="15.5703125" bestFit="1" customWidth="1"/>
    <col min="62" max="62" width="17.5703125" bestFit="1" customWidth="1"/>
    <col min="63" max="63" width="22.5703125" bestFit="1" customWidth="1"/>
    <col min="64" max="64" width="41.7109375" bestFit="1" customWidth="1"/>
    <col min="65" max="65" width="15.7109375" bestFit="1" customWidth="1"/>
    <col min="66" max="66" width="11.7109375" bestFit="1" customWidth="1"/>
    <col min="67" max="67" width="24" bestFit="1" customWidth="1"/>
    <col min="68" max="68" width="28.28515625" bestFit="1" customWidth="1"/>
    <col min="69" max="69" width="31.140625" bestFit="1" customWidth="1"/>
    <col min="70" max="70" width="28.7109375" bestFit="1" customWidth="1"/>
    <col min="71" max="71" width="28.140625" bestFit="1" customWidth="1"/>
    <col min="72" max="72" width="24.28515625" bestFit="1" customWidth="1"/>
    <col min="73" max="73" width="24.7109375" bestFit="1" customWidth="1"/>
    <col min="74" max="74" width="44.28515625" bestFit="1" customWidth="1"/>
    <col min="75" max="75" width="35.5703125" bestFit="1" customWidth="1"/>
    <col min="76" max="76" width="24.28515625" bestFit="1" customWidth="1"/>
    <col min="77" max="77" width="27.28515625" bestFit="1" customWidth="1"/>
    <col min="78" max="78" width="11.5703125" bestFit="1" customWidth="1"/>
    <col min="79" max="79" width="70.28515625" bestFit="1" customWidth="1"/>
    <col min="80" max="80" width="25.85546875" bestFit="1" customWidth="1"/>
    <col min="82" max="82" width="22.28515625" bestFit="1" customWidth="1"/>
    <col min="83" max="83" width="20.5703125" bestFit="1" customWidth="1"/>
    <col min="84" max="84" width="12.5703125" bestFit="1" customWidth="1"/>
    <col min="85" max="85" width="16.28515625" bestFit="1" customWidth="1"/>
    <col min="86" max="86" width="17.28515625" bestFit="1" customWidth="1"/>
    <col min="87" max="87" width="37.28515625" bestFit="1" customWidth="1"/>
    <col min="88" max="88" width="18.140625" bestFit="1" customWidth="1"/>
    <col min="89" max="89" width="36.5703125" bestFit="1" customWidth="1"/>
    <col min="90" max="90" width="22.140625" bestFit="1" customWidth="1"/>
    <col min="91" max="91" width="26.7109375" bestFit="1" customWidth="1"/>
    <col min="92" max="92" width="45.5703125" bestFit="1" customWidth="1"/>
    <col min="93" max="93" width="14.5703125" bestFit="1" customWidth="1"/>
    <col min="94" max="94" width="24.85546875" bestFit="1" customWidth="1"/>
    <col min="95" max="95" width="20.85546875" bestFit="1" customWidth="1"/>
    <col min="96" max="96" width="19.28515625" bestFit="1" customWidth="1"/>
    <col min="97" max="97" width="24.28515625" bestFit="1" customWidth="1"/>
    <col min="98" max="98" width="22.42578125" bestFit="1" customWidth="1"/>
    <col min="99" max="99" width="15" bestFit="1" customWidth="1"/>
    <col min="100" max="100" width="20.5703125" bestFit="1" customWidth="1"/>
    <col min="101" max="101" width="13.7109375" bestFit="1" customWidth="1"/>
    <col min="102" max="102" width="15.5703125" bestFit="1" customWidth="1"/>
    <col min="103" max="103" width="17.140625" bestFit="1" customWidth="1"/>
    <col min="104" max="104" width="18.85546875" bestFit="1" customWidth="1"/>
    <col min="105" max="105" width="19.5703125" bestFit="1" customWidth="1"/>
    <col min="106" max="106" width="31.5703125" bestFit="1" customWidth="1"/>
    <col min="107" max="107" width="29.5703125" bestFit="1" customWidth="1"/>
    <col min="108" max="108" width="14.140625" bestFit="1" customWidth="1"/>
    <col min="109" max="109" width="39.42578125" bestFit="1" customWidth="1"/>
    <col min="110" max="110" width="13.28515625" bestFit="1" customWidth="1"/>
    <col min="111" max="111" width="20.28515625" bestFit="1" customWidth="1"/>
    <col min="112" max="112" width="18.5703125" bestFit="1" customWidth="1"/>
    <col min="113" max="113" width="35.28515625" bestFit="1" customWidth="1"/>
    <col min="114" max="114" width="16.28515625" bestFit="1" customWidth="1"/>
    <col min="115" max="115" width="15.28515625" bestFit="1" customWidth="1"/>
    <col min="116" max="116" width="7.28515625" bestFit="1" customWidth="1"/>
    <col min="117" max="117" width="23.28515625" bestFit="1" customWidth="1"/>
    <col min="118" max="118" width="9.28515625" bestFit="1" customWidth="1"/>
    <col min="119" max="119" width="22.28515625" bestFit="1" customWidth="1"/>
    <col min="120" max="120" width="10.28515625" bestFit="1" customWidth="1"/>
    <col min="121" max="121" width="15.42578125" bestFit="1" customWidth="1"/>
    <col min="122" max="122" width="17.28515625" bestFit="1" customWidth="1"/>
    <col min="123" max="123" width="11.28515625" bestFit="1" customWidth="1"/>
    <col min="124" max="124" width="10.7109375" bestFit="1" customWidth="1"/>
    <col min="125" max="125" width="13.7109375" bestFit="1" customWidth="1"/>
    <col min="126" max="126" width="22.28515625" bestFit="1" customWidth="1"/>
    <col min="127" max="127" width="10.85546875" bestFit="1" customWidth="1"/>
    <col min="128" max="128" width="24.140625" bestFit="1" customWidth="1"/>
    <col min="129" max="129" width="30.7109375" bestFit="1" customWidth="1"/>
    <col min="130" max="130" width="22.140625" bestFit="1" customWidth="1"/>
    <col min="131" max="131" width="13.28515625" bestFit="1" customWidth="1"/>
    <col min="132" max="132" width="21.7109375" bestFit="1" customWidth="1"/>
    <col min="133" max="133" width="10.7109375" bestFit="1" customWidth="1"/>
    <col min="134" max="134" width="11.42578125" bestFit="1" customWidth="1"/>
    <col min="135" max="135" width="22.7109375" bestFit="1" customWidth="1"/>
    <col min="136" max="136" width="23.7109375" bestFit="1" customWidth="1"/>
    <col min="137" max="137" width="22.5703125" bestFit="1" customWidth="1"/>
    <col min="138" max="138" width="21.7109375" bestFit="1" customWidth="1"/>
    <col min="139" max="139" width="15.7109375" bestFit="1" customWidth="1"/>
    <col min="140" max="140" width="23.28515625" bestFit="1" customWidth="1"/>
    <col min="141" max="141" width="22.28515625" bestFit="1" customWidth="1"/>
    <col min="142" max="142" width="21.7109375" bestFit="1" customWidth="1"/>
    <col min="143" max="143" width="15.7109375" bestFit="1" customWidth="1"/>
    <col min="144" max="144" width="21.7109375" bestFit="1" customWidth="1"/>
    <col min="145" max="145" width="25.85546875" bestFit="1" customWidth="1"/>
    <col min="146" max="146" width="28.7109375" bestFit="1" customWidth="1"/>
    <col min="147" max="147" width="21.42578125" bestFit="1" customWidth="1"/>
    <col min="148" max="148" width="33.7109375" bestFit="1" customWidth="1"/>
    <col min="149" max="149" width="33.42578125" bestFit="1" customWidth="1"/>
    <col min="150" max="150" width="20.85546875" bestFit="1" customWidth="1"/>
    <col min="151" max="151" width="22" bestFit="1" customWidth="1"/>
    <col min="152" max="152" width="24.85546875" bestFit="1" customWidth="1"/>
    <col min="153" max="153" width="10.28515625" bestFit="1" customWidth="1"/>
    <col min="154" max="154" width="23.28515625" bestFit="1" customWidth="1"/>
    <col min="155" max="155" width="23.85546875" bestFit="1" customWidth="1"/>
    <col min="156" max="156" width="23.5703125" bestFit="1" customWidth="1"/>
    <col min="157" max="157" width="17.85546875" bestFit="1" customWidth="1"/>
    <col min="158" max="158" width="34" bestFit="1" customWidth="1"/>
  </cols>
  <sheetData>
    <row r="1" spans="1:158">
      <c r="C1">
        <v>2</v>
      </c>
      <c r="D1">
        <f>C1+1</f>
        <v>3</v>
      </c>
      <c r="E1">
        <f t="shared" ref="E1:BP1" si="0">D1+1</f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 t="shared" si="0"/>
        <v>66</v>
      </c>
      <c r="BP1">
        <f t="shared" si="0"/>
        <v>67</v>
      </c>
      <c r="BQ1">
        <f t="shared" ref="BQ1:EB1" si="1">BP1+1</f>
        <v>68</v>
      </c>
      <c r="BR1">
        <f t="shared" si="1"/>
        <v>69</v>
      </c>
      <c r="BS1">
        <f t="shared" si="1"/>
        <v>70</v>
      </c>
      <c r="BT1">
        <f t="shared" si="1"/>
        <v>71</v>
      </c>
      <c r="BU1">
        <f t="shared" si="1"/>
        <v>72</v>
      </c>
      <c r="BV1">
        <f t="shared" si="1"/>
        <v>73</v>
      </c>
      <c r="BW1">
        <f t="shared" si="1"/>
        <v>74</v>
      </c>
      <c r="BX1">
        <f t="shared" si="1"/>
        <v>75</v>
      </c>
      <c r="BY1">
        <f t="shared" si="1"/>
        <v>76</v>
      </c>
      <c r="BZ1">
        <f t="shared" si="1"/>
        <v>77</v>
      </c>
      <c r="CA1">
        <f t="shared" si="1"/>
        <v>78</v>
      </c>
      <c r="CB1">
        <f t="shared" si="1"/>
        <v>79</v>
      </c>
      <c r="CC1">
        <f t="shared" si="1"/>
        <v>80</v>
      </c>
      <c r="CD1">
        <f t="shared" si="1"/>
        <v>81</v>
      </c>
      <c r="CE1">
        <f t="shared" si="1"/>
        <v>82</v>
      </c>
      <c r="CF1">
        <f t="shared" si="1"/>
        <v>83</v>
      </c>
      <c r="CG1">
        <f t="shared" si="1"/>
        <v>84</v>
      </c>
      <c r="CH1">
        <f t="shared" si="1"/>
        <v>85</v>
      </c>
      <c r="CI1">
        <f t="shared" si="1"/>
        <v>86</v>
      </c>
      <c r="CJ1">
        <f t="shared" si="1"/>
        <v>87</v>
      </c>
      <c r="CK1">
        <f t="shared" si="1"/>
        <v>88</v>
      </c>
      <c r="CL1">
        <f t="shared" si="1"/>
        <v>89</v>
      </c>
      <c r="CM1">
        <f t="shared" si="1"/>
        <v>90</v>
      </c>
      <c r="CN1">
        <f t="shared" si="1"/>
        <v>91</v>
      </c>
      <c r="CO1">
        <f t="shared" si="1"/>
        <v>92</v>
      </c>
      <c r="CP1">
        <f t="shared" si="1"/>
        <v>93</v>
      </c>
      <c r="CQ1">
        <f t="shared" si="1"/>
        <v>94</v>
      </c>
      <c r="CR1">
        <f t="shared" si="1"/>
        <v>95</v>
      </c>
      <c r="CS1">
        <f t="shared" si="1"/>
        <v>96</v>
      </c>
      <c r="CT1">
        <f t="shared" si="1"/>
        <v>97</v>
      </c>
      <c r="CU1">
        <f t="shared" si="1"/>
        <v>98</v>
      </c>
      <c r="CV1">
        <f t="shared" si="1"/>
        <v>99</v>
      </c>
      <c r="CW1">
        <f t="shared" si="1"/>
        <v>100</v>
      </c>
      <c r="CX1">
        <f t="shared" si="1"/>
        <v>101</v>
      </c>
      <c r="CY1">
        <f t="shared" si="1"/>
        <v>102</v>
      </c>
      <c r="CZ1">
        <f t="shared" si="1"/>
        <v>103</v>
      </c>
      <c r="DA1">
        <f t="shared" si="1"/>
        <v>104</v>
      </c>
      <c r="DB1">
        <f t="shared" si="1"/>
        <v>105</v>
      </c>
      <c r="DC1">
        <f t="shared" si="1"/>
        <v>106</v>
      </c>
      <c r="DD1">
        <f t="shared" si="1"/>
        <v>107</v>
      </c>
      <c r="DE1">
        <f t="shared" si="1"/>
        <v>108</v>
      </c>
      <c r="DF1">
        <f t="shared" si="1"/>
        <v>109</v>
      </c>
      <c r="DG1">
        <f t="shared" si="1"/>
        <v>110</v>
      </c>
      <c r="DH1">
        <f t="shared" si="1"/>
        <v>111</v>
      </c>
      <c r="DI1">
        <f t="shared" si="1"/>
        <v>112</v>
      </c>
      <c r="DJ1">
        <f t="shared" si="1"/>
        <v>113</v>
      </c>
      <c r="DK1">
        <f t="shared" si="1"/>
        <v>114</v>
      </c>
      <c r="DL1">
        <f t="shared" si="1"/>
        <v>115</v>
      </c>
      <c r="DM1">
        <f t="shared" si="1"/>
        <v>116</v>
      </c>
      <c r="DN1">
        <f t="shared" si="1"/>
        <v>117</v>
      </c>
      <c r="DO1">
        <f t="shared" si="1"/>
        <v>118</v>
      </c>
      <c r="DP1">
        <f t="shared" si="1"/>
        <v>119</v>
      </c>
      <c r="DQ1">
        <f t="shared" si="1"/>
        <v>120</v>
      </c>
      <c r="DR1">
        <f t="shared" si="1"/>
        <v>121</v>
      </c>
      <c r="DS1">
        <f t="shared" si="1"/>
        <v>122</v>
      </c>
      <c r="DT1">
        <f t="shared" si="1"/>
        <v>123</v>
      </c>
      <c r="DU1">
        <f t="shared" si="1"/>
        <v>124</v>
      </c>
      <c r="DV1">
        <f t="shared" si="1"/>
        <v>125</v>
      </c>
      <c r="DW1">
        <f t="shared" si="1"/>
        <v>126</v>
      </c>
      <c r="DX1">
        <f t="shared" si="1"/>
        <v>127</v>
      </c>
      <c r="DY1">
        <f t="shared" si="1"/>
        <v>128</v>
      </c>
      <c r="DZ1">
        <f t="shared" si="1"/>
        <v>129</v>
      </c>
      <c r="EA1">
        <f t="shared" si="1"/>
        <v>130</v>
      </c>
      <c r="EB1">
        <f t="shared" si="1"/>
        <v>131</v>
      </c>
      <c r="EC1">
        <f t="shared" ref="EC1:FB1" si="2">EB1+1</f>
        <v>132</v>
      </c>
      <c r="ED1">
        <f t="shared" si="2"/>
        <v>133</v>
      </c>
      <c r="EE1">
        <f t="shared" si="2"/>
        <v>134</v>
      </c>
      <c r="EF1">
        <f t="shared" si="2"/>
        <v>135</v>
      </c>
      <c r="EG1">
        <f t="shared" si="2"/>
        <v>136</v>
      </c>
      <c r="EH1">
        <f t="shared" si="2"/>
        <v>137</v>
      </c>
      <c r="EI1">
        <f t="shared" si="2"/>
        <v>138</v>
      </c>
      <c r="EJ1">
        <f t="shared" si="2"/>
        <v>139</v>
      </c>
      <c r="EK1">
        <f t="shared" si="2"/>
        <v>140</v>
      </c>
      <c r="EL1">
        <f t="shared" si="2"/>
        <v>141</v>
      </c>
      <c r="EM1">
        <f t="shared" si="2"/>
        <v>142</v>
      </c>
      <c r="EN1">
        <f t="shared" si="2"/>
        <v>143</v>
      </c>
      <c r="EO1">
        <f t="shared" si="2"/>
        <v>144</v>
      </c>
      <c r="EP1">
        <f t="shared" si="2"/>
        <v>145</v>
      </c>
      <c r="EQ1">
        <f t="shared" si="2"/>
        <v>146</v>
      </c>
      <c r="ER1">
        <f t="shared" si="2"/>
        <v>147</v>
      </c>
      <c r="ES1">
        <f t="shared" si="2"/>
        <v>148</v>
      </c>
      <c r="ET1">
        <f t="shared" si="2"/>
        <v>149</v>
      </c>
      <c r="EU1">
        <f t="shared" si="2"/>
        <v>150</v>
      </c>
      <c r="EV1">
        <f t="shared" si="2"/>
        <v>151</v>
      </c>
      <c r="EW1">
        <f t="shared" si="2"/>
        <v>152</v>
      </c>
      <c r="EX1">
        <f t="shared" si="2"/>
        <v>153</v>
      </c>
      <c r="EY1">
        <f t="shared" si="2"/>
        <v>154</v>
      </c>
      <c r="EZ1">
        <f t="shared" si="2"/>
        <v>155</v>
      </c>
      <c r="FA1">
        <f t="shared" si="2"/>
        <v>156</v>
      </c>
      <c r="FB1">
        <f t="shared" si="2"/>
        <v>157</v>
      </c>
    </row>
    <row r="2" spans="1:158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216</v>
      </c>
      <c r="L2" t="s">
        <v>217</v>
      </c>
      <c r="M2" t="s">
        <v>218</v>
      </c>
      <c r="N2" t="s">
        <v>219</v>
      </c>
      <c r="O2" t="s">
        <v>220</v>
      </c>
      <c r="P2" t="s">
        <v>221</v>
      </c>
      <c r="Q2" t="s">
        <v>222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W2" t="s">
        <v>228</v>
      </c>
      <c r="X2" t="s">
        <v>229</v>
      </c>
      <c r="Y2" t="s">
        <v>230</v>
      </c>
      <c r="Z2" t="s">
        <v>231</v>
      </c>
      <c r="AA2" t="s">
        <v>6</v>
      </c>
      <c r="AB2" t="s">
        <v>232</v>
      </c>
      <c r="AC2" t="s">
        <v>233</v>
      </c>
      <c r="AD2" t="s">
        <v>234</v>
      </c>
      <c r="AE2" t="s">
        <v>235</v>
      </c>
      <c r="AF2" s="2" t="s">
        <v>2</v>
      </c>
      <c r="AG2" s="2" t="s">
        <v>236</v>
      </c>
      <c r="AH2" s="2" t="s">
        <v>237</v>
      </c>
      <c r="AI2" s="2" t="s">
        <v>1</v>
      </c>
      <c r="AJ2" s="2" t="s">
        <v>238</v>
      </c>
      <c r="AK2" s="2" t="s">
        <v>239</v>
      </c>
      <c r="AL2" s="2" t="s">
        <v>240</v>
      </c>
      <c r="AM2" t="s">
        <v>241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 t="s">
        <v>248</v>
      </c>
      <c r="AU2" t="s">
        <v>249</v>
      </c>
      <c r="AV2" t="s">
        <v>250</v>
      </c>
      <c r="AW2" t="s">
        <v>251</v>
      </c>
      <c r="AX2" t="s">
        <v>252</v>
      </c>
      <c r="AY2" t="s">
        <v>253</v>
      </c>
      <c r="AZ2" t="s">
        <v>254</v>
      </c>
      <c r="BA2" t="s">
        <v>255</v>
      </c>
      <c r="BB2" t="s">
        <v>256</v>
      </c>
      <c r="BC2" t="s">
        <v>257</v>
      </c>
      <c r="BD2" t="s">
        <v>258</v>
      </c>
      <c r="BE2" t="s">
        <v>259</v>
      </c>
      <c r="BF2" t="s">
        <v>260</v>
      </c>
      <c r="BG2" t="s">
        <v>261</v>
      </c>
      <c r="BH2" t="s">
        <v>262</v>
      </c>
      <c r="BI2" t="s">
        <v>263</v>
      </c>
      <c r="BJ2" t="s">
        <v>264</v>
      </c>
      <c r="BK2" t="s">
        <v>265</v>
      </c>
      <c r="BL2" t="s">
        <v>266</v>
      </c>
      <c r="BM2" t="s">
        <v>267</v>
      </c>
      <c r="BN2" t="s">
        <v>268</v>
      </c>
      <c r="BO2" t="s">
        <v>269</v>
      </c>
      <c r="BP2" t="s">
        <v>270</v>
      </c>
      <c r="BQ2" t="s">
        <v>271</v>
      </c>
      <c r="BR2" t="s">
        <v>272</v>
      </c>
      <c r="BS2" t="s">
        <v>273</v>
      </c>
      <c r="BT2" t="s">
        <v>274</v>
      </c>
      <c r="BU2" t="s">
        <v>275</v>
      </c>
      <c r="BV2" t="s">
        <v>276</v>
      </c>
      <c r="BW2" t="s">
        <v>277</v>
      </c>
      <c r="BX2" t="s">
        <v>278</v>
      </c>
      <c r="BY2" t="s">
        <v>279</v>
      </c>
      <c r="BZ2" t="s">
        <v>280</v>
      </c>
      <c r="CA2" t="s">
        <v>281</v>
      </c>
      <c r="CB2" t="s">
        <v>282</v>
      </c>
      <c r="CC2" t="s">
        <v>283</v>
      </c>
      <c r="CD2" t="s">
        <v>284</v>
      </c>
      <c r="CE2" t="s">
        <v>285</v>
      </c>
      <c r="CF2" t="s">
        <v>286</v>
      </c>
      <c r="CG2" t="s">
        <v>287</v>
      </c>
      <c r="CH2" t="s">
        <v>288</v>
      </c>
      <c r="CI2" t="s">
        <v>289</v>
      </c>
      <c r="CJ2" t="s">
        <v>290</v>
      </c>
      <c r="CK2" t="s">
        <v>291</v>
      </c>
      <c r="CL2" t="s">
        <v>292</v>
      </c>
      <c r="CM2" t="s">
        <v>293</v>
      </c>
      <c r="CN2" t="s">
        <v>294</v>
      </c>
      <c r="CO2" t="s">
        <v>295</v>
      </c>
      <c r="CP2" t="s">
        <v>296</v>
      </c>
      <c r="CQ2" t="s">
        <v>297</v>
      </c>
      <c r="CR2" t="s">
        <v>298</v>
      </c>
      <c r="CS2" t="s">
        <v>299</v>
      </c>
      <c r="CT2" t="s">
        <v>300</v>
      </c>
      <c r="CU2" t="s">
        <v>301</v>
      </c>
      <c r="CV2" t="s">
        <v>302</v>
      </c>
      <c r="CW2" t="s">
        <v>303</v>
      </c>
      <c r="CX2" t="s">
        <v>304</v>
      </c>
      <c r="CY2" t="s">
        <v>305</v>
      </c>
      <c r="CZ2" t="s">
        <v>306</v>
      </c>
      <c r="DA2" t="s">
        <v>307</v>
      </c>
      <c r="DB2" t="s">
        <v>308</v>
      </c>
      <c r="DC2" t="s">
        <v>309</v>
      </c>
      <c r="DD2" t="s">
        <v>310</v>
      </c>
      <c r="DE2" t="s">
        <v>311</v>
      </c>
      <c r="DF2" t="s">
        <v>312</v>
      </c>
      <c r="DG2" t="s">
        <v>313</v>
      </c>
      <c r="DH2" t="s">
        <v>314</v>
      </c>
      <c r="DI2" t="s">
        <v>315</v>
      </c>
      <c r="DJ2" t="s">
        <v>316</v>
      </c>
      <c r="DK2" t="s">
        <v>317</v>
      </c>
      <c r="DL2" t="s">
        <v>318</v>
      </c>
      <c r="DM2" t="s">
        <v>319</v>
      </c>
      <c r="DN2" t="s">
        <v>320</v>
      </c>
      <c r="DO2" t="s">
        <v>321</v>
      </c>
      <c r="DP2" t="s">
        <v>322</v>
      </c>
      <c r="DQ2" t="s">
        <v>323</v>
      </c>
      <c r="DR2" t="s">
        <v>324</v>
      </c>
      <c r="DS2" t="s">
        <v>325</v>
      </c>
      <c r="DT2" t="s">
        <v>326</v>
      </c>
      <c r="DU2" t="s">
        <v>327</v>
      </c>
      <c r="DV2" t="s">
        <v>328</v>
      </c>
      <c r="DW2" t="s">
        <v>329</v>
      </c>
      <c r="DX2" t="s">
        <v>330</v>
      </c>
      <c r="DY2" t="s">
        <v>331</v>
      </c>
      <c r="DZ2" t="s">
        <v>332</v>
      </c>
      <c r="EA2" t="s">
        <v>333</v>
      </c>
      <c r="EB2" t="s">
        <v>334</v>
      </c>
      <c r="EC2" t="s">
        <v>335</v>
      </c>
      <c r="ED2" t="s">
        <v>336</v>
      </c>
      <c r="EE2" t="s">
        <v>337</v>
      </c>
      <c r="EF2" t="s">
        <v>338</v>
      </c>
      <c r="EG2" t="s">
        <v>339</v>
      </c>
      <c r="EH2" t="s">
        <v>340</v>
      </c>
      <c r="EI2" t="s">
        <v>341</v>
      </c>
      <c r="EJ2" t="s">
        <v>342</v>
      </c>
      <c r="EK2" t="s">
        <v>343</v>
      </c>
      <c r="EL2" t="s">
        <v>344</v>
      </c>
      <c r="EM2" t="s">
        <v>345</v>
      </c>
      <c r="EN2" t="s">
        <v>346</v>
      </c>
      <c r="EO2" t="s">
        <v>347</v>
      </c>
      <c r="EP2" t="s">
        <v>348</v>
      </c>
      <c r="EQ2" t="s">
        <v>349</v>
      </c>
      <c r="ER2" t="s">
        <v>350</v>
      </c>
      <c r="ES2" t="s">
        <v>351</v>
      </c>
      <c r="ET2" t="s">
        <v>352</v>
      </c>
      <c r="EU2" t="s">
        <v>353</v>
      </c>
      <c r="EV2" t="s">
        <v>354</v>
      </c>
      <c r="EW2" t="s">
        <v>355</v>
      </c>
      <c r="EX2" t="s">
        <v>356</v>
      </c>
      <c r="EY2" t="s">
        <v>357</v>
      </c>
      <c r="EZ2" t="s">
        <v>358</v>
      </c>
      <c r="FA2" t="s">
        <v>359</v>
      </c>
      <c r="FB2" t="s">
        <v>360</v>
      </c>
    </row>
    <row r="3" spans="1:158">
      <c r="A3">
        <v>215</v>
      </c>
      <c r="B3" t="s">
        <v>180</v>
      </c>
      <c r="C3" t="s">
        <v>361</v>
      </c>
      <c r="D3" t="s">
        <v>362</v>
      </c>
      <c r="E3">
        <v>1</v>
      </c>
      <c r="F3" t="s">
        <v>363</v>
      </c>
      <c r="G3" t="s">
        <v>364</v>
      </c>
      <c r="H3" t="s">
        <v>365</v>
      </c>
      <c r="I3" t="s">
        <v>366</v>
      </c>
      <c r="J3">
        <v>215</v>
      </c>
      <c r="K3" t="s">
        <v>367</v>
      </c>
      <c r="M3" t="s">
        <v>368</v>
      </c>
      <c r="N3" t="s">
        <v>369</v>
      </c>
      <c r="R3" t="s">
        <v>370</v>
      </c>
      <c r="S3" t="s">
        <v>371</v>
      </c>
      <c r="T3" t="s">
        <v>372</v>
      </c>
      <c r="U3" t="s">
        <v>373</v>
      </c>
      <c r="V3" t="s">
        <v>374</v>
      </c>
      <c r="W3" t="s">
        <v>375</v>
      </c>
      <c r="X3" t="s">
        <v>376</v>
      </c>
      <c r="Y3" t="s">
        <v>377</v>
      </c>
      <c r="Z3" t="s">
        <v>378</v>
      </c>
      <c r="AA3" t="s">
        <v>379</v>
      </c>
      <c r="AB3" t="s">
        <v>380</v>
      </c>
      <c r="AD3" t="s">
        <v>381</v>
      </c>
      <c r="AE3" t="s">
        <v>382</v>
      </c>
      <c r="AI3" t="s">
        <v>383</v>
      </c>
      <c r="AM3" t="s">
        <v>384</v>
      </c>
      <c r="AN3" t="s">
        <v>385</v>
      </c>
      <c r="AP3" t="s">
        <v>386</v>
      </c>
      <c r="AQ3" t="s">
        <v>387</v>
      </c>
      <c r="AS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BD3" t="s">
        <v>383</v>
      </c>
      <c r="BE3" t="s">
        <v>394</v>
      </c>
      <c r="BF3" t="s">
        <v>395</v>
      </c>
      <c r="BG3" t="s">
        <v>396</v>
      </c>
      <c r="BL3" t="s">
        <v>397</v>
      </c>
      <c r="BM3" t="s">
        <v>398</v>
      </c>
      <c r="BO3" t="s">
        <v>399</v>
      </c>
      <c r="BP3" t="s">
        <v>400</v>
      </c>
      <c r="BQ3" t="s">
        <v>401</v>
      </c>
      <c r="BR3" t="s">
        <v>395</v>
      </c>
      <c r="BS3" t="s">
        <v>402</v>
      </c>
      <c r="BU3" t="s">
        <v>403</v>
      </c>
      <c r="BV3" t="s">
        <v>402</v>
      </c>
      <c r="BZ3" t="s">
        <v>404</v>
      </c>
      <c r="CA3" t="s">
        <v>405</v>
      </c>
      <c r="CC3" t="s">
        <v>406</v>
      </c>
      <c r="CF3" t="s">
        <v>366</v>
      </c>
      <c r="CH3" t="s">
        <v>407</v>
      </c>
      <c r="CI3" t="s">
        <v>404</v>
      </c>
      <c r="CJ3" t="s">
        <v>408</v>
      </c>
      <c r="CK3" t="s">
        <v>409</v>
      </c>
      <c r="CO3" t="s">
        <v>410</v>
      </c>
      <c r="CP3" t="s">
        <v>411</v>
      </c>
      <c r="CQ3" t="s">
        <v>412</v>
      </c>
      <c r="CR3" t="s">
        <v>413</v>
      </c>
      <c r="CT3" t="s">
        <v>414</v>
      </c>
      <c r="CU3" t="s">
        <v>415</v>
      </c>
      <c r="CV3" t="s">
        <v>416</v>
      </c>
      <c r="CW3" t="s">
        <v>388</v>
      </c>
      <c r="CX3" t="s">
        <v>417</v>
      </c>
      <c r="CY3" t="s">
        <v>26</v>
      </c>
      <c r="DA3" t="s">
        <v>418</v>
      </c>
      <c r="DC3" t="s">
        <v>419</v>
      </c>
      <c r="DE3" t="s">
        <v>420</v>
      </c>
      <c r="DF3" t="s">
        <v>421</v>
      </c>
      <c r="DH3" t="s">
        <v>422</v>
      </c>
      <c r="DI3" t="s">
        <v>423</v>
      </c>
      <c r="DJ3" t="s">
        <v>424</v>
      </c>
      <c r="DK3" t="s">
        <v>425</v>
      </c>
      <c r="DL3" t="s">
        <v>426</v>
      </c>
      <c r="DN3" t="s">
        <v>395</v>
      </c>
      <c r="DO3" t="s">
        <v>364</v>
      </c>
      <c r="DP3" t="s">
        <v>395</v>
      </c>
      <c r="DQ3" t="s">
        <v>395</v>
      </c>
      <c r="DR3" t="s">
        <v>395</v>
      </c>
      <c r="DS3" t="s">
        <v>427</v>
      </c>
      <c r="DT3" t="s">
        <v>402</v>
      </c>
      <c r="DV3" t="s">
        <v>395</v>
      </c>
      <c r="DW3" t="s">
        <v>403</v>
      </c>
      <c r="DY3" t="s">
        <v>402</v>
      </c>
      <c r="EA3" t="s">
        <v>402</v>
      </c>
      <c r="EB3" t="s">
        <v>428</v>
      </c>
      <c r="EC3" t="s">
        <v>395</v>
      </c>
      <c r="EF3" t="s">
        <v>429</v>
      </c>
      <c r="EG3" t="s">
        <v>429</v>
      </c>
      <c r="EH3" t="s">
        <v>430</v>
      </c>
      <c r="EI3" t="s">
        <v>431</v>
      </c>
      <c r="EJ3" t="s">
        <v>429</v>
      </c>
      <c r="EK3" t="s">
        <v>429</v>
      </c>
      <c r="EL3" t="s">
        <v>430</v>
      </c>
      <c r="EM3" t="s">
        <v>431</v>
      </c>
      <c r="EW3" t="s">
        <v>432</v>
      </c>
      <c r="FA3" t="s">
        <v>404</v>
      </c>
      <c r="FB3" t="s">
        <v>433</v>
      </c>
    </row>
    <row r="4" spans="1:158">
      <c r="A4">
        <v>46</v>
      </c>
      <c r="B4" t="s">
        <v>434</v>
      </c>
      <c r="C4" t="s">
        <v>435</v>
      </c>
      <c r="D4" t="s">
        <v>436</v>
      </c>
      <c r="E4">
        <v>0</v>
      </c>
      <c r="F4" t="s">
        <v>437</v>
      </c>
      <c r="G4" t="s">
        <v>438</v>
      </c>
      <c r="H4" t="s">
        <v>439</v>
      </c>
      <c r="I4" t="s">
        <v>440</v>
      </c>
      <c r="J4">
        <v>46</v>
      </c>
      <c r="O4" t="s">
        <v>441</v>
      </c>
      <c r="R4" t="s">
        <v>442</v>
      </c>
      <c r="AA4" t="s">
        <v>443</v>
      </c>
      <c r="AU4" t="s">
        <v>444</v>
      </c>
      <c r="AW4" t="s">
        <v>445</v>
      </c>
      <c r="AX4" t="s">
        <v>446</v>
      </c>
      <c r="AY4" t="s">
        <v>447</v>
      </c>
      <c r="CC4" t="s">
        <v>406</v>
      </c>
      <c r="CI4" t="s">
        <v>404</v>
      </c>
      <c r="CJ4" t="s">
        <v>448</v>
      </c>
      <c r="CO4" t="s">
        <v>449</v>
      </c>
      <c r="EH4" t="s">
        <v>430</v>
      </c>
      <c r="EL4" t="s">
        <v>430</v>
      </c>
      <c r="EW4" t="s">
        <v>444</v>
      </c>
      <c r="FA4" t="s">
        <v>404</v>
      </c>
    </row>
    <row r="5" spans="1:158">
      <c r="A5">
        <v>192</v>
      </c>
      <c r="B5" t="s">
        <v>450</v>
      </c>
      <c r="C5" t="s">
        <v>451</v>
      </c>
      <c r="D5" t="s">
        <v>362</v>
      </c>
      <c r="E5">
        <v>1</v>
      </c>
      <c r="F5" t="s">
        <v>363</v>
      </c>
      <c r="G5" t="s">
        <v>364</v>
      </c>
      <c r="H5" t="s">
        <v>365</v>
      </c>
      <c r="I5" t="s">
        <v>366</v>
      </c>
      <c r="J5">
        <v>192</v>
      </c>
      <c r="K5" t="s">
        <v>367</v>
      </c>
      <c r="R5" t="s">
        <v>370</v>
      </c>
      <c r="T5" t="s">
        <v>452</v>
      </c>
      <c r="V5" t="s">
        <v>453</v>
      </c>
      <c r="Z5" t="s">
        <v>378</v>
      </c>
      <c r="AA5" t="s">
        <v>379</v>
      </c>
      <c r="AB5" t="s">
        <v>380</v>
      </c>
      <c r="AI5" t="s">
        <v>383</v>
      </c>
      <c r="AM5" t="s">
        <v>454</v>
      </c>
      <c r="AN5" t="s">
        <v>455</v>
      </c>
      <c r="AQ5" t="s">
        <v>387</v>
      </c>
      <c r="AS5" t="s">
        <v>456</v>
      </c>
      <c r="AU5" t="s">
        <v>389</v>
      </c>
      <c r="BD5" t="s">
        <v>383</v>
      </c>
      <c r="BF5" t="s">
        <v>395</v>
      </c>
      <c r="BG5" t="s">
        <v>395</v>
      </c>
      <c r="BR5" t="s">
        <v>395</v>
      </c>
      <c r="BS5" t="s">
        <v>395</v>
      </c>
      <c r="CA5" t="s">
        <v>405</v>
      </c>
      <c r="CC5" t="s">
        <v>406</v>
      </c>
      <c r="CF5" t="s">
        <v>366</v>
      </c>
      <c r="CH5" t="s">
        <v>457</v>
      </c>
      <c r="CI5" t="s">
        <v>430</v>
      </c>
      <c r="CK5" t="s">
        <v>409</v>
      </c>
      <c r="CO5" t="s">
        <v>410</v>
      </c>
      <c r="CP5" t="s">
        <v>458</v>
      </c>
      <c r="CQ5" t="s">
        <v>459</v>
      </c>
      <c r="CR5" t="s">
        <v>460</v>
      </c>
      <c r="CT5" t="s">
        <v>461</v>
      </c>
      <c r="CU5" t="s">
        <v>462</v>
      </c>
      <c r="CV5" t="s">
        <v>463</v>
      </c>
      <c r="CW5" t="s">
        <v>388</v>
      </c>
      <c r="CX5" t="s">
        <v>417</v>
      </c>
      <c r="CY5" t="s">
        <v>26</v>
      </c>
      <c r="DA5" t="s">
        <v>418</v>
      </c>
      <c r="DC5" t="s">
        <v>419</v>
      </c>
      <c r="DL5" t="s">
        <v>426</v>
      </c>
      <c r="DN5" t="s">
        <v>395</v>
      </c>
      <c r="DO5" t="s">
        <v>364</v>
      </c>
      <c r="DP5" t="s">
        <v>395</v>
      </c>
      <c r="DQ5" t="s">
        <v>395</v>
      </c>
      <c r="DR5" t="s">
        <v>395</v>
      </c>
      <c r="DS5" t="s">
        <v>464</v>
      </c>
      <c r="DT5" t="s">
        <v>401</v>
      </c>
      <c r="DV5" t="s">
        <v>395</v>
      </c>
      <c r="EB5" t="s">
        <v>395</v>
      </c>
      <c r="EC5" t="s">
        <v>395</v>
      </c>
      <c r="EF5" t="s">
        <v>429</v>
      </c>
      <c r="EG5" t="s">
        <v>429</v>
      </c>
      <c r="EH5" t="s">
        <v>430</v>
      </c>
      <c r="EI5" t="s">
        <v>431</v>
      </c>
      <c r="EJ5" t="s">
        <v>429</v>
      </c>
      <c r="EK5" t="s">
        <v>429</v>
      </c>
      <c r="EL5" t="s">
        <v>430</v>
      </c>
      <c r="EM5" t="s">
        <v>431</v>
      </c>
      <c r="FA5" t="s">
        <v>404</v>
      </c>
      <c r="FB5" t="s">
        <v>433</v>
      </c>
    </row>
    <row r="6" spans="1:158">
      <c r="A6">
        <v>69</v>
      </c>
      <c r="B6" t="s">
        <v>465</v>
      </c>
      <c r="C6" t="s">
        <v>466</v>
      </c>
      <c r="D6" t="s">
        <v>362</v>
      </c>
      <c r="E6">
        <v>0</v>
      </c>
      <c r="F6" t="s">
        <v>467</v>
      </c>
      <c r="G6" t="s">
        <v>468</v>
      </c>
      <c r="H6" t="s">
        <v>469</v>
      </c>
      <c r="I6" t="s">
        <v>470</v>
      </c>
      <c r="J6">
        <v>69</v>
      </c>
      <c r="O6" t="s">
        <v>441</v>
      </c>
      <c r="R6" t="s">
        <v>370</v>
      </c>
      <c r="AU6" t="s">
        <v>471</v>
      </c>
      <c r="BF6" t="s">
        <v>401</v>
      </c>
      <c r="CC6" t="s">
        <v>406</v>
      </c>
      <c r="CO6" t="s">
        <v>472</v>
      </c>
      <c r="DT6" t="s">
        <v>473</v>
      </c>
      <c r="FA6" t="s">
        <v>404</v>
      </c>
    </row>
    <row r="7" spans="1:158">
      <c r="A7">
        <v>209</v>
      </c>
      <c r="B7" t="s">
        <v>474</v>
      </c>
      <c r="C7" t="s">
        <v>475</v>
      </c>
      <c r="D7" t="s">
        <v>362</v>
      </c>
      <c r="E7">
        <v>1</v>
      </c>
      <c r="F7" t="s">
        <v>476</v>
      </c>
      <c r="G7" t="s">
        <v>477</v>
      </c>
      <c r="H7" t="s">
        <v>478</v>
      </c>
      <c r="I7" t="s">
        <v>479</v>
      </c>
      <c r="J7">
        <v>209</v>
      </c>
      <c r="O7" t="s">
        <v>441</v>
      </c>
      <c r="R7" t="s">
        <v>480</v>
      </c>
      <c r="CC7" t="s">
        <v>406</v>
      </c>
      <c r="CI7" t="s">
        <v>404</v>
      </c>
      <c r="CX7" t="s">
        <v>481</v>
      </c>
      <c r="CY7" t="s">
        <v>26</v>
      </c>
      <c r="EH7" t="s">
        <v>430</v>
      </c>
      <c r="EL7" t="s">
        <v>430</v>
      </c>
      <c r="FA7" t="s">
        <v>404</v>
      </c>
    </row>
    <row r="8" spans="1:158">
      <c r="A8">
        <v>232</v>
      </c>
      <c r="B8" t="s">
        <v>482</v>
      </c>
      <c r="C8" t="s">
        <v>483</v>
      </c>
      <c r="D8" t="s">
        <v>362</v>
      </c>
      <c r="E8">
        <v>1</v>
      </c>
      <c r="G8" t="s">
        <v>362</v>
      </c>
      <c r="H8" t="s">
        <v>362</v>
      </c>
      <c r="I8" t="s">
        <v>362</v>
      </c>
      <c r="J8">
        <v>232</v>
      </c>
      <c r="O8" t="s">
        <v>441</v>
      </c>
      <c r="R8" t="s">
        <v>484</v>
      </c>
      <c r="CC8" t="s">
        <v>406</v>
      </c>
      <c r="CI8" t="s">
        <v>404</v>
      </c>
      <c r="CX8" t="s">
        <v>26</v>
      </c>
      <c r="CY8" t="s">
        <v>26</v>
      </c>
      <c r="FA8" t="s">
        <v>404</v>
      </c>
    </row>
    <row r="9" spans="1:158">
      <c r="A9">
        <v>132</v>
      </c>
      <c r="B9" t="s">
        <v>485</v>
      </c>
      <c r="C9" t="s">
        <v>486</v>
      </c>
      <c r="D9" t="s">
        <v>362</v>
      </c>
      <c r="E9">
        <v>1</v>
      </c>
      <c r="G9" t="s">
        <v>362</v>
      </c>
      <c r="H9" t="s">
        <v>362</v>
      </c>
      <c r="I9" t="s">
        <v>362</v>
      </c>
      <c r="J9">
        <v>132</v>
      </c>
      <c r="O9" t="s">
        <v>441</v>
      </c>
      <c r="CC9" t="s">
        <v>406</v>
      </c>
      <c r="CI9" t="s">
        <v>404</v>
      </c>
      <c r="EH9" t="s">
        <v>430</v>
      </c>
      <c r="EL9" t="s">
        <v>430</v>
      </c>
      <c r="FA9" t="s">
        <v>404</v>
      </c>
    </row>
    <row r="10" spans="1:158">
      <c r="A10">
        <v>109</v>
      </c>
      <c r="B10" t="s">
        <v>487</v>
      </c>
      <c r="C10" t="s">
        <v>488</v>
      </c>
      <c r="D10" t="s">
        <v>362</v>
      </c>
      <c r="E10">
        <v>1</v>
      </c>
      <c r="G10" t="s">
        <v>362</v>
      </c>
      <c r="H10" t="s">
        <v>362</v>
      </c>
      <c r="I10" t="s">
        <v>362</v>
      </c>
      <c r="J10">
        <v>109</v>
      </c>
      <c r="O10" t="s">
        <v>441</v>
      </c>
      <c r="R10" t="s">
        <v>484</v>
      </c>
      <c r="AU10" t="s">
        <v>471</v>
      </c>
      <c r="BF10" t="s">
        <v>489</v>
      </c>
      <c r="CC10" t="s">
        <v>406</v>
      </c>
      <c r="CI10" t="s">
        <v>404</v>
      </c>
      <c r="CO10" t="s">
        <v>490</v>
      </c>
      <c r="CY10" t="s">
        <v>26</v>
      </c>
      <c r="DT10" t="s">
        <v>491</v>
      </c>
      <c r="EF10" t="s">
        <v>492</v>
      </c>
      <c r="EG10" t="s">
        <v>492</v>
      </c>
      <c r="EK10" t="s">
        <v>492</v>
      </c>
      <c r="FA10" t="s">
        <v>404</v>
      </c>
    </row>
    <row r="11" spans="1:158">
      <c r="A11">
        <v>89</v>
      </c>
      <c r="B11" t="s">
        <v>493</v>
      </c>
      <c r="C11" t="s">
        <v>494</v>
      </c>
      <c r="D11" t="s">
        <v>362</v>
      </c>
      <c r="E11">
        <v>0</v>
      </c>
      <c r="G11" t="s">
        <v>362</v>
      </c>
      <c r="H11" t="s">
        <v>362</v>
      </c>
      <c r="I11" t="s">
        <v>362</v>
      </c>
      <c r="J11">
        <v>89</v>
      </c>
      <c r="O11" t="s">
        <v>441</v>
      </c>
      <c r="R11" t="s">
        <v>484</v>
      </c>
      <c r="AU11" t="s">
        <v>471</v>
      </c>
      <c r="BF11" t="s">
        <v>395</v>
      </c>
      <c r="CC11" t="s">
        <v>406</v>
      </c>
      <c r="CO11" t="s">
        <v>495</v>
      </c>
      <c r="DT11" t="s">
        <v>395</v>
      </c>
      <c r="EF11" t="s">
        <v>492</v>
      </c>
      <c r="EG11" t="s">
        <v>492</v>
      </c>
      <c r="EK11" t="s">
        <v>492</v>
      </c>
      <c r="FA11" t="s">
        <v>404</v>
      </c>
    </row>
    <row r="12" spans="1:158">
      <c r="A12">
        <v>195</v>
      </c>
      <c r="B12" t="s">
        <v>496</v>
      </c>
      <c r="C12" t="s">
        <v>497</v>
      </c>
      <c r="D12" t="s">
        <v>362</v>
      </c>
      <c r="E12">
        <v>0</v>
      </c>
      <c r="G12" t="s">
        <v>362</v>
      </c>
      <c r="H12" t="s">
        <v>362</v>
      </c>
      <c r="I12" t="s">
        <v>362</v>
      </c>
      <c r="J12">
        <v>195</v>
      </c>
      <c r="O12" t="s">
        <v>441</v>
      </c>
      <c r="R12" t="s">
        <v>480</v>
      </c>
      <c r="CC12" t="s">
        <v>406</v>
      </c>
      <c r="CI12" t="s">
        <v>404</v>
      </c>
      <c r="CX12" t="s">
        <v>26</v>
      </c>
      <c r="FA12" t="s">
        <v>404</v>
      </c>
    </row>
    <row r="13" spans="1:158">
      <c r="A13">
        <v>252</v>
      </c>
      <c r="B13" t="s">
        <v>102</v>
      </c>
      <c r="C13" t="s">
        <v>498</v>
      </c>
      <c r="D13" t="s">
        <v>498</v>
      </c>
      <c r="E13">
        <v>1</v>
      </c>
      <c r="F13" t="s">
        <v>499</v>
      </c>
      <c r="G13" t="s">
        <v>500</v>
      </c>
      <c r="H13" t="s">
        <v>118</v>
      </c>
      <c r="I13" t="s">
        <v>501</v>
      </c>
      <c r="J13">
        <v>252</v>
      </c>
      <c r="M13" t="s">
        <v>502</v>
      </c>
      <c r="N13" t="s">
        <v>369</v>
      </c>
      <c r="R13" t="s">
        <v>503</v>
      </c>
      <c r="T13" t="s">
        <v>504</v>
      </c>
      <c r="U13" t="s">
        <v>505</v>
      </c>
      <c r="V13" t="s">
        <v>395</v>
      </c>
      <c r="X13" t="s">
        <v>506</v>
      </c>
      <c r="AA13" t="s">
        <v>103</v>
      </c>
      <c r="AB13" t="s">
        <v>507</v>
      </c>
      <c r="AE13" t="s">
        <v>508</v>
      </c>
      <c r="AQ13" t="s">
        <v>387</v>
      </c>
      <c r="AU13" t="s">
        <v>509</v>
      </c>
      <c r="BE13" t="s">
        <v>510</v>
      </c>
      <c r="BF13" t="s">
        <v>511</v>
      </c>
      <c r="BK13" t="s">
        <v>512</v>
      </c>
      <c r="BL13" t="s">
        <v>513</v>
      </c>
      <c r="BZ13" t="s">
        <v>404</v>
      </c>
      <c r="CA13" t="s">
        <v>514</v>
      </c>
      <c r="CC13" t="s">
        <v>406</v>
      </c>
      <c r="CF13" t="s">
        <v>501</v>
      </c>
      <c r="CI13" t="s">
        <v>430</v>
      </c>
      <c r="CK13" t="s">
        <v>103</v>
      </c>
      <c r="CU13" t="s">
        <v>515</v>
      </c>
      <c r="CX13" t="s">
        <v>516</v>
      </c>
      <c r="CY13" t="s">
        <v>517</v>
      </c>
      <c r="DH13" t="s">
        <v>404</v>
      </c>
      <c r="DI13" t="s">
        <v>404</v>
      </c>
      <c r="DJ13" t="s">
        <v>500</v>
      </c>
      <c r="DL13" t="s">
        <v>518</v>
      </c>
      <c r="DO13" t="s">
        <v>500</v>
      </c>
      <c r="DT13" t="s">
        <v>519</v>
      </c>
      <c r="EF13" t="s">
        <v>492</v>
      </c>
      <c r="EG13" t="s">
        <v>429</v>
      </c>
      <c r="EI13" t="s">
        <v>520</v>
      </c>
      <c r="EJ13" t="s">
        <v>521</v>
      </c>
      <c r="EK13" t="s">
        <v>522</v>
      </c>
      <c r="EM13" t="s">
        <v>523</v>
      </c>
      <c r="EW13" t="s">
        <v>524</v>
      </c>
      <c r="FA13" t="s">
        <v>404</v>
      </c>
    </row>
    <row r="14" spans="1:158">
      <c r="A14">
        <v>146</v>
      </c>
      <c r="B14" t="s">
        <v>87</v>
      </c>
      <c r="C14" t="s">
        <v>525</v>
      </c>
      <c r="D14" t="s">
        <v>526</v>
      </c>
      <c r="E14">
        <v>1</v>
      </c>
      <c r="F14" t="s">
        <v>527</v>
      </c>
      <c r="G14" t="s">
        <v>528</v>
      </c>
      <c r="H14" t="s">
        <v>529</v>
      </c>
      <c r="I14" t="s">
        <v>530</v>
      </c>
      <c r="J14">
        <v>146</v>
      </c>
      <c r="K14" t="s">
        <v>531</v>
      </c>
      <c r="M14" t="s">
        <v>532</v>
      </c>
      <c r="N14" t="s">
        <v>369</v>
      </c>
      <c r="O14" t="s">
        <v>533</v>
      </c>
      <c r="P14" t="s">
        <v>534</v>
      </c>
      <c r="R14" t="s">
        <v>370</v>
      </c>
      <c r="T14" t="s">
        <v>383</v>
      </c>
      <c r="U14" t="s">
        <v>177</v>
      </c>
      <c r="V14" t="s">
        <v>535</v>
      </c>
      <c r="W14" t="s">
        <v>536</v>
      </c>
      <c r="X14" t="s">
        <v>537</v>
      </c>
      <c r="Z14" t="s">
        <v>378</v>
      </c>
      <c r="AA14" t="s">
        <v>88</v>
      </c>
      <c r="AB14" t="s">
        <v>538</v>
      </c>
      <c r="AE14" t="s">
        <v>508</v>
      </c>
      <c r="AG14" t="s">
        <v>404</v>
      </c>
      <c r="AI14" t="s">
        <v>383</v>
      </c>
      <c r="AM14" t="s">
        <v>539</v>
      </c>
      <c r="AN14" t="s">
        <v>540</v>
      </c>
      <c r="AP14" t="s">
        <v>541</v>
      </c>
      <c r="AQ14" t="s">
        <v>387</v>
      </c>
      <c r="AR14" t="s">
        <v>542</v>
      </c>
      <c r="AS14" t="s">
        <v>543</v>
      </c>
      <c r="AU14" t="s">
        <v>389</v>
      </c>
      <c r="AV14" t="s">
        <v>544</v>
      </c>
      <c r="AW14" t="s">
        <v>545</v>
      </c>
      <c r="AX14" t="s">
        <v>546</v>
      </c>
      <c r="AY14" t="s">
        <v>547</v>
      </c>
      <c r="AZ14" t="s">
        <v>548</v>
      </c>
      <c r="BA14" t="s">
        <v>533</v>
      </c>
      <c r="BB14" t="s">
        <v>542</v>
      </c>
      <c r="BC14" t="s">
        <v>549</v>
      </c>
      <c r="BD14" t="s">
        <v>383</v>
      </c>
      <c r="BE14" t="s">
        <v>550</v>
      </c>
      <c r="BF14" t="s">
        <v>551</v>
      </c>
      <c r="BG14" t="s">
        <v>395</v>
      </c>
      <c r="BK14" t="s">
        <v>551</v>
      </c>
      <c r="BL14" t="s">
        <v>552</v>
      </c>
      <c r="BM14" t="s">
        <v>553</v>
      </c>
      <c r="BN14" t="s">
        <v>554</v>
      </c>
      <c r="BR14" t="s">
        <v>555</v>
      </c>
      <c r="BS14" t="s">
        <v>395</v>
      </c>
      <c r="BT14" t="s">
        <v>555</v>
      </c>
      <c r="BZ14" t="s">
        <v>404</v>
      </c>
      <c r="CA14" t="s">
        <v>556</v>
      </c>
      <c r="CC14" t="s">
        <v>406</v>
      </c>
      <c r="CD14" t="s">
        <v>557</v>
      </c>
      <c r="CF14" t="s">
        <v>530</v>
      </c>
      <c r="CG14" t="s">
        <v>558</v>
      </c>
      <c r="CH14" t="s">
        <v>383</v>
      </c>
      <c r="CI14" t="s">
        <v>430</v>
      </c>
      <c r="CJ14" t="s">
        <v>559</v>
      </c>
      <c r="CK14" t="s">
        <v>525</v>
      </c>
      <c r="CO14" t="s">
        <v>560</v>
      </c>
      <c r="CP14" t="s">
        <v>561</v>
      </c>
      <c r="CQ14" t="s">
        <v>562</v>
      </c>
      <c r="CR14" t="s">
        <v>563</v>
      </c>
      <c r="CS14" t="s">
        <v>564</v>
      </c>
      <c r="CT14" t="s">
        <v>565</v>
      </c>
      <c r="CU14" t="s">
        <v>566</v>
      </c>
      <c r="CV14" t="s">
        <v>567</v>
      </c>
      <c r="CW14" t="s">
        <v>388</v>
      </c>
      <c r="CX14" t="s">
        <v>417</v>
      </c>
      <c r="CY14" t="s">
        <v>568</v>
      </c>
      <c r="CZ14" t="s">
        <v>569</v>
      </c>
      <c r="DA14" t="s">
        <v>418</v>
      </c>
      <c r="DB14" t="s">
        <v>570</v>
      </c>
      <c r="DC14" t="s">
        <v>419</v>
      </c>
      <c r="DD14" t="s">
        <v>571</v>
      </c>
      <c r="DF14" t="s">
        <v>421</v>
      </c>
      <c r="DH14" t="s">
        <v>422</v>
      </c>
      <c r="DI14" t="s">
        <v>423</v>
      </c>
      <c r="DJ14" t="s">
        <v>424</v>
      </c>
      <c r="DK14" t="s">
        <v>425</v>
      </c>
      <c r="DL14" t="s">
        <v>426</v>
      </c>
      <c r="DN14" t="s">
        <v>395</v>
      </c>
      <c r="DO14" t="s">
        <v>528</v>
      </c>
      <c r="DP14" t="s">
        <v>395</v>
      </c>
      <c r="DQ14" t="s">
        <v>395</v>
      </c>
      <c r="DR14" t="s">
        <v>395</v>
      </c>
      <c r="DS14" t="s">
        <v>572</v>
      </c>
      <c r="DT14" t="s">
        <v>555</v>
      </c>
      <c r="DU14" t="s">
        <v>555</v>
      </c>
      <c r="DV14" t="s">
        <v>555</v>
      </c>
      <c r="EB14" t="s">
        <v>395</v>
      </c>
      <c r="EC14" t="s">
        <v>395</v>
      </c>
      <c r="ED14" t="s">
        <v>555</v>
      </c>
      <c r="EE14" t="s">
        <v>573</v>
      </c>
      <c r="EF14" t="s">
        <v>492</v>
      </c>
      <c r="EG14" t="s">
        <v>429</v>
      </c>
      <c r="EH14" t="s">
        <v>430</v>
      </c>
      <c r="EI14" t="s">
        <v>520</v>
      </c>
      <c r="EJ14" t="s">
        <v>429</v>
      </c>
      <c r="EK14" t="s">
        <v>429</v>
      </c>
      <c r="EL14" t="s">
        <v>430</v>
      </c>
      <c r="EM14" t="s">
        <v>431</v>
      </c>
      <c r="EW14" t="s">
        <v>432</v>
      </c>
      <c r="FA14" t="s">
        <v>404</v>
      </c>
      <c r="FB14" t="s">
        <v>26</v>
      </c>
    </row>
    <row r="15" spans="1:158">
      <c r="A15">
        <v>152</v>
      </c>
      <c r="B15" t="s">
        <v>574</v>
      </c>
      <c r="C15" t="s">
        <v>575</v>
      </c>
      <c r="D15" t="s">
        <v>362</v>
      </c>
      <c r="E15">
        <v>1</v>
      </c>
      <c r="F15" t="s">
        <v>576</v>
      </c>
      <c r="G15" t="s">
        <v>577</v>
      </c>
      <c r="H15" t="s">
        <v>578</v>
      </c>
      <c r="I15" t="s">
        <v>579</v>
      </c>
      <c r="J15">
        <v>152</v>
      </c>
      <c r="O15" t="s">
        <v>441</v>
      </c>
      <c r="R15" t="s">
        <v>484</v>
      </c>
      <c r="CC15" t="s">
        <v>406</v>
      </c>
      <c r="CI15" t="s">
        <v>404</v>
      </c>
      <c r="EH15" t="s">
        <v>430</v>
      </c>
      <c r="EL15" t="s">
        <v>430</v>
      </c>
      <c r="FA15" t="s">
        <v>404</v>
      </c>
    </row>
    <row r="16" spans="1:158">
      <c r="A16">
        <v>189</v>
      </c>
      <c r="B16" t="s">
        <v>580</v>
      </c>
      <c r="C16" t="s">
        <v>581</v>
      </c>
      <c r="D16" t="s">
        <v>362</v>
      </c>
      <c r="E16">
        <v>1</v>
      </c>
      <c r="F16" t="s">
        <v>582</v>
      </c>
      <c r="G16" t="s">
        <v>583</v>
      </c>
      <c r="H16" t="s">
        <v>584</v>
      </c>
      <c r="I16" t="s">
        <v>585</v>
      </c>
      <c r="J16">
        <v>189</v>
      </c>
      <c r="O16" t="s">
        <v>441</v>
      </c>
      <c r="R16" t="s">
        <v>480</v>
      </c>
      <c r="AA16" t="s">
        <v>586</v>
      </c>
      <c r="CC16" t="s">
        <v>406</v>
      </c>
      <c r="CI16" t="s">
        <v>404</v>
      </c>
      <c r="CX16" t="s">
        <v>26</v>
      </c>
      <c r="FA16" t="s">
        <v>404</v>
      </c>
    </row>
    <row r="17" spans="1:158">
      <c r="A17">
        <v>212</v>
      </c>
      <c r="B17" t="s">
        <v>587</v>
      </c>
      <c r="C17" t="s">
        <v>588</v>
      </c>
      <c r="D17" t="s">
        <v>362</v>
      </c>
      <c r="E17">
        <v>0</v>
      </c>
      <c r="G17" t="s">
        <v>362</v>
      </c>
      <c r="H17" t="s">
        <v>362</v>
      </c>
      <c r="I17" t="s">
        <v>362</v>
      </c>
      <c r="J17">
        <v>212</v>
      </c>
      <c r="O17" t="s">
        <v>441</v>
      </c>
      <c r="R17" t="s">
        <v>480</v>
      </c>
      <c r="CC17" t="s">
        <v>406</v>
      </c>
      <c r="CI17" t="s">
        <v>404</v>
      </c>
      <c r="CX17" t="s">
        <v>481</v>
      </c>
      <c r="CY17" t="s">
        <v>26</v>
      </c>
      <c r="FA17" t="s">
        <v>404</v>
      </c>
    </row>
    <row r="18" spans="1:158">
      <c r="A18">
        <v>172</v>
      </c>
      <c r="B18" t="s">
        <v>83</v>
      </c>
      <c r="C18" t="s">
        <v>589</v>
      </c>
      <c r="D18" t="s">
        <v>84</v>
      </c>
      <c r="E18">
        <v>1</v>
      </c>
      <c r="F18" t="s">
        <v>590</v>
      </c>
      <c r="G18" t="s">
        <v>591</v>
      </c>
      <c r="H18" t="s">
        <v>592</v>
      </c>
      <c r="I18" t="s">
        <v>593</v>
      </c>
      <c r="J18">
        <v>172</v>
      </c>
      <c r="K18" t="s">
        <v>531</v>
      </c>
      <c r="M18" t="s">
        <v>594</v>
      </c>
      <c r="N18" t="s">
        <v>595</v>
      </c>
      <c r="O18" t="s">
        <v>533</v>
      </c>
      <c r="P18" t="s">
        <v>596</v>
      </c>
      <c r="R18" t="s">
        <v>370</v>
      </c>
      <c r="T18" t="s">
        <v>383</v>
      </c>
      <c r="U18" t="s">
        <v>177</v>
      </c>
      <c r="V18" t="s">
        <v>597</v>
      </c>
      <c r="W18" t="s">
        <v>598</v>
      </c>
      <c r="X18" t="s">
        <v>599</v>
      </c>
      <c r="Z18" t="s">
        <v>378</v>
      </c>
      <c r="AA18" t="s">
        <v>84</v>
      </c>
      <c r="AB18" t="s">
        <v>600</v>
      </c>
      <c r="AE18" t="s">
        <v>601</v>
      </c>
      <c r="AI18" t="s">
        <v>383</v>
      </c>
      <c r="AM18" t="s">
        <v>602</v>
      </c>
      <c r="AN18" t="s">
        <v>603</v>
      </c>
      <c r="AP18" t="s">
        <v>604</v>
      </c>
      <c r="AQ18" t="s">
        <v>387</v>
      </c>
      <c r="AS18" t="s">
        <v>543</v>
      </c>
      <c r="AU18" t="s">
        <v>389</v>
      </c>
      <c r="AV18" t="s">
        <v>605</v>
      </c>
      <c r="AW18" t="s">
        <v>606</v>
      </c>
      <c r="AX18" t="s">
        <v>607</v>
      </c>
      <c r="AY18" t="s">
        <v>547</v>
      </c>
      <c r="AZ18" t="s">
        <v>608</v>
      </c>
      <c r="BB18" t="s">
        <v>533</v>
      </c>
      <c r="BC18" t="s">
        <v>549</v>
      </c>
      <c r="BD18" t="s">
        <v>383</v>
      </c>
      <c r="BE18" t="s">
        <v>609</v>
      </c>
      <c r="BF18" t="s">
        <v>610</v>
      </c>
      <c r="BG18" t="s">
        <v>611</v>
      </c>
      <c r="BK18" t="s">
        <v>610</v>
      </c>
      <c r="BL18" t="s">
        <v>612</v>
      </c>
      <c r="BM18" t="s">
        <v>613</v>
      </c>
      <c r="BN18" t="s">
        <v>554</v>
      </c>
      <c r="BR18" t="s">
        <v>614</v>
      </c>
      <c r="BS18" t="s">
        <v>615</v>
      </c>
      <c r="BT18" t="s">
        <v>616</v>
      </c>
      <c r="BU18" t="s">
        <v>401</v>
      </c>
      <c r="BV18" t="s">
        <v>615</v>
      </c>
      <c r="BZ18" t="s">
        <v>404</v>
      </c>
      <c r="CA18" t="s">
        <v>617</v>
      </c>
      <c r="CC18" t="s">
        <v>406</v>
      </c>
      <c r="CD18" t="s">
        <v>618</v>
      </c>
      <c r="CE18" t="s">
        <v>533</v>
      </c>
      <c r="CF18" t="s">
        <v>593</v>
      </c>
      <c r="CG18" t="s">
        <v>558</v>
      </c>
      <c r="CH18" t="s">
        <v>383</v>
      </c>
      <c r="CI18" t="s">
        <v>430</v>
      </c>
      <c r="CJ18" t="s">
        <v>559</v>
      </c>
      <c r="CK18" t="s">
        <v>589</v>
      </c>
      <c r="CO18" t="s">
        <v>619</v>
      </c>
      <c r="CP18" t="s">
        <v>620</v>
      </c>
      <c r="CQ18" t="s">
        <v>621</v>
      </c>
      <c r="CR18" t="s">
        <v>622</v>
      </c>
      <c r="CS18" t="s">
        <v>623</v>
      </c>
      <c r="CT18" t="s">
        <v>624</v>
      </c>
      <c r="CU18" t="s">
        <v>625</v>
      </c>
      <c r="CV18" t="s">
        <v>567</v>
      </c>
      <c r="CW18" t="s">
        <v>388</v>
      </c>
      <c r="CX18" t="s">
        <v>626</v>
      </c>
      <c r="CY18" t="s">
        <v>568</v>
      </c>
      <c r="CZ18" t="s">
        <v>569</v>
      </c>
      <c r="DA18" t="s">
        <v>418</v>
      </c>
      <c r="DB18" t="s">
        <v>570</v>
      </c>
      <c r="DC18" t="s">
        <v>419</v>
      </c>
      <c r="DE18" t="s">
        <v>627</v>
      </c>
      <c r="DF18" t="s">
        <v>628</v>
      </c>
      <c r="DH18" t="s">
        <v>629</v>
      </c>
      <c r="DI18" t="s">
        <v>630</v>
      </c>
      <c r="DJ18" t="s">
        <v>631</v>
      </c>
      <c r="DK18" t="s">
        <v>632</v>
      </c>
      <c r="DL18" t="s">
        <v>426</v>
      </c>
      <c r="DN18" t="s">
        <v>614</v>
      </c>
      <c r="DO18" t="s">
        <v>591</v>
      </c>
      <c r="DP18" t="s">
        <v>395</v>
      </c>
      <c r="DQ18" t="s">
        <v>395</v>
      </c>
      <c r="DR18" t="s">
        <v>395</v>
      </c>
      <c r="DS18" t="s">
        <v>633</v>
      </c>
      <c r="DT18" t="s">
        <v>634</v>
      </c>
      <c r="DU18" t="s">
        <v>614</v>
      </c>
      <c r="DV18" t="s">
        <v>614</v>
      </c>
      <c r="DW18" t="s">
        <v>401</v>
      </c>
      <c r="DY18" t="s">
        <v>635</v>
      </c>
      <c r="EA18" t="s">
        <v>636</v>
      </c>
      <c r="EB18" t="s">
        <v>636</v>
      </c>
      <c r="EC18" t="s">
        <v>395</v>
      </c>
      <c r="ED18" t="s">
        <v>637</v>
      </c>
      <c r="EE18" t="s">
        <v>573</v>
      </c>
      <c r="EF18" t="s">
        <v>638</v>
      </c>
      <c r="EG18" t="s">
        <v>429</v>
      </c>
      <c r="EH18" t="s">
        <v>430</v>
      </c>
      <c r="EI18" t="s">
        <v>639</v>
      </c>
      <c r="EJ18" t="s">
        <v>429</v>
      </c>
      <c r="EK18" t="s">
        <v>429</v>
      </c>
      <c r="EL18" t="s">
        <v>430</v>
      </c>
      <c r="EM18" t="s">
        <v>523</v>
      </c>
      <c r="ET18" t="s">
        <v>402</v>
      </c>
      <c r="EW18" t="s">
        <v>432</v>
      </c>
      <c r="FA18" t="s">
        <v>404</v>
      </c>
      <c r="FB18" t="s">
        <v>640</v>
      </c>
    </row>
    <row r="19" spans="1:158">
      <c r="A19">
        <v>66</v>
      </c>
      <c r="B19" t="s">
        <v>641</v>
      </c>
      <c r="C19" t="s">
        <v>642</v>
      </c>
      <c r="D19" t="s">
        <v>362</v>
      </c>
      <c r="E19">
        <v>0</v>
      </c>
      <c r="G19" t="s">
        <v>362</v>
      </c>
      <c r="H19" t="s">
        <v>362</v>
      </c>
      <c r="I19" t="s">
        <v>362</v>
      </c>
      <c r="J19">
        <v>66</v>
      </c>
      <c r="O19" t="s">
        <v>441</v>
      </c>
      <c r="CC19" t="s">
        <v>406</v>
      </c>
      <c r="FA19" t="s">
        <v>404</v>
      </c>
    </row>
    <row r="20" spans="1:158">
      <c r="A20">
        <v>229</v>
      </c>
      <c r="B20" t="s">
        <v>643</v>
      </c>
      <c r="C20" t="s">
        <v>644</v>
      </c>
      <c r="D20" t="s">
        <v>362</v>
      </c>
      <c r="E20">
        <v>0</v>
      </c>
      <c r="G20" t="s">
        <v>362</v>
      </c>
      <c r="H20" t="s">
        <v>362</v>
      </c>
      <c r="I20" t="s">
        <v>362</v>
      </c>
      <c r="J20">
        <v>229</v>
      </c>
      <c r="O20" t="s">
        <v>441</v>
      </c>
      <c r="R20" t="s">
        <v>370</v>
      </c>
      <c r="CC20" t="s">
        <v>406</v>
      </c>
      <c r="CI20" t="s">
        <v>404</v>
      </c>
      <c r="CX20" t="s">
        <v>417</v>
      </c>
      <c r="CY20" t="s">
        <v>26</v>
      </c>
      <c r="FA20" t="s">
        <v>404</v>
      </c>
    </row>
    <row r="21" spans="1:158">
      <c r="A21">
        <v>126</v>
      </c>
      <c r="B21" t="s">
        <v>645</v>
      </c>
      <c r="C21" t="s">
        <v>646</v>
      </c>
      <c r="D21" t="s">
        <v>647</v>
      </c>
      <c r="E21">
        <v>1</v>
      </c>
      <c r="F21" t="s">
        <v>648</v>
      </c>
      <c r="G21" t="s">
        <v>649</v>
      </c>
      <c r="H21" t="s">
        <v>650</v>
      </c>
      <c r="I21" t="s">
        <v>651</v>
      </c>
      <c r="J21">
        <v>126</v>
      </c>
      <c r="O21" t="s">
        <v>441</v>
      </c>
      <c r="R21" t="s">
        <v>370</v>
      </c>
      <c r="X21" t="s">
        <v>652</v>
      </c>
      <c r="AA21" t="s">
        <v>107</v>
      </c>
      <c r="AF21" t="s">
        <v>653</v>
      </c>
      <c r="AG21" t="s">
        <v>654</v>
      </c>
      <c r="AH21" t="s">
        <v>655</v>
      </c>
      <c r="AI21" t="s">
        <v>656</v>
      </c>
      <c r="AJ21" t="s">
        <v>657</v>
      </c>
      <c r="AK21" t="s">
        <v>658</v>
      </c>
      <c r="AL21" t="s">
        <v>655</v>
      </c>
      <c r="AN21" t="s">
        <v>659</v>
      </c>
      <c r="AT21" t="s">
        <v>660</v>
      </c>
      <c r="AU21" t="s">
        <v>444</v>
      </c>
      <c r="AW21" t="s">
        <v>661</v>
      </c>
      <c r="AX21" t="s">
        <v>662</v>
      </c>
      <c r="AY21" t="s">
        <v>663</v>
      </c>
      <c r="BB21" t="s">
        <v>664</v>
      </c>
      <c r="BF21" t="s">
        <v>665</v>
      </c>
      <c r="BH21" t="s">
        <v>666</v>
      </c>
      <c r="BI21" t="s">
        <v>667</v>
      </c>
      <c r="BM21" t="s">
        <v>668</v>
      </c>
      <c r="BN21" t="s">
        <v>554</v>
      </c>
      <c r="BT21" t="s">
        <v>669</v>
      </c>
      <c r="CA21" t="s">
        <v>670</v>
      </c>
      <c r="CC21" t="s">
        <v>406</v>
      </c>
      <c r="CG21" t="s">
        <v>558</v>
      </c>
      <c r="CI21" t="s">
        <v>404</v>
      </c>
      <c r="CJ21" t="s">
        <v>408</v>
      </c>
      <c r="CO21" t="s">
        <v>671</v>
      </c>
      <c r="CU21" t="s">
        <v>672</v>
      </c>
      <c r="CX21" t="s">
        <v>673</v>
      </c>
      <c r="CZ21" t="s">
        <v>569</v>
      </c>
      <c r="DS21" t="s">
        <v>674</v>
      </c>
      <c r="DT21" t="s">
        <v>675</v>
      </c>
      <c r="EF21" t="s">
        <v>492</v>
      </c>
      <c r="EG21" t="s">
        <v>522</v>
      </c>
      <c r="EH21" t="s">
        <v>430</v>
      </c>
      <c r="EK21" t="s">
        <v>522</v>
      </c>
      <c r="EL21" t="s">
        <v>430</v>
      </c>
      <c r="EW21" t="s">
        <v>444</v>
      </c>
      <c r="FA21" t="s">
        <v>404</v>
      </c>
      <c r="FB21" t="s">
        <v>676</v>
      </c>
    </row>
    <row r="22" spans="1:158">
      <c r="A22">
        <v>129</v>
      </c>
      <c r="B22" t="s">
        <v>45</v>
      </c>
      <c r="C22" t="s">
        <v>677</v>
      </c>
      <c r="D22" t="s">
        <v>677</v>
      </c>
      <c r="E22">
        <v>1</v>
      </c>
      <c r="F22" t="s">
        <v>678</v>
      </c>
      <c r="G22" t="s">
        <v>679</v>
      </c>
      <c r="H22" t="s">
        <v>680</v>
      </c>
      <c r="I22" t="s">
        <v>681</v>
      </c>
      <c r="J22">
        <v>129</v>
      </c>
      <c r="K22" t="s">
        <v>531</v>
      </c>
      <c r="O22" t="s">
        <v>533</v>
      </c>
      <c r="R22" t="s">
        <v>370</v>
      </c>
      <c r="T22" t="s">
        <v>383</v>
      </c>
      <c r="V22" t="s">
        <v>682</v>
      </c>
      <c r="X22" t="s">
        <v>683</v>
      </c>
      <c r="Z22" t="s">
        <v>378</v>
      </c>
      <c r="AA22" t="s">
        <v>677</v>
      </c>
      <c r="AB22" t="s">
        <v>684</v>
      </c>
      <c r="AF22" t="s">
        <v>653</v>
      </c>
      <c r="AG22" t="s">
        <v>654</v>
      </c>
      <c r="AI22" t="s">
        <v>685</v>
      </c>
      <c r="AJ22" t="s">
        <v>177</v>
      </c>
      <c r="AK22" t="s">
        <v>686</v>
      </c>
      <c r="AM22" t="s">
        <v>687</v>
      </c>
      <c r="AN22" t="s">
        <v>688</v>
      </c>
      <c r="AQ22" t="s">
        <v>689</v>
      </c>
      <c r="AR22" t="s">
        <v>542</v>
      </c>
      <c r="AS22" t="s">
        <v>388</v>
      </c>
      <c r="AT22" t="s">
        <v>660</v>
      </c>
      <c r="AU22" t="s">
        <v>444</v>
      </c>
      <c r="AY22" t="s">
        <v>547</v>
      </c>
      <c r="AZ22" t="s">
        <v>395</v>
      </c>
      <c r="BA22" t="s">
        <v>533</v>
      </c>
      <c r="BB22" t="s">
        <v>542</v>
      </c>
      <c r="BC22" t="s">
        <v>549</v>
      </c>
      <c r="BD22" t="s">
        <v>383</v>
      </c>
      <c r="BF22" t="s">
        <v>690</v>
      </c>
      <c r="BG22" t="s">
        <v>395</v>
      </c>
      <c r="BH22" t="s">
        <v>666</v>
      </c>
      <c r="BI22" t="s">
        <v>691</v>
      </c>
      <c r="BK22" t="s">
        <v>690</v>
      </c>
      <c r="BM22" t="s">
        <v>692</v>
      </c>
      <c r="BN22" t="s">
        <v>554</v>
      </c>
      <c r="BR22" t="s">
        <v>693</v>
      </c>
      <c r="BS22" t="s">
        <v>395</v>
      </c>
      <c r="BT22" t="s">
        <v>693</v>
      </c>
      <c r="CA22" t="s">
        <v>694</v>
      </c>
      <c r="CC22" t="s">
        <v>406</v>
      </c>
      <c r="CD22" t="s">
        <v>395</v>
      </c>
      <c r="CF22" t="s">
        <v>681</v>
      </c>
      <c r="CG22" t="s">
        <v>695</v>
      </c>
      <c r="CH22" t="s">
        <v>383</v>
      </c>
      <c r="CI22" t="s">
        <v>430</v>
      </c>
      <c r="CJ22" t="s">
        <v>559</v>
      </c>
      <c r="CK22" t="s">
        <v>677</v>
      </c>
      <c r="CO22" t="s">
        <v>696</v>
      </c>
      <c r="CP22" t="s">
        <v>697</v>
      </c>
      <c r="CQ22" t="s">
        <v>698</v>
      </c>
      <c r="CR22" t="s">
        <v>699</v>
      </c>
      <c r="CT22" t="s">
        <v>700</v>
      </c>
      <c r="CU22" t="s">
        <v>701</v>
      </c>
      <c r="CV22" t="s">
        <v>416</v>
      </c>
      <c r="CW22" t="s">
        <v>388</v>
      </c>
      <c r="CX22" t="s">
        <v>417</v>
      </c>
      <c r="CY22" t="s">
        <v>568</v>
      </c>
      <c r="CZ22" t="s">
        <v>569</v>
      </c>
      <c r="DA22" t="s">
        <v>418</v>
      </c>
      <c r="DB22" t="s">
        <v>570</v>
      </c>
      <c r="DC22" t="s">
        <v>419</v>
      </c>
      <c r="DD22" t="s">
        <v>571</v>
      </c>
      <c r="DL22" t="s">
        <v>426</v>
      </c>
      <c r="DN22" t="s">
        <v>395</v>
      </c>
      <c r="DO22" t="s">
        <v>679</v>
      </c>
      <c r="DP22" t="s">
        <v>395</v>
      </c>
      <c r="DQ22" t="s">
        <v>395</v>
      </c>
      <c r="DR22" t="s">
        <v>395</v>
      </c>
      <c r="DS22" t="s">
        <v>702</v>
      </c>
      <c r="DT22" t="s">
        <v>703</v>
      </c>
      <c r="DU22" t="s">
        <v>703</v>
      </c>
      <c r="DV22" t="s">
        <v>703</v>
      </c>
      <c r="EB22" t="s">
        <v>395</v>
      </c>
      <c r="EC22" t="s">
        <v>395</v>
      </c>
      <c r="ED22" t="s">
        <v>703</v>
      </c>
      <c r="EE22" t="s">
        <v>573</v>
      </c>
      <c r="EF22" t="s">
        <v>492</v>
      </c>
      <c r="EG22" t="s">
        <v>492</v>
      </c>
      <c r="EH22" t="s">
        <v>430</v>
      </c>
      <c r="EI22" t="s">
        <v>431</v>
      </c>
      <c r="EJ22" t="s">
        <v>429</v>
      </c>
      <c r="EK22" t="s">
        <v>492</v>
      </c>
      <c r="EL22" t="s">
        <v>430</v>
      </c>
      <c r="EM22" t="s">
        <v>431</v>
      </c>
      <c r="EW22" t="s">
        <v>444</v>
      </c>
      <c r="FA22" t="s">
        <v>404</v>
      </c>
      <c r="FB22" t="s">
        <v>26</v>
      </c>
    </row>
    <row r="23" spans="1:158">
      <c r="A23">
        <v>106</v>
      </c>
      <c r="B23" t="s">
        <v>704</v>
      </c>
      <c r="C23" t="s">
        <v>705</v>
      </c>
      <c r="D23" t="s">
        <v>705</v>
      </c>
      <c r="E23">
        <v>0</v>
      </c>
      <c r="F23" t="s">
        <v>706</v>
      </c>
      <c r="G23" t="s">
        <v>707</v>
      </c>
      <c r="H23" t="s">
        <v>708</v>
      </c>
      <c r="I23" t="s">
        <v>709</v>
      </c>
      <c r="J23">
        <v>106</v>
      </c>
      <c r="O23" t="s">
        <v>441</v>
      </c>
      <c r="R23" t="s">
        <v>442</v>
      </c>
      <c r="AA23" t="s">
        <v>710</v>
      </c>
      <c r="AU23" t="s">
        <v>471</v>
      </c>
      <c r="BF23" t="s">
        <v>395</v>
      </c>
      <c r="CC23" t="s">
        <v>406</v>
      </c>
      <c r="CO23" t="s">
        <v>711</v>
      </c>
      <c r="DT23" t="s">
        <v>395</v>
      </c>
      <c r="EF23" t="s">
        <v>492</v>
      </c>
      <c r="EG23" t="s">
        <v>522</v>
      </c>
      <c r="EH23" t="s">
        <v>430</v>
      </c>
      <c r="EK23" t="s">
        <v>522</v>
      </c>
      <c r="EL23" t="s">
        <v>430</v>
      </c>
      <c r="EW23" t="s">
        <v>471</v>
      </c>
      <c r="FA23" t="s">
        <v>404</v>
      </c>
    </row>
    <row r="24" spans="1:158">
      <c r="A24">
        <v>86</v>
      </c>
      <c r="B24" t="s">
        <v>712</v>
      </c>
      <c r="C24" t="s">
        <v>713</v>
      </c>
      <c r="D24" t="s">
        <v>362</v>
      </c>
      <c r="E24">
        <v>0</v>
      </c>
      <c r="F24" t="s">
        <v>714</v>
      </c>
      <c r="G24" t="s">
        <v>715</v>
      </c>
      <c r="H24" t="s">
        <v>716</v>
      </c>
      <c r="I24" t="s">
        <v>717</v>
      </c>
      <c r="J24">
        <v>86</v>
      </c>
      <c r="O24" t="s">
        <v>441</v>
      </c>
      <c r="R24" t="s">
        <v>442</v>
      </c>
      <c r="AA24" t="s">
        <v>716</v>
      </c>
      <c r="AG24" t="s">
        <v>404</v>
      </c>
      <c r="AU24" t="s">
        <v>471</v>
      </c>
      <c r="BF24" t="s">
        <v>718</v>
      </c>
      <c r="CC24" t="s">
        <v>406</v>
      </c>
      <c r="CO24" t="s">
        <v>719</v>
      </c>
      <c r="DT24" t="s">
        <v>718</v>
      </c>
      <c r="EH24" t="s">
        <v>430</v>
      </c>
      <c r="EL24" t="s">
        <v>430</v>
      </c>
      <c r="EW24" t="s">
        <v>471</v>
      </c>
      <c r="FA24" t="s">
        <v>404</v>
      </c>
      <c r="FB24" t="s">
        <v>720</v>
      </c>
    </row>
    <row r="25" spans="1:158">
      <c r="A25">
        <v>63</v>
      </c>
      <c r="B25" t="s">
        <v>721</v>
      </c>
      <c r="C25" t="s">
        <v>722</v>
      </c>
      <c r="D25" t="s">
        <v>362</v>
      </c>
      <c r="E25">
        <v>1</v>
      </c>
      <c r="F25" t="s">
        <v>723</v>
      </c>
      <c r="G25" t="s">
        <v>724</v>
      </c>
      <c r="H25" t="s">
        <v>725</v>
      </c>
      <c r="I25" t="s">
        <v>726</v>
      </c>
      <c r="J25">
        <v>63</v>
      </c>
      <c r="O25" t="s">
        <v>441</v>
      </c>
      <c r="R25" t="s">
        <v>370</v>
      </c>
      <c r="X25" t="s">
        <v>727</v>
      </c>
      <c r="AA25" t="s">
        <v>722</v>
      </c>
      <c r="AB25" t="s">
        <v>725</v>
      </c>
      <c r="AG25" t="s">
        <v>404</v>
      </c>
      <c r="AH25" t="s">
        <v>655</v>
      </c>
      <c r="AI25" t="s">
        <v>728</v>
      </c>
      <c r="AJ25" t="s">
        <v>177</v>
      </c>
      <c r="AL25" t="s">
        <v>729</v>
      </c>
      <c r="AN25" t="s">
        <v>730</v>
      </c>
      <c r="AU25" t="s">
        <v>471</v>
      </c>
      <c r="BF25" t="s">
        <v>731</v>
      </c>
      <c r="BM25" t="s">
        <v>732</v>
      </c>
      <c r="BN25" t="s">
        <v>733</v>
      </c>
      <c r="BT25" t="s">
        <v>428</v>
      </c>
      <c r="CC25" t="s">
        <v>406</v>
      </c>
      <c r="CI25" t="s">
        <v>404</v>
      </c>
      <c r="CO25" t="s">
        <v>734</v>
      </c>
      <c r="CU25" t="s">
        <v>735</v>
      </c>
      <c r="CZ25" t="s">
        <v>736</v>
      </c>
      <c r="DS25" t="s">
        <v>737</v>
      </c>
      <c r="DT25" t="s">
        <v>703</v>
      </c>
      <c r="EW25" t="s">
        <v>471</v>
      </c>
      <c r="FA25" t="s">
        <v>404</v>
      </c>
      <c r="FB25" t="s">
        <v>738</v>
      </c>
    </row>
    <row r="26" spans="1:158">
      <c r="A26">
        <v>43</v>
      </c>
      <c r="B26" t="s">
        <v>739</v>
      </c>
      <c r="C26" t="s">
        <v>740</v>
      </c>
      <c r="D26" t="s">
        <v>362</v>
      </c>
      <c r="E26">
        <v>1</v>
      </c>
      <c r="F26" t="s">
        <v>741</v>
      </c>
      <c r="G26" t="s">
        <v>742</v>
      </c>
      <c r="H26" t="s">
        <v>743</v>
      </c>
      <c r="I26" t="s">
        <v>579</v>
      </c>
      <c r="J26">
        <v>43</v>
      </c>
      <c r="O26" t="s">
        <v>441</v>
      </c>
      <c r="R26" t="s">
        <v>503</v>
      </c>
      <c r="AA26" t="s">
        <v>444</v>
      </c>
      <c r="CC26" t="s">
        <v>406</v>
      </c>
      <c r="CG26" t="s">
        <v>558</v>
      </c>
      <c r="CI26" t="s">
        <v>404</v>
      </c>
      <c r="FA26" t="s">
        <v>404</v>
      </c>
    </row>
    <row r="27" spans="1:158">
      <c r="A27">
        <v>149</v>
      </c>
      <c r="B27" t="s">
        <v>744</v>
      </c>
      <c r="C27" t="s">
        <v>745</v>
      </c>
      <c r="D27" t="s">
        <v>362</v>
      </c>
      <c r="E27">
        <v>1</v>
      </c>
      <c r="G27" t="s">
        <v>362</v>
      </c>
      <c r="H27" t="s">
        <v>362</v>
      </c>
      <c r="I27" t="s">
        <v>362</v>
      </c>
      <c r="J27">
        <v>149</v>
      </c>
      <c r="O27" t="s">
        <v>441</v>
      </c>
      <c r="CC27" t="s">
        <v>406</v>
      </c>
      <c r="CI27" t="s">
        <v>404</v>
      </c>
      <c r="EH27" t="s">
        <v>430</v>
      </c>
      <c r="EL27" t="s">
        <v>430</v>
      </c>
      <c r="FA27" t="s">
        <v>404</v>
      </c>
    </row>
    <row r="28" spans="1:158">
      <c r="A28">
        <v>238</v>
      </c>
      <c r="B28" t="s">
        <v>746</v>
      </c>
      <c r="C28" t="s">
        <v>747</v>
      </c>
      <c r="D28" t="s">
        <v>362</v>
      </c>
      <c r="E28">
        <v>1</v>
      </c>
      <c r="G28" t="s">
        <v>362</v>
      </c>
      <c r="H28" t="s">
        <v>362</v>
      </c>
      <c r="I28" t="s">
        <v>362</v>
      </c>
      <c r="J28">
        <v>238</v>
      </c>
      <c r="R28" t="s">
        <v>370</v>
      </c>
      <c r="CC28" t="s">
        <v>406</v>
      </c>
      <c r="CI28" t="s">
        <v>430</v>
      </c>
      <c r="CX28" t="s">
        <v>748</v>
      </c>
      <c r="CY28" t="s">
        <v>26</v>
      </c>
      <c r="FA28" t="s">
        <v>404</v>
      </c>
    </row>
    <row r="29" spans="1:158">
      <c r="A29">
        <v>92</v>
      </c>
      <c r="B29" t="s">
        <v>749</v>
      </c>
      <c r="C29" t="s">
        <v>750</v>
      </c>
      <c r="D29" t="s">
        <v>362</v>
      </c>
      <c r="E29">
        <v>1</v>
      </c>
      <c r="F29" t="s">
        <v>751</v>
      </c>
      <c r="G29" t="s">
        <v>752</v>
      </c>
      <c r="H29" t="s">
        <v>362</v>
      </c>
      <c r="I29" t="s">
        <v>753</v>
      </c>
      <c r="J29">
        <v>92</v>
      </c>
      <c r="O29" t="s">
        <v>441</v>
      </c>
      <c r="R29" t="s">
        <v>370</v>
      </c>
      <c r="AU29" t="s">
        <v>471</v>
      </c>
      <c r="BF29" t="s">
        <v>399</v>
      </c>
      <c r="CC29" t="s">
        <v>406</v>
      </c>
      <c r="CI29" t="s">
        <v>404</v>
      </c>
      <c r="CO29" t="s">
        <v>754</v>
      </c>
      <c r="DT29" t="s">
        <v>399</v>
      </c>
      <c r="EF29" t="s">
        <v>492</v>
      </c>
      <c r="EG29" t="s">
        <v>492</v>
      </c>
      <c r="EK29" t="s">
        <v>492</v>
      </c>
      <c r="FA29" t="s">
        <v>404</v>
      </c>
    </row>
    <row r="30" spans="1:158">
      <c r="A30">
        <v>115</v>
      </c>
      <c r="B30" t="s">
        <v>153</v>
      </c>
      <c r="C30" t="s">
        <v>755</v>
      </c>
      <c r="D30" t="s">
        <v>755</v>
      </c>
      <c r="E30">
        <v>1</v>
      </c>
      <c r="F30" t="s">
        <v>756</v>
      </c>
      <c r="G30" t="s">
        <v>757</v>
      </c>
      <c r="H30" t="s">
        <v>758</v>
      </c>
      <c r="I30" t="s">
        <v>759</v>
      </c>
      <c r="J30">
        <v>115</v>
      </c>
      <c r="K30" t="s">
        <v>531</v>
      </c>
      <c r="O30" t="s">
        <v>533</v>
      </c>
      <c r="R30" t="s">
        <v>370</v>
      </c>
      <c r="T30" t="s">
        <v>383</v>
      </c>
      <c r="V30" t="s">
        <v>760</v>
      </c>
      <c r="X30" t="s">
        <v>761</v>
      </c>
      <c r="Z30" t="s">
        <v>378</v>
      </c>
      <c r="AA30" t="s">
        <v>154</v>
      </c>
      <c r="AB30" t="s">
        <v>762</v>
      </c>
      <c r="AF30" t="s">
        <v>653</v>
      </c>
      <c r="AG30" t="s">
        <v>654</v>
      </c>
      <c r="AI30" t="s">
        <v>383</v>
      </c>
      <c r="AJ30" t="s">
        <v>763</v>
      </c>
      <c r="AM30" t="s">
        <v>764</v>
      </c>
      <c r="AN30" t="s">
        <v>765</v>
      </c>
      <c r="AQ30" t="s">
        <v>689</v>
      </c>
      <c r="AR30" t="s">
        <v>542</v>
      </c>
      <c r="AS30" t="s">
        <v>388</v>
      </c>
      <c r="AT30" t="s">
        <v>660</v>
      </c>
      <c r="AU30" t="s">
        <v>444</v>
      </c>
      <c r="AY30" t="s">
        <v>547</v>
      </c>
      <c r="AZ30" t="s">
        <v>395</v>
      </c>
      <c r="BA30" t="s">
        <v>703</v>
      </c>
      <c r="BB30" t="s">
        <v>542</v>
      </c>
      <c r="BC30" t="s">
        <v>549</v>
      </c>
      <c r="BD30" t="s">
        <v>383</v>
      </c>
      <c r="BF30" t="s">
        <v>766</v>
      </c>
      <c r="BG30" t="s">
        <v>395</v>
      </c>
      <c r="BH30" t="s">
        <v>666</v>
      </c>
      <c r="BI30" t="s">
        <v>767</v>
      </c>
      <c r="BK30" t="s">
        <v>768</v>
      </c>
      <c r="BM30" t="s">
        <v>769</v>
      </c>
      <c r="BN30" t="s">
        <v>554</v>
      </c>
      <c r="BR30" t="s">
        <v>402</v>
      </c>
      <c r="BS30" t="s">
        <v>395</v>
      </c>
      <c r="BT30" t="s">
        <v>402</v>
      </c>
      <c r="CA30" t="s">
        <v>770</v>
      </c>
      <c r="CC30" t="s">
        <v>406</v>
      </c>
      <c r="CD30" t="s">
        <v>395</v>
      </c>
      <c r="CF30" t="s">
        <v>759</v>
      </c>
      <c r="CG30" t="s">
        <v>695</v>
      </c>
      <c r="CH30" t="s">
        <v>383</v>
      </c>
      <c r="CI30" t="s">
        <v>430</v>
      </c>
      <c r="CJ30" t="s">
        <v>559</v>
      </c>
      <c r="CK30" t="s">
        <v>755</v>
      </c>
      <c r="CO30" t="s">
        <v>771</v>
      </c>
      <c r="CP30" t="s">
        <v>772</v>
      </c>
      <c r="CQ30" t="s">
        <v>773</v>
      </c>
      <c r="CR30" t="s">
        <v>774</v>
      </c>
      <c r="CT30" t="s">
        <v>775</v>
      </c>
      <c r="CU30" t="s">
        <v>776</v>
      </c>
      <c r="CV30" t="s">
        <v>416</v>
      </c>
      <c r="CW30" t="s">
        <v>388</v>
      </c>
      <c r="CX30" t="s">
        <v>777</v>
      </c>
      <c r="CY30" t="s">
        <v>517</v>
      </c>
      <c r="CZ30" t="s">
        <v>569</v>
      </c>
      <c r="DA30" t="s">
        <v>418</v>
      </c>
      <c r="DB30" t="s">
        <v>570</v>
      </c>
      <c r="DC30" t="s">
        <v>419</v>
      </c>
      <c r="DD30" t="s">
        <v>571</v>
      </c>
      <c r="DL30" t="s">
        <v>426</v>
      </c>
      <c r="DN30" t="s">
        <v>395</v>
      </c>
      <c r="DO30" t="s">
        <v>757</v>
      </c>
      <c r="DP30" t="s">
        <v>395</v>
      </c>
      <c r="DQ30" t="s">
        <v>395</v>
      </c>
      <c r="DR30" t="s">
        <v>395</v>
      </c>
      <c r="DS30" t="s">
        <v>778</v>
      </c>
      <c r="DT30" t="s">
        <v>402</v>
      </c>
      <c r="DU30" t="s">
        <v>402</v>
      </c>
      <c r="DV30" t="s">
        <v>402</v>
      </c>
      <c r="EB30" t="s">
        <v>395</v>
      </c>
      <c r="EC30" t="s">
        <v>395</v>
      </c>
      <c r="ED30" t="s">
        <v>402</v>
      </c>
      <c r="EE30" t="s">
        <v>573</v>
      </c>
      <c r="EF30" t="s">
        <v>492</v>
      </c>
      <c r="EG30" t="s">
        <v>779</v>
      </c>
      <c r="EH30" t="s">
        <v>430</v>
      </c>
      <c r="EI30" t="s">
        <v>431</v>
      </c>
      <c r="EJ30" t="s">
        <v>780</v>
      </c>
      <c r="EK30" t="s">
        <v>779</v>
      </c>
      <c r="EL30" t="s">
        <v>430</v>
      </c>
      <c r="EM30" t="s">
        <v>431</v>
      </c>
      <c r="EW30" t="s">
        <v>444</v>
      </c>
      <c r="FA30" t="s">
        <v>404</v>
      </c>
      <c r="FB30" t="s">
        <v>26</v>
      </c>
    </row>
    <row r="31" spans="1:158">
      <c r="A31">
        <v>138</v>
      </c>
      <c r="B31" t="s">
        <v>781</v>
      </c>
      <c r="C31" t="s">
        <v>170</v>
      </c>
      <c r="D31" t="s">
        <v>782</v>
      </c>
      <c r="E31">
        <v>1</v>
      </c>
      <c r="F31" t="s">
        <v>783</v>
      </c>
      <c r="G31" t="s">
        <v>784</v>
      </c>
      <c r="H31" t="s">
        <v>785</v>
      </c>
      <c r="I31" t="s">
        <v>786</v>
      </c>
      <c r="J31">
        <v>138</v>
      </c>
      <c r="K31" t="s">
        <v>367</v>
      </c>
      <c r="O31" t="s">
        <v>533</v>
      </c>
      <c r="R31" t="s">
        <v>370</v>
      </c>
      <c r="T31" t="s">
        <v>787</v>
      </c>
      <c r="V31" t="s">
        <v>383</v>
      </c>
      <c r="X31" t="s">
        <v>788</v>
      </c>
      <c r="Z31" t="s">
        <v>378</v>
      </c>
      <c r="AA31" t="s">
        <v>789</v>
      </c>
      <c r="AB31" t="s">
        <v>785</v>
      </c>
      <c r="AF31" t="s">
        <v>653</v>
      </c>
      <c r="AG31" t="s">
        <v>654</v>
      </c>
      <c r="AI31" t="s">
        <v>790</v>
      </c>
      <c r="AJ31" t="s">
        <v>791</v>
      </c>
      <c r="AL31" t="s">
        <v>792</v>
      </c>
      <c r="AM31" t="s">
        <v>383</v>
      </c>
      <c r="AN31" t="s">
        <v>793</v>
      </c>
      <c r="AQ31" t="s">
        <v>689</v>
      </c>
      <c r="AS31" t="s">
        <v>388</v>
      </c>
      <c r="AT31" t="s">
        <v>660</v>
      </c>
      <c r="AU31" t="s">
        <v>444</v>
      </c>
      <c r="AY31" t="s">
        <v>547</v>
      </c>
      <c r="AZ31" t="s">
        <v>395</v>
      </c>
      <c r="BB31" t="s">
        <v>533</v>
      </c>
      <c r="BC31" t="s">
        <v>549</v>
      </c>
      <c r="BD31" t="s">
        <v>794</v>
      </c>
      <c r="BF31" t="s">
        <v>795</v>
      </c>
      <c r="BG31" t="s">
        <v>395</v>
      </c>
      <c r="BH31" t="s">
        <v>666</v>
      </c>
      <c r="BI31" t="s">
        <v>796</v>
      </c>
      <c r="BK31" t="s">
        <v>795</v>
      </c>
      <c r="BM31" t="s">
        <v>797</v>
      </c>
      <c r="BN31" t="s">
        <v>554</v>
      </c>
      <c r="BR31" t="s">
        <v>798</v>
      </c>
      <c r="BS31" t="s">
        <v>395</v>
      </c>
      <c r="BT31" t="s">
        <v>798</v>
      </c>
      <c r="CA31" t="s">
        <v>799</v>
      </c>
      <c r="CC31" t="s">
        <v>406</v>
      </c>
      <c r="CD31" t="s">
        <v>395</v>
      </c>
      <c r="CF31" t="s">
        <v>786</v>
      </c>
      <c r="CG31" t="s">
        <v>695</v>
      </c>
      <c r="CH31" t="s">
        <v>383</v>
      </c>
      <c r="CI31" t="s">
        <v>430</v>
      </c>
      <c r="CJ31" t="s">
        <v>559</v>
      </c>
      <c r="CK31" t="s">
        <v>170</v>
      </c>
      <c r="CO31" t="s">
        <v>800</v>
      </c>
      <c r="CP31" t="s">
        <v>801</v>
      </c>
      <c r="CQ31" t="s">
        <v>802</v>
      </c>
      <c r="CR31" t="s">
        <v>803</v>
      </c>
      <c r="CT31" t="s">
        <v>804</v>
      </c>
      <c r="CU31" t="s">
        <v>805</v>
      </c>
      <c r="CV31" t="s">
        <v>416</v>
      </c>
      <c r="CW31" t="s">
        <v>388</v>
      </c>
      <c r="CX31" t="s">
        <v>626</v>
      </c>
      <c r="CY31" t="s">
        <v>568</v>
      </c>
      <c r="CZ31" t="s">
        <v>569</v>
      </c>
      <c r="DA31" t="s">
        <v>806</v>
      </c>
      <c r="DB31" t="s">
        <v>807</v>
      </c>
      <c r="DC31" t="s">
        <v>419</v>
      </c>
      <c r="DL31" t="s">
        <v>426</v>
      </c>
      <c r="DN31" t="s">
        <v>395</v>
      </c>
      <c r="DO31" t="s">
        <v>784</v>
      </c>
      <c r="DP31" t="s">
        <v>395</v>
      </c>
      <c r="DQ31" t="s">
        <v>395</v>
      </c>
      <c r="DR31" t="s">
        <v>395</v>
      </c>
      <c r="DS31" t="s">
        <v>808</v>
      </c>
      <c r="DT31" t="s">
        <v>809</v>
      </c>
      <c r="DU31" t="s">
        <v>809</v>
      </c>
      <c r="DV31" t="s">
        <v>809</v>
      </c>
      <c r="EB31" t="s">
        <v>395</v>
      </c>
      <c r="EC31" t="s">
        <v>395</v>
      </c>
      <c r="ED31" t="s">
        <v>810</v>
      </c>
      <c r="EE31" t="s">
        <v>573</v>
      </c>
      <c r="EF31" t="s">
        <v>492</v>
      </c>
      <c r="EG31" t="s">
        <v>780</v>
      </c>
      <c r="EH31" t="s">
        <v>430</v>
      </c>
      <c r="EI31" t="s">
        <v>431</v>
      </c>
      <c r="EJ31" t="s">
        <v>429</v>
      </c>
      <c r="EK31" t="s">
        <v>780</v>
      </c>
      <c r="EL31" t="s">
        <v>430</v>
      </c>
      <c r="EM31" t="s">
        <v>431</v>
      </c>
      <c r="EW31" t="s">
        <v>444</v>
      </c>
      <c r="FA31" t="s">
        <v>404</v>
      </c>
      <c r="FB31" t="s">
        <v>26</v>
      </c>
    </row>
    <row r="32" spans="1:158">
      <c r="A32">
        <v>161</v>
      </c>
      <c r="B32" t="s">
        <v>811</v>
      </c>
      <c r="C32" t="s">
        <v>812</v>
      </c>
      <c r="D32" t="s">
        <v>362</v>
      </c>
      <c r="E32">
        <v>0</v>
      </c>
      <c r="G32" t="s">
        <v>362</v>
      </c>
      <c r="H32" t="s">
        <v>362</v>
      </c>
      <c r="I32" t="s">
        <v>362</v>
      </c>
      <c r="J32">
        <v>161</v>
      </c>
      <c r="O32" t="s">
        <v>441</v>
      </c>
      <c r="R32" t="s">
        <v>480</v>
      </c>
      <c r="CC32" t="s">
        <v>406</v>
      </c>
      <c r="CI32" t="s">
        <v>404</v>
      </c>
      <c r="EH32" t="s">
        <v>430</v>
      </c>
      <c r="EL32" t="s">
        <v>430</v>
      </c>
      <c r="FA32" t="s">
        <v>404</v>
      </c>
    </row>
    <row r="33" spans="1:158">
      <c r="A33">
        <v>221</v>
      </c>
      <c r="B33" t="s">
        <v>813</v>
      </c>
      <c r="C33" t="s">
        <v>814</v>
      </c>
      <c r="D33" t="s">
        <v>362</v>
      </c>
      <c r="E33">
        <v>1</v>
      </c>
      <c r="F33" t="s">
        <v>815</v>
      </c>
      <c r="G33" t="s">
        <v>816</v>
      </c>
      <c r="H33" t="s">
        <v>743</v>
      </c>
      <c r="I33" t="s">
        <v>579</v>
      </c>
      <c r="J33">
        <v>221</v>
      </c>
      <c r="O33" t="s">
        <v>441</v>
      </c>
      <c r="R33" t="s">
        <v>442</v>
      </c>
      <c r="AA33" t="s">
        <v>814</v>
      </c>
      <c r="CC33" t="s">
        <v>406</v>
      </c>
      <c r="CI33" t="s">
        <v>404</v>
      </c>
      <c r="CX33" t="s">
        <v>26</v>
      </c>
      <c r="CY33" t="s">
        <v>26</v>
      </c>
      <c r="FA33" t="s">
        <v>404</v>
      </c>
    </row>
    <row r="34" spans="1:158">
      <c r="A34">
        <v>75</v>
      </c>
      <c r="B34" t="s">
        <v>817</v>
      </c>
      <c r="C34" t="s">
        <v>818</v>
      </c>
      <c r="D34" t="s">
        <v>362</v>
      </c>
      <c r="E34">
        <v>0</v>
      </c>
      <c r="F34" t="s">
        <v>819</v>
      </c>
      <c r="G34" t="s">
        <v>820</v>
      </c>
      <c r="H34" t="s">
        <v>821</v>
      </c>
      <c r="I34" t="s">
        <v>822</v>
      </c>
      <c r="J34">
        <v>75</v>
      </c>
      <c r="O34" t="s">
        <v>441</v>
      </c>
      <c r="R34" t="s">
        <v>370</v>
      </c>
      <c r="AA34" t="s">
        <v>823</v>
      </c>
      <c r="AG34" t="s">
        <v>404</v>
      </c>
      <c r="AN34" t="s">
        <v>824</v>
      </c>
      <c r="AU34" t="s">
        <v>825</v>
      </c>
      <c r="BF34" t="s">
        <v>826</v>
      </c>
      <c r="BT34" t="s">
        <v>635</v>
      </c>
      <c r="CC34" t="s">
        <v>406</v>
      </c>
      <c r="CO34" t="s">
        <v>827</v>
      </c>
      <c r="CU34" t="s">
        <v>828</v>
      </c>
      <c r="DS34" t="s">
        <v>824</v>
      </c>
      <c r="DT34" t="s">
        <v>829</v>
      </c>
      <c r="EW34" t="s">
        <v>825</v>
      </c>
      <c r="FA34" t="s">
        <v>404</v>
      </c>
      <c r="FB34" t="s">
        <v>830</v>
      </c>
    </row>
    <row r="35" spans="1:158">
      <c r="A35">
        <v>201</v>
      </c>
      <c r="B35" t="s">
        <v>831</v>
      </c>
      <c r="C35" t="s">
        <v>832</v>
      </c>
      <c r="D35" t="s">
        <v>362</v>
      </c>
      <c r="E35">
        <v>1</v>
      </c>
      <c r="G35" t="s">
        <v>362</v>
      </c>
      <c r="H35" t="s">
        <v>362</v>
      </c>
      <c r="I35" t="s">
        <v>362</v>
      </c>
      <c r="J35">
        <v>201</v>
      </c>
      <c r="O35" t="s">
        <v>441</v>
      </c>
      <c r="R35" t="s">
        <v>370</v>
      </c>
      <c r="CC35" t="s">
        <v>406</v>
      </c>
      <c r="CI35" t="s">
        <v>404</v>
      </c>
      <c r="CO35" t="s">
        <v>833</v>
      </c>
      <c r="CX35" t="s">
        <v>26</v>
      </c>
      <c r="EH35" t="s">
        <v>430</v>
      </c>
      <c r="EL35" t="s">
        <v>430</v>
      </c>
      <c r="FA35" t="s">
        <v>404</v>
      </c>
    </row>
    <row r="36" spans="1:158">
      <c r="A36">
        <v>15</v>
      </c>
      <c r="B36" t="s">
        <v>834</v>
      </c>
      <c r="C36" t="s">
        <v>835</v>
      </c>
      <c r="D36" t="s">
        <v>836</v>
      </c>
      <c r="E36">
        <v>1</v>
      </c>
      <c r="F36" t="s">
        <v>837</v>
      </c>
      <c r="G36" t="s">
        <v>751</v>
      </c>
      <c r="H36" t="s">
        <v>743</v>
      </c>
      <c r="I36" t="s">
        <v>579</v>
      </c>
      <c r="J36">
        <v>15</v>
      </c>
      <c r="L36" t="s">
        <v>838</v>
      </c>
      <c r="O36" t="s">
        <v>441</v>
      </c>
      <c r="R36" t="s">
        <v>484</v>
      </c>
      <c r="AA36" t="s">
        <v>839</v>
      </c>
      <c r="AU36" t="s">
        <v>825</v>
      </c>
      <c r="CC36" t="s">
        <v>406</v>
      </c>
      <c r="CG36" t="s">
        <v>558</v>
      </c>
      <c r="CI36" t="s">
        <v>404</v>
      </c>
      <c r="CJ36" t="s">
        <v>408</v>
      </c>
      <c r="CX36" t="s">
        <v>840</v>
      </c>
      <c r="CY36" t="s">
        <v>26</v>
      </c>
      <c r="EF36" t="s">
        <v>492</v>
      </c>
      <c r="EG36" t="s">
        <v>492</v>
      </c>
      <c r="EH36" t="s">
        <v>430</v>
      </c>
      <c r="EK36" t="s">
        <v>492</v>
      </c>
      <c r="EL36" t="s">
        <v>430</v>
      </c>
      <c r="EW36" t="s">
        <v>825</v>
      </c>
      <c r="FA36" t="s">
        <v>404</v>
      </c>
    </row>
    <row r="37" spans="1:158">
      <c r="A37">
        <v>9</v>
      </c>
      <c r="B37" t="s">
        <v>841</v>
      </c>
      <c r="C37" t="s">
        <v>842</v>
      </c>
      <c r="D37" t="s">
        <v>843</v>
      </c>
      <c r="E37">
        <v>0</v>
      </c>
      <c r="F37" t="s">
        <v>844</v>
      </c>
      <c r="G37" t="s">
        <v>845</v>
      </c>
      <c r="H37" t="s">
        <v>846</v>
      </c>
      <c r="I37" t="s">
        <v>847</v>
      </c>
      <c r="J37">
        <v>9</v>
      </c>
      <c r="O37" t="s">
        <v>441</v>
      </c>
      <c r="CC37" t="s">
        <v>406</v>
      </c>
      <c r="FA37" t="s">
        <v>404</v>
      </c>
    </row>
    <row r="38" spans="1:158">
      <c r="A38">
        <v>158</v>
      </c>
      <c r="B38" t="s">
        <v>69</v>
      </c>
      <c r="C38" t="s">
        <v>848</v>
      </c>
      <c r="D38" t="s">
        <v>849</v>
      </c>
      <c r="E38">
        <v>1</v>
      </c>
      <c r="F38" t="s">
        <v>850</v>
      </c>
      <c r="G38" t="s">
        <v>851</v>
      </c>
      <c r="H38" t="s">
        <v>852</v>
      </c>
      <c r="I38" t="s">
        <v>853</v>
      </c>
      <c r="J38">
        <v>158</v>
      </c>
      <c r="K38" t="s">
        <v>531</v>
      </c>
      <c r="M38" t="s">
        <v>854</v>
      </c>
      <c r="N38" t="s">
        <v>369</v>
      </c>
      <c r="O38" t="s">
        <v>533</v>
      </c>
      <c r="P38" t="s">
        <v>855</v>
      </c>
      <c r="R38" t="s">
        <v>370</v>
      </c>
      <c r="T38" t="s">
        <v>383</v>
      </c>
      <c r="U38" t="s">
        <v>177</v>
      </c>
      <c r="V38" t="s">
        <v>856</v>
      </c>
      <c r="W38" t="s">
        <v>857</v>
      </c>
      <c r="X38" t="s">
        <v>858</v>
      </c>
      <c r="Z38" t="s">
        <v>378</v>
      </c>
      <c r="AA38" t="s">
        <v>70</v>
      </c>
      <c r="AB38" t="s">
        <v>859</v>
      </c>
      <c r="AE38" t="s">
        <v>508</v>
      </c>
      <c r="AI38" t="s">
        <v>383</v>
      </c>
      <c r="AM38" t="s">
        <v>860</v>
      </c>
      <c r="AN38" t="s">
        <v>861</v>
      </c>
      <c r="AP38" t="s">
        <v>862</v>
      </c>
      <c r="AQ38" t="s">
        <v>689</v>
      </c>
      <c r="AS38" t="s">
        <v>543</v>
      </c>
      <c r="AU38" t="s">
        <v>389</v>
      </c>
      <c r="AV38" t="s">
        <v>863</v>
      </c>
      <c r="AW38" t="s">
        <v>864</v>
      </c>
      <c r="AX38" t="s">
        <v>546</v>
      </c>
      <c r="AY38" t="s">
        <v>547</v>
      </c>
      <c r="AZ38" t="s">
        <v>865</v>
      </c>
      <c r="BA38" t="s">
        <v>866</v>
      </c>
      <c r="BB38" t="s">
        <v>542</v>
      </c>
      <c r="BC38" t="s">
        <v>549</v>
      </c>
      <c r="BD38" t="s">
        <v>383</v>
      </c>
      <c r="BE38" t="s">
        <v>867</v>
      </c>
      <c r="BF38" t="s">
        <v>868</v>
      </c>
      <c r="BG38" t="s">
        <v>395</v>
      </c>
      <c r="BK38" t="s">
        <v>868</v>
      </c>
      <c r="BL38" t="s">
        <v>869</v>
      </c>
      <c r="BM38" t="s">
        <v>870</v>
      </c>
      <c r="BN38" t="s">
        <v>554</v>
      </c>
      <c r="BR38" t="s">
        <v>871</v>
      </c>
      <c r="BS38" t="s">
        <v>395</v>
      </c>
      <c r="BT38" t="s">
        <v>872</v>
      </c>
      <c r="BU38" t="s">
        <v>873</v>
      </c>
      <c r="BY38" t="s">
        <v>614</v>
      </c>
      <c r="BZ38" t="s">
        <v>430</v>
      </c>
      <c r="CA38" t="s">
        <v>874</v>
      </c>
      <c r="CC38" t="s">
        <v>406</v>
      </c>
      <c r="CD38" t="s">
        <v>875</v>
      </c>
      <c r="CE38" t="s">
        <v>876</v>
      </c>
      <c r="CF38" t="s">
        <v>853</v>
      </c>
      <c r="CG38" t="s">
        <v>558</v>
      </c>
      <c r="CH38" t="s">
        <v>383</v>
      </c>
      <c r="CI38" t="s">
        <v>430</v>
      </c>
      <c r="CJ38" t="s">
        <v>559</v>
      </c>
      <c r="CK38" t="s">
        <v>848</v>
      </c>
      <c r="CO38" t="s">
        <v>877</v>
      </c>
      <c r="CP38" t="s">
        <v>878</v>
      </c>
      <c r="CQ38" t="s">
        <v>879</v>
      </c>
      <c r="CR38" t="s">
        <v>880</v>
      </c>
      <c r="CS38" t="s">
        <v>881</v>
      </c>
      <c r="CT38" t="s">
        <v>882</v>
      </c>
      <c r="CU38" t="s">
        <v>883</v>
      </c>
      <c r="CV38" t="s">
        <v>567</v>
      </c>
      <c r="CW38" t="s">
        <v>388</v>
      </c>
      <c r="CX38" t="s">
        <v>481</v>
      </c>
      <c r="CY38" t="s">
        <v>517</v>
      </c>
      <c r="CZ38" t="s">
        <v>569</v>
      </c>
      <c r="DA38" t="s">
        <v>884</v>
      </c>
      <c r="DB38" t="s">
        <v>885</v>
      </c>
      <c r="DC38" t="s">
        <v>419</v>
      </c>
      <c r="DF38" t="s">
        <v>421</v>
      </c>
      <c r="DH38" t="s">
        <v>886</v>
      </c>
      <c r="DI38" t="s">
        <v>887</v>
      </c>
      <c r="DJ38" t="s">
        <v>888</v>
      </c>
      <c r="DK38" t="s">
        <v>889</v>
      </c>
      <c r="DL38" t="s">
        <v>426</v>
      </c>
      <c r="DN38" t="s">
        <v>395</v>
      </c>
      <c r="DO38" t="s">
        <v>851</v>
      </c>
      <c r="DP38" t="s">
        <v>395</v>
      </c>
      <c r="DQ38" t="s">
        <v>395</v>
      </c>
      <c r="DR38" t="s">
        <v>395</v>
      </c>
      <c r="DS38" t="s">
        <v>890</v>
      </c>
      <c r="DT38" t="s">
        <v>809</v>
      </c>
      <c r="DU38" t="s">
        <v>809</v>
      </c>
      <c r="DV38" t="s">
        <v>809</v>
      </c>
      <c r="DW38" t="s">
        <v>873</v>
      </c>
      <c r="EB38" t="s">
        <v>395</v>
      </c>
      <c r="EC38" t="s">
        <v>395</v>
      </c>
      <c r="ED38" t="s">
        <v>809</v>
      </c>
      <c r="EE38" t="s">
        <v>573</v>
      </c>
      <c r="EF38" t="s">
        <v>492</v>
      </c>
      <c r="EG38" t="s">
        <v>779</v>
      </c>
      <c r="EH38" t="s">
        <v>430</v>
      </c>
      <c r="EI38" t="s">
        <v>431</v>
      </c>
      <c r="EJ38" t="s">
        <v>780</v>
      </c>
      <c r="EK38" t="s">
        <v>779</v>
      </c>
      <c r="EL38" t="s">
        <v>430</v>
      </c>
      <c r="EM38" t="s">
        <v>431</v>
      </c>
      <c r="EQ38" t="s">
        <v>792</v>
      </c>
      <c r="EV38" t="s">
        <v>891</v>
      </c>
      <c r="EW38" t="s">
        <v>432</v>
      </c>
      <c r="FA38" t="s">
        <v>404</v>
      </c>
      <c r="FB38" t="s">
        <v>26</v>
      </c>
    </row>
    <row r="39" spans="1:158">
      <c r="A39">
        <v>244</v>
      </c>
      <c r="B39" t="s">
        <v>117</v>
      </c>
      <c r="C39" t="s">
        <v>892</v>
      </c>
      <c r="D39" t="s">
        <v>892</v>
      </c>
      <c r="E39">
        <v>1</v>
      </c>
      <c r="F39" t="s">
        <v>893</v>
      </c>
      <c r="G39" t="s">
        <v>894</v>
      </c>
      <c r="H39" t="s">
        <v>118</v>
      </c>
      <c r="I39" t="s">
        <v>895</v>
      </c>
      <c r="J39">
        <v>244</v>
      </c>
      <c r="M39" t="s">
        <v>896</v>
      </c>
      <c r="N39" t="s">
        <v>369</v>
      </c>
      <c r="R39" t="s">
        <v>480</v>
      </c>
      <c r="T39" t="s">
        <v>395</v>
      </c>
      <c r="U39" t="s">
        <v>177</v>
      </c>
      <c r="V39" t="s">
        <v>897</v>
      </c>
      <c r="X39" t="s">
        <v>898</v>
      </c>
      <c r="AA39" t="s">
        <v>892</v>
      </c>
      <c r="AB39" t="s">
        <v>507</v>
      </c>
      <c r="AE39" t="s">
        <v>508</v>
      </c>
      <c r="AQ39" t="s">
        <v>387</v>
      </c>
      <c r="AU39" t="s">
        <v>509</v>
      </c>
      <c r="BE39" t="s">
        <v>510</v>
      </c>
      <c r="BF39" t="s">
        <v>899</v>
      </c>
      <c r="BL39" t="s">
        <v>513</v>
      </c>
      <c r="BZ39" t="s">
        <v>430</v>
      </c>
      <c r="CA39" t="s">
        <v>900</v>
      </c>
      <c r="CC39" t="s">
        <v>406</v>
      </c>
      <c r="CF39" t="s">
        <v>895</v>
      </c>
      <c r="CI39" t="s">
        <v>430</v>
      </c>
      <c r="CK39" t="s">
        <v>892</v>
      </c>
      <c r="CU39" t="s">
        <v>901</v>
      </c>
      <c r="CX39" t="s">
        <v>516</v>
      </c>
      <c r="CY39" t="s">
        <v>517</v>
      </c>
      <c r="DH39" t="s">
        <v>430</v>
      </c>
      <c r="DI39" t="s">
        <v>430</v>
      </c>
      <c r="DJ39" t="s">
        <v>894</v>
      </c>
      <c r="DL39" t="s">
        <v>518</v>
      </c>
      <c r="DO39" t="s">
        <v>894</v>
      </c>
      <c r="DT39" t="s">
        <v>902</v>
      </c>
      <c r="EF39" t="s">
        <v>492</v>
      </c>
      <c r="EG39" t="s">
        <v>492</v>
      </c>
      <c r="EI39" t="s">
        <v>431</v>
      </c>
      <c r="EJ39" t="s">
        <v>429</v>
      </c>
      <c r="EK39" t="s">
        <v>492</v>
      </c>
      <c r="EM39" t="s">
        <v>431</v>
      </c>
      <c r="EW39" t="s">
        <v>524</v>
      </c>
      <c r="FA39" t="s">
        <v>404</v>
      </c>
    </row>
    <row r="40" spans="1:158">
      <c r="A40">
        <v>52</v>
      </c>
      <c r="B40" t="s">
        <v>903</v>
      </c>
      <c r="C40" t="s">
        <v>647</v>
      </c>
      <c r="D40" t="s">
        <v>647</v>
      </c>
      <c r="E40">
        <v>1</v>
      </c>
      <c r="F40" t="s">
        <v>648</v>
      </c>
      <c r="G40" t="s">
        <v>649</v>
      </c>
      <c r="H40" t="s">
        <v>650</v>
      </c>
      <c r="I40" t="s">
        <v>651</v>
      </c>
      <c r="J40">
        <v>52</v>
      </c>
      <c r="O40" t="s">
        <v>441</v>
      </c>
      <c r="R40" t="s">
        <v>370</v>
      </c>
      <c r="X40" t="s">
        <v>904</v>
      </c>
      <c r="AA40" t="s">
        <v>107</v>
      </c>
      <c r="AF40" t="s">
        <v>729</v>
      </c>
      <c r="AG40" t="s">
        <v>430</v>
      </c>
      <c r="AH40" t="s">
        <v>905</v>
      </c>
      <c r="AI40" t="s">
        <v>906</v>
      </c>
      <c r="AJ40" t="s">
        <v>907</v>
      </c>
      <c r="AL40" t="s">
        <v>729</v>
      </c>
      <c r="AN40" t="s">
        <v>908</v>
      </c>
      <c r="AU40" t="s">
        <v>444</v>
      </c>
      <c r="AW40" t="s">
        <v>661</v>
      </c>
      <c r="AX40" t="s">
        <v>662</v>
      </c>
      <c r="AY40" t="s">
        <v>663</v>
      </c>
      <c r="BB40" t="s">
        <v>664</v>
      </c>
      <c r="BF40" t="s">
        <v>665</v>
      </c>
      <c r="BM40" t="s">
        <v>909</v>
      </c>
      <c r="BN40" t="s">
        <v>554</v>
      </c>
      <c r="BT40" t="s">
        <v>669</v>
      </c>
      <c r="CC40" t="s">
        <v>406</v>
      </c>
      <c r="CG40" t="s">
        <v>558</v>
      </c>
      <c r="CI40" t="s">
        <v>404</v>
      </c>
      <c r="CJ40" t="s">
        <v>448</v>
      </c>
      <c r="CO40" t="s">
        <v>671</v>
      </c>
      <c r="CU40" t="s">
        <v>910</v>
      </c>
      <c r="CX40" t="s">
        <v>673</v>
      </c>
      <c r="CZ40" t="s">
        <v>569</v>
      </c>
      <c r="DS40" t="s">
        <v>911</v>
      </c>
      <c r="DT40" t="s">
        <v>675</v>
      </c>
      <c r="EF40" t="s">
        <v>492</v>
      </c>
      <c r="EG40" t="s">
        <v>522</v>
      </c>
      <c r="EH40" t="s">
        <v>430</v>
      </c>
      <c r="EK40" t="s">
        <v>522</v>
      </c>
      <c r="EL40" t="s">
        <v>430</v>
      </c>
      <c r="EW40" t="s">
        <v>444</v>
      </c>
      <c r="FA40" t="s">
        <v>404</v>
      </c>
      <c r="FB40" t="s">
        <v>676</v>
      </c>
    </row>
    <row r="41" spans="1:158">
      <c r="A41">
        <v>95</v>
      </c>
      <c r="B41" t="s">
        <v>912</v>
      </c>
      <c r="C41" t="s">
        <v>913</v>
      </c>
      <c r="D41" t="s">
        <v>913</v>
      </c>
      <c r="E41">
        <v>0</v>
      </c>
      <c r="F41" t="s">
        <v>914</v>
      </c>
      <c r="G41" t="s">
        <v>707</v>
      </c>
      <c r="H41" t="s">
        <v>708</v>
      </c>
      <c r="I41" t="s">
        <v>709</v>
      </c>
      <c r="J41">
        <v>95</v>
      </c>
      <c r="O41" t="s">
        <v>441</v>
      </c>
      <c r="R41" t="s">
        <v>370</v>
      </c>
      <c r="AA41" t="s">
        <v>710</v>
      </c>
      <c r="AU41" t="s">
        <v>471</v>
      </c>
      <c r="BF41" t="s">
        <v>915</v>
      </c>
      <c r="CC41" t="s">
        <v>406</v>
      </c>
      <c r="CO41" t="s">
        <v>916</v>
      </c>
      <c r="DT41" t="s">
        <v>917</v>
      </c>
      <c r="EF41" t="s">
        <v>492</v>
      </c>
      <c r="EG41" t="s">
        <v>522</v>
      </c>
      <c r="EH41" t="s">
        <v>430</v>
      </c>
      <c r="EK41" t="s">
        <v>522</v>
      </c>
      <c r="EL41" t="s">
        <v>430</v>
      </c>
      <c r="EW41" t="s">
        <v>471</v>
      </c>
      <c r="FA41" t="s">
        <v>404</v>
      </c>
      <c r="FB41" t="s">
        <v>918</v>
      </c>
    </row>
    <row r="42" spans="1:158">
      <c r="A42">
        <v>72</v>
      </c>
      <c r="B42" t="s">
        <v>919</v>
      </c>
      <c r="C42" t="s">
        <v>920</v>
      </c>
      <c r="D42" t="s">
        <v>920</v>
      </c>
      <c r="E42">
        <v>1</v>
      </c>
      <c r="F42" t="s">
        <v>921</v>
      </c>
      <c r="G42" t="s">
        <v>922</v>
      </c>
      <c r="H42" t="s">
        <v>923</v>
      </c>
      <c r="I42" t="s">
        <v>924</v>
      </c>
      <c r="J42">
        <v>72</v>
      </c>
      <c r="K42" t="s">
        <v>884</v>
      </c>
      <c r="O42" t="s">
        <v>533</v>
      </c>
      <c r="R42" t="s">
        <v>370</v>
      </c>
      <c r="T42" t="s">
        <v>383</v>
      </c>
      <c r="V42" t="s">
        <v>383</v>
      </c>
      <c r="X42" t="s">
        <v>925</v>
      </c>
      <c r="Z42" t="s">
        <v>926</v>
      </c>
      <c r="AA42" t="s">
        <v>927</v>
      </c>
      <c r="AB42" t="s">
        <v>928</v>
      </c>
      <c r="AF42" t="s">
        <v>653</v>
      </c>
      <c r="AG42" t="s">
        <v>654</v>
      </c>
      <c r="AI42" t="s">
        <v>929</v>
      </c>
      <c r="AJ42" t="s">
        <v>930</v>
      </c>
      <c r="AK42" t="s">
        <v>658</v>
      </c>
      <c r="AL42" t="s">
        <v>729</v>
      </c>
      <c r="AM42" t="s">
        <v>931</v>
      </c>
      <c r="AN42" t="s">
        <v>932</v>
      </c>
      <c r="AQ42" t="s">
        <v>689</v>
      </c>
      <c r="AS42" t="s">
        <v>388</v>
      </c>
      <c r="AT42" t="s">
        <v>660</v>
      </c>
      <c r="AU42" t="s">
        <v>471</v>
      </c>
      <c r="AZ42" t="s">
        <v>395</v>
      </c>
      <c r="BB42" t="s">
        <v>533</v>
      </c>
      <c r="BD42" t="s">
        <v>933</v>
      </c>
      <c r="BF42" t="s">
        <v>934</v>
      </c>
      <c r="BG42" t="s">
        <v>395</v>
      </c>
      <c r="BH42" t="s">
        <v>666</v>
      </c>
      <c r="BI42" t="s">
        <v>935</v>
      </c>
      <c r="BK42" t="s">
        <v>934</v>
      </c>
      <c r="BM42" t="s">
        <v>936</v>
      </c>
      <c r="BN42" t="s">
        <v>554</v>
      </c>
      <c r="BR42" t="s">
        <v>798</v>
      </c>
      <c r="BS42" t="s">
        <v>395</v>
      </c>
      <c r="BT42" t="s">
        <v>798</v>
      </c>
      <c r="CA42" t="s">
        <v>937</v>
      </c>
      <c r="CC42" t="s">
        <v>406</v>
      </c>
      <c r="CD42" t="s">
        <v>395</v>
      </c>
      <c r="CF42" t="s">
        <v>924</v>
      </c>
      <c r="CG42" t="s">
        <v>695</v>
      </c>
      <c r="CH42" t="s">
        <v>938</v>
      </c>
      <c r="CI42" t="s">
        <v>430</v>
      </c>
      <c r="CJ42" t="s">
        <v>559</v>
      </c>
      <c r="CK42" t="s">
        <v>920</v>
      </c>
      <c r="CO42" t="s">
        <v>939</v>
      </c>
      <c r="CP42" t="s">
        <v>940</v>
      </c>
      <c r="CQ42" t="s">
        <v>941</v>
      </c>
      <c r="CR42" t="s">
        <v>942</v>
      </c>
      <c r="CT42" t="s">
        <v>943</v>
      </c>
      <c r="CU42" t="s">
        <v>944</v>
      </c>
      <c r="CV42" t="s">
        <v>416</v>
      </c>
      <c r="CW42" t="s">
        <v>388</v>
      </c>
      <c r="CX42" t="s">
        <v>945</v>
      </c>
      <c r="CY42" t="s">
        <v>568</v>
      </c>
      <c r="CZ42" t="s">
        <v>569</v>
      </c>
      <c r="DA42" t="s">
        <v>418</v>
      </c>
      <c r="DB42" t="s">
        <v>946</v>
      </c>
      <c r="DC42" t="s">
        <v>905</v>
      </c>
      <c r="DL42" t="s">
        <v>947</v>
      </c>
      <c r="DN42" t="s">
        <v>395</v>
      </c>
      <c r="DO42" t="s">
        <v>922</v>
      </c>
      <c r="DP42" t="s">
        <v>395</v>
      </c>
      <c r="DQ42" t="s">
        <v>395</v>
      </c>
      <c r="DR42" t="s">
        <v>395</v>
      </c>
      <c r="DS42" t="s">
        <v>948</v>
      </c>
      <c r="DT42" t="s">
        <v>533</v>
      </c>
      <c r="DU42" t="s">
        <v>533</v>
      </c>
      <c r="EC42" t="s">
        <v>395</v>
      </c>
      <c r="ED42" t="s">
        <v>533</v>
      </c>
      <c r="EF42" t="s">
        <v>492</v>
      </c>
      <c r="EG42" t="s">
        <v>780</v>
      </c>
      <c r="EH42" t="s">
        <v>430</v>
      </c>
      <c r="EI42" t="s">
        <v>431</v>
      </c>
      <c r="EJ42" t="s">
        <v>429</v>
      </c>
      <c r="EK42" t="s">
        <v>780</v>
      </c>
      <c r="EL42" t="s">
        <v>430</v>
      </c>
      <c r="EM42" t="s">
        <v>431</v>
      </c>
      <c r="EW42" t="s">
        <v>471</v>
      </c>
      <c r="FA42" t="s">
        <v>404</v>
      </c>
      <c r="FB42" t="s">
        <v>26</v>
      </c>
    </row>
    <row r="43" spans="1:158">
      <c r="A43">
        <v>78</v>
      </c>
      <c r="B43" t="s">
        <v>949</v>
      </c>
      <c r="C43" t="s">
        <v>950</v>
      </c>
      <c r="D43" t="s">
        <v>362</v>
      </c>
      <c r="E43">
        <v>1</v>
      </c>
      <c r="F43" t="s">
        <v>951</v>
      </c>
      <c r="G43" t="s">
        <v>952</v>
      </c>
      <c r="H43" t="s">
        <v>743</v>
      </c>
      <c r="I43" t="s">
        <v>579</v>
      </c>
      <c r="J43">
        <v>78</v>
      </c>
      <c r="O43" t="s">
        <v>441</v>
      </c>
      <c r="R43" t="s">
        <v>370</v>
      </c>
      <c r="AU43" t="s">
        <v>471</v>
      </c>
      <c r="BF43" t="s">
        <v>395</v>
      </c>
      <c r="CC43" t="s">
        <v>406</v>
      </c>
      <c r="CI43" t="s">
        <v>404</v>
      </c>
      <c r="CO43" t="s">
        <v>472</v>
      </c>
      <c r="DT43" t="s">
        <v>401</v>
      </c>
      <c r="FA43" t="s">
        <v>404</v>
      </c>
    </row>
    <row r="44" spans="1:158">
      <c r="A44">
        <v>218</v>
      </c>
      <c r="B44" t="s">
        <v>953</v>
      </c>
      <c r="C44" t="s">
        <v>954</v>
      </c>
      <c r="D44" t="s">
        <v>955</v>
      </c>
      <c r="E44">
        <v>1</v>
      </c>
      <c r="F44" t="s">
        <v>363</v>
      </c>
      <c r="G44" t="s">
        <v>364</v>
      </c>
      <c r="H44" t="s">
        <v>365</v>
      </c>
      <c r="I44" t="s">
        <v>366</v>
      </c>
      <c r="J44">
        <v>218</v>
      </c>
      <c r="K44" t="s">
        <v>367</v>
      </c>
      <c r="O44" t="s">
        <v>533</v>
      </c>
      <c r="R44" t="s">
        <v>370</v>
      </c>
      <c r="T44" t="s">
        <v>618</v>
      </c>
      <c r="V44" t="s">
        <v>956</v>
      </c>
      <c r="Z44" t="s">
        <v>378</v>
      </c>
      <c r="AA44" t="s">
        <v>379</v>
      </c>
      <c r="AB44" t="s">
        <v>380</v>
      </c>
      <c r="AI44" t="s">
        <v>395</v>
      </c>
      <c r="AM44" t="s">
        <v>957</v>
      </c>
      <c r="AN44" t="s">
        <v>958</v>
      </c>
      <c r="AQ44" t="s">
        <v>387</v>
      </c>
      <c r="AS44" t="s">
        <v>959</v>
      </c>
      <c r="AU44" t="s">
        <v>389</v>
      </c>
      <c r="AY44" t="s">
        <v>960</v>
      </c>
      <c r="AZ44" t="s">
        <v>961</v>
      </c>
      <c r="BB44" t="s">
        <v>542</v>
      </c>
      <c r="BC44" t="s">
        <v>962</v>
      </c>
      <c r="BD44" t="s">
        <v>395</v>
      </c>
      <c r="BF44" t="s">
        <v>395</v>
      </c>
      <c r="BG44" t="s">
        <v>395</v>
      </c>
      <c r="BK44" t="s">
        <v>395</v>
      </c>
      <c r="BR44" t="s">
        <v>395</v>
      </c>
      <c r="BS44" t="s">
        <v>395</v>
      </c>
      <c r="CA44" t="s">
        <v>405</v>
      </c>
      <c r="CC44" t="s">
        <v>406</v>
      </c>
      <c r="CD44" t="s">
        <v>395</v>
      </c>
      <c r="CF44" t="s">
        <v>366</v>
      </c>
      <c r="CG44" t="s">
        <v>558</v>
      </c>
      <c r="CH44" t="s">
        <v>963</v>
      </c>
      <c r="CI44" t="s">
        <v>404</v>
      </c>
      <c r="CJ44" t="s">
        <v>559</v>
      </c>
      <c r="CL44" t="s">
        <v>964</v>
      </c>
      <c r="CM44" t="s">
        <v>960</v>
      </c>
      <c r="CO44" t="s">
        <v>410</v>
      </c>
      <c r="CP44" t="s">
        <v>965</v>
      </c>
      <c r="CQ44" t="s">
        <v>966</v>
      </c>
      <c r="CR44" t="s">
        <v>967</v>
      </c>
      <c r="CT44" t="s">
        <v>968</v>
      </c>
      <c r="CU44" t="s">
        <v>969</v>
      </c>
      <c r="CV44" t="s">
        <v>970</v>
      </c>
      <c r="CW44" t="s">
        <v>971</v>
      </c>
      <c r="CX44" t="s">
        <v>417</v>
      </c>
      <c r="CY44" t="s">
        <v>26</v>
      </c>
      <c r="DA44" t="s">
        <v>418</v>
      </c>
      <c r="DB44" t="s">
        <v>570</v>
      </c>
      <c r="DC44" t="s">
        <v>419</v>
      </c>
      <c r="DE44" t="s">
        <v>420</v>
      </c>
      <c r="DL44" t="s">
        <v>426</v>
      </c>
      <c r="DN44" t="s">
        <v>395</v>
      </c>
      <c r="DO44" t="s">
        <v>364</v>
      </c>
      <c r="DP44" t="s">
        <v>399</v>
      </c>
      <c r="DQ44" t="s">
        <v>395</v>
      </c>
      <c r="DR44" t="s">
        <v>614</v>
      </c>
      <c r="DS44" t="s">
        <v>972</v>
      </c>
      <c r="DT44" t="s">
        <v>428</v>
      </c>
      <c r="DV44" t="s">
        <v>395</v>
      </c>
      <c r="EA44" t="s">
        <v>428</v>
      </c>
      <c r="EB44" t="s">
        <v>395</v>
      </c>
      <c r="EC44" t="s">
        <v>395</v>
      </c>
      <c r="ED44" t="s">
        <v>491</v>
      </c>
      <c r="EE44" t="s">
        <v>973</v>
      </c>
      <c r="EF44" t="s">
        <v>429</v>
      </c>
      <c r="EG44" t="s">
        <v>429</v>
      </c>
      <c r="EI44" t="s">
        <v>431</v>
      </c>
      <c r="EJ44" t="s">
        <v>429</v>
      </c>
      <c r="EK44" t="s">
        <v>429</v>
      </c>
      <c r="EM44" t="s">
        <v>431</v>
      </c>
      <c r="FA44" t="s">
        <v>404</v>
      </c>
      <c r="FB44" t="s">
        <v>433</v>
      </c>
    </row>
    <row r="45" spans="1:158">
      <c r="A45">
        <v>178</v>
      </c>
      <c r="B45" t="s">
        <v>974</v>
      </c>
      <c r="C45" t="s">
        <v>975</v>
      </c>
      <c r="D45" t="s">
        <v>362</v>
      </c>
      <c r="E45">
        <v>1</v>
      </c>
      <c r="G45" t="s">
        <v>362</v>
      </c>
      <c r="H45" t="s">
        <v>362</v>
      </c>
      <c r="I45" t="s">
        <v>362</v>
      </c>
      <c r="J45">
        <v>178</v>
      </c>
      <c r="O45" t="s">
        <v>533</v>
      </c>
      <c r="R45" t="s">
        <v>503</v>
      </c>
      <c r="CC45" t="s">
        <v>406</v>
      </c>
      <c r="CI45" t="s">
        <v>404</v>
      </c>
      <c r="CX45" t="s">
        <v>26</v>
      </c>
      <c r="FA45" t="s">
        <v>404</v>
      </c>
    </row>
    <row r="46" spans="1:158">
      <c r="A46">
        <v>12</v>
      </c>
      <c r="B46" t="s">
        <v>976</v>
      </c>
      <c r="C46" t="s">
        <v>977</v>
      </c>
      <c r="D46" t="s">
        <v>977</v>
      </c>
      <c r="E46">
        <v>1</v>
      </c>
      <c r="F46" t="s">
        <v>978</v>
      </c>
      <c r="G46" t="s">
        <v>979</v>
      </c>
      <c r="H46" t="s">
        <v>846</v>
      </c>
      <c r="I46" t="s">
        <v>847</v>
      </c>
      <c r="J46">
        <v>12</v>
      </c>
      <c r="O46" t="s">
        <v>441</v>
      </c>
      <c r="R46" t="s">
        <v>442</v>
      </c>
      <c r="AA46" t="s">
        <v>839</v>
      </c>
      <c r="AW46" t="s">
        <v>980</v>
      </c>
      <c r="AX46" t="s">
        <v>981</v>
      </c>
      <c r="AY46" t="s">
        <v>982</v>
      </c>
      <c r="CC46" t="s">
        <v>406</v>
      </c>
      <c r="CI46" t="s">
        <v>404</v>
      </c>
      <c r="CJ46" t="s">
        <v>983</v>
      </c>
      <c r="CX46" t="s">
        <v>840</v>
      </c>
      <c r="CY46" t="s">
        <v>26</v>
      </c>
      <c r="EH46" t="s">
        <v>430</v>
      </c>
      <c r="EL46" t="s">
        <v>430</v>
      </c>
      <c r="EW46" t="s">
        <v>825</v>
      </c>
      <c r="FA46" t="s">
        <v>404</v>
      </c>
    </row>
    <row r="47" spans="1:158">
      <c r="A47">
        <v>35</v>
      </c>
      <c r="B47" t="s">
        <v>984</v>
      </c>
      <c r="C47" t="s">
        <v>985</v>
      </c>
      <c r="D47" t="s">
        <v>986</v>
      </c>
      <c r="E47">
        <v>1</v>
      </c>
      <c r="F47" t="s">
        <v>987</v>
      </c>
      <c r="G47" t="s">
        <v>988</v>
      </c>
      <c r="H47" t="s">
        <v>989</v>
      </c>
      <c r="I47" t="s">
        <v>990</v>
      </c>
      <c r="J47">
        <v>35</v>
      </c>
      <c r="O47" t="s">
        <v>441</v>
      </c>
      <c r="R47" t="s">
        <v>442</v>
      </c>
      <c r="AA47" t="s">
        <v>24</v>
      </c>
      <c r="AU47" t="s">
        <v>444</v>
      </c>
      <c r="CC47" t="s">
        <v>406</v>
      </c>
      <c r="CI47" t="s">
        <v>404</v>
      </c>
      <c r="CJ47" t="s">
        <v>448</v>
      </c>
      <c r="CX47" t="s">
        <v>945</v>
      </c>
      <c r="CY47" t="s">
        <v>568</v>
      </c>
      <c r="EH47" t="s">
        <v>430</v>
      </c>
      <c r="EL47" t="s">
        <v>430</v>
      </c>
      <c r="EW47" t="s">
        <v>471</v>
      </c>
      <c r="FA47" t="s">
        <v>404</v>
      </c>
    </row>
    <row r="48" spans="1:158">
      <c r="A48">
        <v>155</v>
      </c>
      <c r="B48" t="s">
        <v>67</v>
      </c>
      <c r="C48" t="s">
        <v>991</v>
      </c>
      <c r="D48" t="s">
        <v>991</v>
      </c>
      <c r="E48">
        <v>1</v>
      </c>
      <c r="F48" t="s">
        <v>992</v>
      </c>
      <c r="G48" t="s">
        <v>993</v>
      </c>
      <c r="H48" t="s">
        <v>994</v>
      </c>
      <c r="I48" t="s">
        <v>995</v>
      </c>
      <c r="J48">
        <v>155</v>
      </c>
      <c r="K48" t="s">
        <v>531</v>
      </c>
      <c r="M48" t="s">
        <v>996</v>
      </c>
      <c r="N48" t="s">
        <v>369</v>
      </c>
      <c r="O48" t="s">
        <v>533</v>
      </c>
      <c r="P48" t="s">
        <v>997</v>
      </c>
      <c r="R48" t="s">
        <v>370</v>
      </c>
      <c r="T48" t="s">
        <v>622</v>
      </c>
      <c r="U48" t="s">
        <v>177</v>
      </c>
      <c r="V48" t="s">
        <v>539</v>
      </c>
      <c r="W48" t="s">
        <v>998</v>
      </c>
      <c r="X48" t="s">
        <v>999</v>
      </c>
      <c r="Z48" t="s">
        <v>378</v>
      </c>
      <c r="AA48" t="s">
        <v>68</v>
      </c>
      <c r="AB48" t="s">
        <v>1000</v>
      </c>
      <c r="AE48" t="s">
        <v>508</v>
      </c>
      <c r="AI48" t="s">
        <v>383</v>
      </c>
      <c r="AM48" t="s">
        <v>602</v>
      </c>
      <c r="AN48" t="s">
        <v>1001</v>
      </c>
      <c r="AP48" t="s">
        <v>1002</v>
      </c>
      <c r="AQ48" t="s">
        <v>387</v>
      </c>
      <c r="AR48" t="s">
        <v>542</v>
      </c>
      <c r="AS48" t="s">
        <v>543</v>
      </c>
      <c r="AU48" t="s">
        <v>389</v>
      </c>
      <c r="AV48" t="s">
        <v>1003</v>
      </c>
      <c r="AW48" t="s">
        <v>1004</v>
      </c>
      <c r="AX48" t="s">
        <v>546</v>
      </c>
      <c r="AY48" t="s">
        <v>547</v>
      </c>
      <c r="AZ48" t="s">
        <v>1005</v>
      </c>
      <c r="BA48" t="s">
        <v>533</v>
      </c>
      <c r="BB48" t="s">
        <v>542</v>
      </c>
      <c r="BC48" t="s">
        <v>549</v>
      </c>
      <c r="BD48" t="s">
        <v>383</v>
      </c>
      <c r="BE48" t="s">
        <v>1006</v>
      </c>
      <c r="BF48" t="s">
        <v>1007</v>
      </c>
      <c r="BG48" t="s">
        <v>395</v>
      </c>
      <c r="BJ48" t="s">
        <v>1008</v>
      </c>
      <c r="BK48" t="s">
        <v>1007</v>
      </c>
      <c r="BL48" t="s">
        <v>552</v>
      </c>
      <c r="BM48" t="s">
        <v>1009</v>
      </c>
      <c r="BN48" t="s">
        <v>554</v>
      </c>
      <c r="BR48" t="s">
        <v>905</v>
      </c>
      <c r="BS48" t="s">
        <v>395</v>
      </c>
      <c r="BT48" t="s">
        <v>905</v>
      </c>
      <c r="BZ48" t="s">
        <v>404</v>
      </c>
      <c r="CA48" t="s">
        <v>1010</v>
      </c>
      <c r="CC48" t="s">
        <v>406</v>
      </c>
      <c r="CD48" t="s">
        <v>618</v>
      </c>
      <c r="CF48" t="s">
        <v>995</v>
      </c>
      <c r="CG48" t="s">
        <v>558</v>
      </c>
      <c r="CH48" t="s">
        <v>383</v>
      </c>
      <c r="CI48" t="s">
        <v>430</v>
      </c>
      <c r="CJ48" t="s">
        <v>559</v>
      </c>
      <c r="CK48" t="s">
        <v>991</v>
      </c>
      <c r="CN48" t="s">
        <v>1011</v>
      </c>
      <c r="CO48" t="s">
        <v>560</v>
      </c>
      <c r="CP48" t="s">
        <v>1012</v>
      </c>
      <c r="CQ48" t="s">
        <v>1013</v>
      </c>
      <c r="CR48" t="s">
        <v>1014</v>
      </c>
      <c r="CS48" t="s">
        <v>1015</v>
      </c>
      <c r="CT48" t="s">
        <v>1016</v>
      </c>
      <c r="CU48" t="s">
        <v>1017</v>
      </c>
      <c r="CV48" t="s">
        <v>567</v>
      </c>
      <c r="CW48" t="s">
        <v>388</v>
      </c>
      <c r="CX48" t="s">
        <v>417</v>
      </c>
      <c r="CY48" t="s">
        <v>568</v>
      </c>
      <c r="CZ48" t="s">
        <v>569</v>
      </c>
      <c r="DA48" t="s">
        <v>418</v>
      </c>
      <c r="DB48" t="s">
        <v>570</v>
      </c>
      <c r="DC48" t="s">
        <v>419</v>
      </c>
      <c r="DD48" t="s">
        <v>571</v>
      </c>
      <c r="DF48" t="s">
        <v>421</v>
      </c>
      <c r="DG48" t="s">
        <v>1018</v>
      </c>
      <c r="DH48" t="s">
        <v>1019</v>
      </c>
      <c r="DI48" t="s">
        <v>1019</v>
      </c>
      <c r="DJ48" t="s">
        <v>1019</v>
      </c>
      <c r="DK48" t="s">
        <v>1019</v>
      </c>
      <c r="DL48" t="s">
        <v>426</v>
      </c>
      <c r="DN48" t="s">
        <v>395</v>
      </c>
      <c r="DO48" t="s">
        <v>993</v>
      </c>
      <c r="DP48" t="s">
        <v>395</v>
      </c>
      <c r="DQ48" t="s">
        <v>395</v>
      </c>
      <c r="DR48" t="s">
        <v>395</v>
      </c>
      <c r="DS48" t="s">
        <v>1020</v>
      </c>
      <c r="DT48" t="s">
        <v>905</v>
      </c>
      <c r="DU48" t="s">
        <v>905</v>
      </c>
      <c r="DV48" t="s">
        <v>905</v>
      </c>
      <c r="EB48" t="s">
        <v>395</v>
      </c>
      <c r="EC48" t="s">
        <v>401</v>
      </c>
      <c r="ED48" t="s">
        <v>905</v>
      </c>
      <c r="EE48" t="s">
        <v>573</v>
      </c>
      <c r="EF48" t="s">
        <v>492</v>
      </c>
      <c r="EG48" t="s">
        <v>429</v>
      </c>
      <c r="EH48" t="s">
        <v>430</v>
      </c>
      <c r="EI48" t="s">
        <v>431</v>
      </c>
      <c r="EJ48" t="s">
        <v>429</v>
      </c>
      <c r="EK48" t="s">
        <v>429</v>
      </c>
      <c r="EL48" t="s">
        <v>430</v>
      </c>
      <c r="EM48" t="s">
        <v>431</v>
      </c>
      <c r="EU48" t="s">
        <v>401</v>
      </c>
      <c r="EW48" t="s">
        <v>432</v>
      </c>
      <c r="FA48" t="s">
        <v>404</v>
      </c>
      <c r="FB48" t="s">
        <v>26</v>
      </c>
    </row>
    <row r="49" spans="1:158">
      <c r="A49">
        <v>135</v>
      </c>
      <c r="B49" t="s">
        <v>157</v>
      </c>
      <c r="C49" t="s">
        <v>1021</v>
      </c>
      <c r="D49" t="s">
        <v>1022</v>
      </c>
      <c r="E49">
        <v>1</v>
      </c>
      <c r="F49" t="s">
        <v>1023</v>
      </c>
      <c r="G49" t="s">
        <v>1024</v>
      </c>
      <c r="H49" t="s">
        <v>1025</v>
      </c>
      <c r="I49" t="s">
        <v>1026</v>
      </c>
      <c r="J49">
        <v>135</v>
      </c>
      <c r="K49" t="s">
        <v>531</v>
      </c>
      <c r="O49" t="s">
        <v>533</v>
      </c>
      <c r="R49" t="s">
        <v>370</v>
      </c>
      <c r="T49" t="s">
        <v>383</v>
      </c>
      <c r="V49" t="s">
        <v>383</v>
      </c>
      <c r="X49" t="s">
        <v>1027</v>
      </c>
      <c r="Z49" t="s">
        <v>926</v>
      </c>
      <c r="AA49" t="s">
        <v>158</v>
      </c>
      <c r="AB49" t="s">
        <v>1028</v>
      </c>
      <c r="AF49" t="s">
        <v>653</v>
      </c>
      <c r="AG49" t="s">
        <v>654</v>
      </c>
      <c r="AH49" t="s">
        <v>1029</v>
      </c>
      <c r="AI49" t="s">
        <v>1030</v>
      </c>
      <c r="AJ49" t="s">
        <v>177</v>
      </c>
      <c r="AK49" t="s">
        <v>1031</v>
      </c>
      <c r="AL49" t="s">
        <v>1029</v>
      </c>
      <c r="AM49" t="s">
        <v>764</v>
      </c>
      <c r="AN49" t="s">
        <v>1032</v>
      </c>
      <c r="AQ49" t="s">
        <v>689</v>
      </c>
      <c r="AS49" t="s">
        <v>388</v>
      </c>
      <c r="AT49" t="s">
        <v>660</v>
      </c>
      <c r="AU49" t="s">
        <v>444</v>
      </c>
      <c r="AY49" t="s">
        <v>547</v>
      </c>
      <c r="AZ49" t="s">
        <v>395</v>
      </c>
      <c r="BB49" t="s">
        <v>664</v>
      </c>
      <c r="BC49" t="s">
        <v>549</v>
      </c>
      <c r="BD49" t="s">
        <v>383</v>
      </c>
      <c r="BF49" t="s">
        <v>489</v>
      </c>
      <c r="BG49" t="s">
        <v>395</v>
      </c>
      <c r="BH49" t="s">
        <v>666</v>
      </c>
      <c r="BI49" t="s">
        <v>1033</v>
      </c>
      <c r="BK49" t="s">
        <v>489</v>
      </c>
      <c r="BM49" t="s">
        <v>1034</v>
      </c>
      <c r="BN49" t="s">
        <v>554</v>
      </c>
      <c r="BR49" t="s">
        <v>491</v>
      </c>
      <c r="BS49" t="s">
        <v>395</v>
      </c>
      <c r="BT49" t="s">
        <v>441</v>
      </c>
      <c r="CA49" t="s">
        <v>1035</v>
      </c>
      <c r="CC49" t="s">
        <v>406</v>
      </c>
      <c r="CD49" t="s">
        <v>395</v>
      </c>
      <c r="CF49" t="s">
        <v>1026</v>
      </c>
      <c r="CG49" t="s">
        <v>695</v>
      </c>
      <c r="CH49" t="s">
        <v>383</v>
      </c>
      <c r="CI49" t="s">
        <v>430</v>
      </c>
      <c r="CJ49" t="s">
        <v>559</v>
      </c>
      <c r="CK49" t="s">
        <v>1021</v>
      </c>
      <c r="CO49" t="s">
        <v>1036</v>
      </c>
      <c r="CP49" t="s">
        <v>1037</v>
      </c>
      <c r="CQ49" t="s">
        <v>1038</v>
      </c>
      <c r="CR49" t="s">
        <v>1039</v>
      </c>
      <c r="CT49" t="s">
        <v>1040</v>
      </c>
      <c r="CU49" t="s">
        <v>1041</v>
      </c>
      <c r="CV49" t="s">
        <v>416</v>
      </c>
      <c r="CW49" t="s">
        <v>388</v>
      </c>
      <c r="CX49" t="s">
        <v>777</v>
      </c>
      <c r="CY49" t="s">
        <v>568</v>
      </c>
      <c r="CZ49" t="s">
        <v>569</v>
      </c>
      <c r="DA49" t="s">
        <v>806</v>
      </c>
      <c r="DB49" t="s">
        <v>1042</v>
      </c>
      <c r="DC49" t="s">
        <v>905</v>
      </c>
      <c r="DL49" t="s">
        <v>1043</v>
      </c>
      <c r="DN49" t="s">
        <v>395</v>
      </c>
      <c r="DO49" t="s">
        <v>1024</v>
      </c>
      <c r="DP49" t="s">
        <v>395</v>
      </c>
      <c r="DQ49" t="s">
        <v>395</v>
      </c>
      <c r="DR49" t="s">
        <v>395</v>
      </c>
      <c r="DS49" t="s">
        <v>1044</v>
      </c>
      <c r="DT49" t="s">
        <v>491</v>
      </c>
      <c r="DU49" t="s">
        <v>491</v>
      </c>
      <c r="EC49" t="s">
        <v>395</v>
      </c>
      <c r="ED49" t="s">
        <v>491</v>
      </c>
      <c r="EE49" t="s">
        <v>573</v>
      </c>
      <c r="EF49" t="s">
        <v>492</v>
      </c>
      <c r="EG49" t="s">
        <v>429</v>
      </c>
      <c r="EH49" t="s">
        <v>430</v>
      </c>
      <c r="EI49" t="s">
        <v>431</v>
      </c>
      <c r="EJ49" t="s">
        <v>429</v>
      </c>
      <c r="EK49" t="s">
        <v>779</v>
      </c>
      <c r="EL49" t="s">
        <v>430</v>
      </c>
      <c r="EM49" t="s">
        <v>431</v>
      </c>
      <c r="EW49" t="s">
        <v>444</v>
      </c>
      <c r="FA49" t="s">
        <v>404</v>
      </c>
      <c r="FB49" t="s">
        <v>26</v>
      </c>
    </row>
    <row r="50" spans="1:158">
      <c r="A50">
        <v>112</v>
      </c>
      <c r="B50" t="s">
        <v>1045</v>
      </c>
      <c r="C50" t="s">
        <v>1046</v>
      </c>
      <c r="D50" t="s">
        <v>362</v>
      </c>
      <c r="E50">
        <v>0</v>
      </c>
      <c r="G50" t="s">
        <v>362</v>
      </c>
      <c r="H50" t="s">
        <v>362</v>
      </c>
      <c r="I50" t="s">
        <v>362</v>
      </c>
      <c r="J50">
        <v>112</v>
      </c>
      <c r="O50" t="s">
        <v>441</v>
      </c>
      <c r="R50" t="s">
        <v>1047</v>
      </c>
      <c r="AU50" t="s">
        <v>471</v>
      </c>
      <c r="BF50" t="s">
        <v>395</v>
      </c>
      <c r="CC50" t="s">
        <v>406</v>
      </c>
      <c r="CI50" t="s">
        <v>404</v>
      </c>
      <c r="CO50" t="s">
        <v>1048</v>
      </c>
      <c r="DT50" t="s">
        <v>395</v>
      </c>
      <c r="EF50" t="s">
        <v>492</v>
      </c>
      <c r="EG50" t="s">
        <v>492</v>
      </c>
      <c r="EK50" t="s">
        <v>492</v>
      </c>
      <c r="FA50" t="s">
        <v>404</v>
      </c>
    </row>
    <row r="51" spans="1:158">
      <c r="A51">
        <v>55</v>
      </c>
      <c r="B51" t="s">
        <v>1049</v>
      </c>
      <c r="C51" t="s">
        <v>1050</v>
      </c>
      <c r="D51" t="s">
        <v>362</v>
      </c>
      <c r="E51">
        <v>0</v>
      </c>
      <c r="F51" t="s">
        <v>837</v>
      </c>
      <c r="G51" t="s">
        <v>751</v>
      </c>
      <c r="H51" t="s">
        <v>743</v>
      </c>
      <c r="I51" t="s">
        <v>579</v>
      </c>
      <c r="J51">
        <v>55</v>
      </c>
      <c r="O51" t="s">
        <v>441</v>
      </c>
      <c r="R51" t="s">
        <v>442</v>
      </c>
      <c r="CC51" t="s">
        <v>406</v>
      </c>
      <c r="FA51" t="s">
        <v>404</v>
      </c>
    </row>
    <row r="52" spans="1:158">
      <c r="A52">
        <v>98</v>
      </c>
      <c r="B52" t="s">
        <v>1051</v>
      </c>
      <c r="C52" t="s">
        <v>1052</v>
      </c>
      <c r="D52" t="s">
        <v>362</v>
      </c>
      <c r="E52">
        <v>1</v>
      </c>
      <c r="F52" t="s">
        <v>837</v>
      </c>
      <c r="G52" t="s">
        <v>751</v>
      </c>
      <c r="H52" t="s">
        <v>743</v>
      </c>
      <c r="I52" t="s">
        <v>579</v>
      </c>
      <c r="J52">
        <v>98</v>
      </c>
      <c r="O52" t="s">
        <v>441</v>
      </c>
      <c r="R52" t="s">
        <v>484</v>
      </c>
      <c r="AU52" t="s">
        <v>825</v>
      </c>
      <c r="BF52" t="s">
        <v>395</v>
      </c>
      <c r="CC52" t="s">
        <v>406</v>
      </c>
      <c r="CI52" t="s">
        <v>404</v>
      </c>
      <c r="CO52" t="s">
        <v>1053</v>
      </c>
      <c r="DT52" t="s">
        <v>1054</v>
      </c>
      <c r="EF52" t="s">
        <v>492</v>
      </c>
      <c r="EG52" t="s">
        <v>429</v>
      </c>
      <c r="EK52" t="s">
        <v>492</v>
      </c>
      <c r="FA52" t="s">
        <v>404</v>
      </c>
    </row>
    <row r="53" spans="1:158">
      <c r="A53">
        <v>144</v>
      </c>
      <c r="B53" t="s">
        <v>149</v>
      </c>
      <c r="C53" t="s">
        <v>1055</v>
      </c>
      <c r="D53" t="s">
        <v>1055</v>
      </c>
      <c r="E53">
        <v>1</v>
      </c>
      <c r="F53" t="s">
        <v>1056</v>
      </c>
      <c r="G53" t="s">
        <v>1057</v>
      </c>
      <c r="H53" t="s">
        <v>1058</v>
      </c>
      <c r="I53" t="s">
        <v>1059</v>
      </c>
      <c r="J53">
        <v>144</v>
      </c>
      <c r="K53" t="s">
        <v>531</v>
      </c>
      <c r="O53" t="s">
        <v>533</v>
      </c>
      <c r="R53" t="s">
        <v>370</v>
      </c>
      <c r="T53" t="s">
        <v>383</v>
      </c>
      <c r="V53" t="s">
        <v>1060</v>
      </c>
      <c r="Z53" t="s">
        <v>378</v>
      </c>
      <c r="AA53" t="s">
        <v>150</v>
      </c>
      <c r="AB53" t="s">
        <v>1061</v>
      </c>
      <c r="AI53" t="s">
        <v>1062</v>
      </c>
      <c r="AM53" t="s">
        <v>764</v>
      </c>
      <c r="AN53" t="s">
        <v>1063</v>
      </c>
      <c r="AQ53" t="s">
        <v>1064</v>
      </c>
      <c r="AR53" t="s">
        <v>542</v>
      </c>
      <c r="AS53" t="s">
        <v>1065</v>
      </c>
      <c r="AU53" t="s">
        <v>1066</v>
      </c>
      <c r="AY53" t="s">
        <v>547</v>
      </c>
      <c r="AZ53" t="s">
        <v>395</v>
      </c>
      <c r="BB53" t="s">
        <v>542</v>
      </c>
      <c r="BC53" t="s">
        <v>549</v>
      </c>
      <c r="BD53" t="s">
        <v>1067</v>
      </c>
      <c r="BF53" t="s">
        <v>1068</v>
      </c>
      <c r="BG53" t="s">
        <v>395</v>
      </c>
      <c r="BK53" t="s">
        <v>1068</v>
      </c>
      <c r="BN53" t="s">
        <v>554</v>
      </c>
      <c r="BR53" t="s">
        <v>1069</v>
      </c>
      <c r="BS53" t="s">
        <v>395</v>
      </c>
      <c r="BT53" t="s">
        <v>1070</v>
      </c>
      <c r="CA53" t="s">
        <v>1071</v>
      </c>
      <c r="CC53" t="s">
        <v>406</v>
      </c>
      <c r="CD53" t="s">
        <v>395</v>
      </c>
      <c r="CF53" t="s">
        <v>1059</v>
      </c>
      <c r="CG53" t="s">
        <v>558</v>
      </c>
      <c r="CH53" t="s">
        <v>383</v>
      </c>
      <c r="CI53" t="s">
        <v>430</v>
      </c>
      <c r="CJ53" t="s">
        <v>559</v>
      </c>
      <c r="CK53" t="s">
        <v>1055</v>
      </c>
      <c r="CO53" t="s">
        <v>1072</v>
      </c>
      <c r="CP53" t="s">
        <v>383</v>
      </c>
      <c r="CQ53" t="s">
        <v>1073</v>
      </c>
      <c r="CR53" t="s">
        <v>1074</v>
      </c>
      <c r="CT53" t="s">
        <v>1075</v>
      </c>
      <c r="CU53" t="s">
        <v>1076</v>
      </c>
      <c r="CV53" t="s">
        <v>1077</v>
      </c>
      <c r="CW53" t="s">
        <v>388</v>
      </c>
      <c r="CX53" t="s">
        <v>626</v>
      </c>
      <c r="CY53" t="s">
        <v>568</v>
      </c>
      <c r="CZ53" t="s">
        <v>569</v>
      </c>
      <c r="DA53" t="s">
        <v>1078</v>
      </c>
      <c r="DB53" t="s">
        <v>1079</v>
      </c>
      <c r="DC53" t="s">
        <v>419</v>
      </c>
      <c r="DD53" t="s">
        <v>571</v>
      </c>
      <c r="DL53" t="s">
        <v>426</v>
      </c>
      <c r="DN53" t="s">
        <v>395</v>
      </c>
      <c r="DO53" t="s">
        <v>1057</v>
      </c>
      <c r="DP53" t="s">
        <v>395</v>
      </c>
      <c r="DQ53" t="s">
        <v>395</v>
      </c>
      <c r="DR53" t="s">
        <v>395</v>
      </c>
      <c r="DS53" t="s">
        <v>1080</v>
      </c>
      <c r="DT53" t="s">
        <v>1081</v>
      </c>
      <c r="DU53" t="s">
        <v>1081</v>
      </c>
      <c r="DV53" t="s">
        <v>1081</v>
      </c>
      <c r="EB53" t="s">
        <v>395</v>
      </c>
      <c r="EC53" t="s">
        <v>395</v>
      </c>
      <c r="ED53" t="s">
        <v>1081</v>
      </c>
      <c r="EE53" t="s">
        <v>573</v>
      </c>
      <c r="EF53" t="s">
        <v>492</v>
      </c>
      <c r="EG53" t="s">
        <v>492</v>
      </c>
      <c r="EH53" t="s">
        <v>430</v>
      </c>
      <c r="EI53" t="s">
        <v>431</v>
      </c>
      <c r="EJ53" t="s">
        <v>780</v>
      </c>
      <c r="EK53" t="s">
        <v>492</v>
      </c>
      <c r="EL53" t="s">
        <v>430</v>
      </c>
      <c r="EM53" t="s">
        <v>431</v>
      </c>
      <c r="EW53" t="s">
        <v>444</v>
      </c>
      <c r="FA53" t="s">
        <v>404</v>
      </c>
      <c r="FB53" t="s">
        <v>26</v>
      </c>
    </row>
    <row r="54" spans="1:158">
      <c r="A54">
        <v>167</v>
      </c>
      <c r="B54" t="s">
        <v>77</v>
      </c>
      <c r="C54" t="s">
        <v>1082</v>
      </c>
      <c r="D54" t="s">
        <v>1082</v>
      </c>
      <c r="E54">
        <v>1</v>
      </c>
      <c r="F54" t="s">
        <v>1083</v>
      </c>
      <c r="G54" t="s">
        <v>1084</v>
      </c>
      <c r="H54" t="s">
        <v>1085</v>
      </c>
      <c r="I54" t="s">
        <v>1086</v>
      </c>
      <c r="J54">
        <v>167</v>
      </c>
      <c r="K54" t="s">
        <v>531</v>
      </c>
      <c r="M54" t="s">
        <v>1087</v>
      </c>
      <c r="N54" t="s">
        <v>369</v>
      </c>
      <c r="O54" t="s">
        <v>533</v>
      </c>
      <c r="P54" t="s">
        <v>855</v>
      </c>
      <c r="R54" t="s">
        <v>370</v>
      </c>
      <c r="T54" t="s">
        <v>383</v>
      </c>
      <c r="U54" t="s">
        <v>177</v>
      </c>
      <c r="V54" t="s">
        <v>1088</v>
      </c>
      <c r="W54" t="s">
        <v>1089</v>
      </c>
      <c r="X54" t="s">
        <v>1090</v>
      </c>
      <c r="Z54" t="s">
        <v>378</v>
      </c>
      <c r="AA54" t="s">
        <v>1082</v>
      </c>
      <c r="AB54" t="s">
        <v>1091</v>
      </c>
      <c r="AE54" t="s">
        <v>508</v>
      </c>
      <c r="AI54" t="s">
        <v>383</v>
      </c>
      <c r="AM54" t="s">
        <v>1092</v>
      </c>
      <c r="AN54" t="s">
        <v>1093</v>
      </c>
      <c r="AP54" t="s">
        <v>1094</v>
      </c>
      <c r="AQ54" t="s">
        <v>689</v>
      </c>
      <c r="AS54" t="s">
        <v>543</v>
      </c>
      <c r="AU54" t="s">
        <v>389</v>
      </c>
      <c r="AV54" t="s">
        <v>1095</v>
      </c>
      <c r="AW54" t="s">
        <v>1096</v>
      </c>
      <c r="AX54" t="s">
        <v>546</v>
      </c>
      <c r="AY54" t="s">
        <v>547</v>
      </c>
      <c r="AZ54" t="s">
        <v>1097</v>
      </c>
      <c r="BB54" t="s">
        <v>542</v>
      </c>
      <c r="BC54" t="s">
        <v>549</v>
      </c>
      <c r="BD54" t="s">
        <v>383</v>
      </c>
      <c r="BE54" t="s">
        <v>1098</v>
      </c>
      <c r="BF54" t="s">
        <v>1099</v>
      </c>
      <c r="BG54" t="s">
        <v>395</v>
      </c>
      <c r="BK54" t="s">
        <v>1099</v>
      </c>
      <c r="BL54" t="s">
        <v>1100</v>
      </c>
      <c r="BM54" t="s">
        <v>1101</v>
      </c>
      <c r="BR54" t="s">
        <v>1081</v>
      </c>
      <c r="BS54" t="s">
        <v>395</v>
      </c>
      <c r="BU54" t="s">
        <v>1102</v>
      </c>
      <c r="BZ54" t="s">
        <v>404</v>
      </c>
      <c r="CA54" t="s">
        <v>1103</v>
      </c>
      <c r="CC54" t="s">
        <v>406</v>
      </c>
      <c r="CD54" t="s">
        <v>1104</v>
      </c>
      <c r="CF54" t="s">
        <v>1086</v>
      </c>
      <c r="CG54" t="s">
        <v>558</v>
      </c>
      <c r="CH54" t="s">
        <v>1105</v>
      </c>
      <c r="CI54" t="s">
        <v>430</v>
      </c>
      <c r="CJ54" t="s">
        <v>559</v>
      </c>
      <c r="CK54" t="s">
        <v>1082</v>
      </c>
      <c r="CO54" t="s">
        <v>1106</v>
      </c>
      <c r="CP54" t="s">
        <v>1107</v>
      </c>
      <c r="CQ54" t="s">
        <v>1108</v>
      </c>
      <c r="CR54" t="s">
        <v>1109</v>
      </c>
      <c r="CS54" t="s">
        <v>1110</v>
      </c>
      <c r="CT54" t="s">
        <v>1111</v>
      </c>
      <c r="CU54" t="s">
        <v>1112</v>
      </c>
      <c r="CV54" t="s">
        <v>567</v>
      </c>
      <c r="CW54" t="s">
        <v>388</v>
      </c>
      <c r="CX54" t="s">
        <v>777</v>
      </c>
      <c r="CY54" t="s">
        <v>568</v>
      </c>
      <c r="DA54" t="s">
        <v>418</v>
      </c>
      <c r="DB54" t="s">
        <v>570</v>
      </c>
      <c r="DC54" t="s">
        <v>419</v>
      </c>
      <c r="DF54" t="s">
        <v>421</v>
      </c>
      <c r="DH54" t="s">
        <v>1113</v>
      </c>
      <c r="DI54" t="s">
        <v>1114</v>
      </c>
      <c r="DJ54" t="s">
        <v>1115</v>
      </c>
      <c r="DK54" t="s">
        <v>1116</v>
      </c>
      <c r="DL54" t="s">
        <v>426</v>
      </c>
      <c r="DN54" t="s">
        <v>395</v>
      </c>
      <c r="DO54" t="s">
        <v>1117</v>
      </c>
      <c r="DP54" t="s">
        <v>395</v>
      </c>
      <c r="DQ54" t="s">
        <v>395</v>
      </c>
      <c r="DR54" t="s">
        <v>395</v>
      </c>
      <c r="DS54" t="s">
        <v>1118</v>
      </c>
      <c r="DT54" t="s">
        <v>703</v>
      </c>
      <c r="DU54" t="s">
        <v>703</v>
      </c>
      <c r="DV54" t="s">
        <v>703</v>
      </c>
      <c r="DW54" t="s">
        <v>1102</v>
      </c>
      <c r="EB54" t="s">
        <v>395</v>
      </c>
      <c r="EC54" t="s">
        <v>395</v>
      </c>
      <c r="ED54" t="s">
        <v>703</v>
      </c>
      <c r="EE54" t="s">
        <v>573</v>
      </c>
      <c r="EF54" t="s">
        <v>492</v>
      </c>
      <c r="EG54" t="s">
        <v>492</v>
      </c>
      <c r="EH54" t="s">
        <v>430</v>
      </c>
      <c r="EI54" t="s">
        <v>431</v>
      </c>
      <c r="EJ54" t="s">
        <v>429</v>
      </c>
      <c r="EK54" t="s">
        <v>492</v>
      </c>
      <c r="EL54" t="s">
        <v>430</v>
      </c>
      <c r="EM54" t="s">
        <v>431</v>
      </c>
      <c r="EQ54" t="s">
        <v>1119</v>
      </c>
      <c r="EW54" t="s">
        <v>432</v>
      </c>
      <c r="FA54" t="s">
        <v>404</v>
      </c>
      <c r="FB54" t="s">
        <v>26</v>
      </c>
    </row>
    <row r="55" spans="1:158">
      <c r="A55">
        <v>184</v>
      </c>
      <c r="B55" t="s">
        <v>41</v>
      </c>
      <c r="C55" t="s">
        <v>42</v>
      </c>
      <c r="D55" t="s">
        <v>1120</v>
      </c>
      <c r="E55">
        <v>1</v>
      </c>
      <c r="F55" t="s">
        <v>1121</v>
      </c>
      <c r="G55" t="s">
        <v>1122</v>
      </c>
      <c r="H55" t="s">
        <v>42</v>
      </c>
      <c r="I55" t="s">
        <v>1123</v>
      </c>
      <c r="J55">
        <v>184</v>
      </c>
      <c r="K55" t="s">
        <v>884</v>
      </c>
      <c r="L55" t="s">
        <v>1124</v>
      </c>
      <c r="M55" t="s">
        <v>1125</v>
      </c>
      <c r="N55" t="s">
        <v>1126</v>
      </c>
      <c r="O55" t="s">
        <v>533</v>
      </c>
      <c r="P55" t="s">
        <v>1127</v>
      </c>
      <c r="R55" t="s">
        <v>370</v>
      </c>
      <c r="T55" t="s">
        <v>1128</v>
      </c>
      <c r="U55" t="s">
        <v>373</v>
      </c>
      <c r="V55" t="s">
        <v>1129</v>
      </c>
      <c r="W55" t="s">
        <v>1130</v>
      </c>
      <c r="X55" t="s">
        <v>1131</v>
      </c>
      <c r="Z55" t="s">
        <v>926</v>
      </c>
      <c r="AA55" t="s">
        <v>42</v>
      </c>
      <c r="AB55" t="s">
        <v>1132</v>
      </c>
      <c r="AD55" t="s">
        <v>1133</v>
      </c>
      <c r="AE55" t="s">
        <v>508</v>
      </c>
      <c r="AI55" t="s">
        <v>1134</v>
      </c>
      <c r="AM55" t="s">
        <v>1135</v>
      </c>
      <c r="AN55" t="s">
        <v>1136</v>
      </c>
      <c r="AP55" t="s">
        <v>1137</v>
      </c>
      <c r="AQ55" t="s">
        <v>387</v>
      </c>
      <c r="AS55" t="s">
        <v>1138</v>
      </c>
      <c r="AU55" t="s">
        <v>1139</v>
      </c>
      <c r="AV55" t="s">
        <v>1140</v>
      </c>
      <c r="AW55" t="s">
        <v>1141</v>
      </c>
      <c r="AX55" t="s">
        <v>1142</v>
      </c>
      <c r="AY55" t="s">
        <v>547</v>
      </c>
      <c r="AZ55" t="s">
        <v>395</v>
      </c>
      <c r="BC55" t="s">
        <v>549</v>
      </c>
      <c r="BD55" t="s">
        <v>1143</v>
      </c>
      <c r="BE55" t="s">
        <v>1144</v>
      </c>
      <c r="BF55" t="s">
        <v>371</v>
      </c>
      <c r="BG55" t="s">
        <v>395</v>
      </c>
      <c r="BK55" t="s">
        <v>371</v>
      </c>
      <c r="BL55" t="s">
        <v>1145</v>
      </c>
      <c r="BM55" t="s">
        <v>1146</v>
      </c>
      <c r="BR55" t="s">
        <v>1147</v>
      </c>
      <c r="BS55" t="s">
        <v>395</v>
      </c>
      <c r="BZ55" t="s">
        <v>404</v>
      </c>
      <c r="CA55" t="s">
        <v>1148</v>
      </c>
      <c r="CC55" t="s">
        <v>406</v>
      </c>
      <c r="CD55" t="s">
        <v>395</v>
      </c>
      <c r="CE55" t="s">
        <v>1149</v>
      </c>
      <c r="CF55" t="s">
        <v>1123</v>
      </c>
      <c r="CG55" t="s">
        <v>558</v>
      </c>
      <c r="CH55" t="s">
        <v>1150</v>
      </c>
      <c r="CI55" t="s">
        <v>430</v>
      </c>
      <c r="CJ55" t="s">
        <v>559</v>
      </c>
      <c r="CK55" t="s">
        <v>1151</v>
      </c>
      <c r="CO55" t="s">
        <v>1152</v>
      </c>
      <c r="CP55" t="s">
        <v>1153</v>
      </c>
      <c r="CQ55" t="s">
        <v>1154</v>
      </c>
      <c r="CR55" t="s">
        <v>1155</v>
      </c>
      <c r="CT55" t="s">
        <v>1156</v>
      </c>
      <c r="CU55" t="s">
        <v>1157</v>
      </c>
      <c r="CV55" t="s">
        <v>1158</v>
      </c>
      <c r="CW55" t="s">
        <v>1159</v>
      </c>
      <c r="CX55" t="s">
        <v>840</v>
      </c>
      <c r="CY55" t="s">
        <v>568</v>
      </c>
      <c r="DA55" t="s">
        <v>418</v>
      </c>
      <c r="DB55" t="s">
        <v>946</v>
      </c>
      <c r="DC55" t="s">
        <v>905</v>
      </c>
      <c r="DF55" t="s">
        <v>628</v>
      </c>
      <c r="DH55" t="s">
        <v>1160</v>
      </c>
      <c r="DI55" t="s">
        <v>1161</v>
      </c>
      <c r="DJ55" t="s">
        <v>1162</v>
      </c>
      <c r="DK55" t="s">
        <v>1163</v>
      </c>
      <c r="DL55" t="s">
        <v>1164</v>
      </c>
      <c r="DN55" t="s">
        <v>395</v>
      </c>
      <c r="DO55" t="s">
        <v>1122</v>
      </c>
      <c r="DP55" t="s">
        <v>395</v>
      </c>
      <c r="DQ55" t="s">
        <v>395</v>
      </c>
      <c r="DR55" t="s">
        <v>395</v>
      </c>
      <c r="DS55" t="s">
        <v>1165</v>
      </c>
      <c r="DT55" t="s">
        <v>1166</v>
      </c>
      <c r="DU55" t="s">
        <v>1166</v>
      </c>
      <c r="DV55" t="s">
        <v>1166</v>
      </c>
      <c r="DW55" t="s">
        <v>614</v>
      </c>
      <c r="EB55" t="s">
        <v>395</v>
      </c>
      <c r="EC55" t="s">
        <v>395</v>
      </c>
      <c r="ED55" t="s">
        <v>1166</v>
      </c>
      <c r="EE55" t="s">
        <v>573</v>
      </c>
      <c r="EF55" t="s">
        <v>492</v>
      </c>
      <c r="EG55" t="s">
        <v>429</v>
      </c>
      <c r="EH55" t="s">
        <v>430</v>
      </c>
      <c r="EI55" t="s">
        <v>431</v>
      </c>
      <c r="EJ55" t="s">
        <v>429</v>
      </c>
      <c r="EK55" t="s">
        <v>429</v>
      </c>
      <c r="EL55" t="s">
        <v>430</v>
      </c>
      <c r="EM55" t="s">
        <v>431</v>
      </c>
      <c r="EQ55" t="s">
        <v>399</v>
      </c>
      <c r="ER55" t="s">
        <v>614</v>
      </c>
      <c r="EW55" t="s">
        <v>1167</v>
      </c>
      <c r="FA55" t="s">
        <v>404</v>
      </c>
      <c r="FB55" t="s">
        <v>26</v>
      </c>
    </row>
    <row r="56" spans="1:158">
      <c r="A56">
        <v>230</v>
      </c>
      <c r="B56" t="s">
        <v>1168</v>
      </c>
      <c r="C56" t="s">
        <v>955</v>
      </c>
      <c r="D56" t="s">
        <v>955</v>
      </c>
      <c r="E56">
        <v>1</v>
      </c>
      <c r="F56" t="s">
        <v>1169</v>
      </c>
      <c r="G56" t="s">
        <v>364</v>
      </c>
      <c r="H56" t="s">
        <v>365</v>
      </c>
      <c r="I56" t="s">
        <v>362</v>
      </c>
      <c r="J56">
        <v>230</v>
      </c>
      <c r="K56" t="s">
        <v>367</v>
      </c>
      <c r="O56" t="s">
        <v>533</v>
      </c>
      <c r="R56" t="s">
        <v>370</v>
      </c>
      <c r="T56" t="s">
        <v>602</v>
      </c>
      <c r="V56" t="s">
        <v>1170</v>
      </c>
      <c r="Z56" t="s">
        <v>378</v>
      </c>
      <c r="AA56" t="s">
        <v>379</v>
      </c>
      <c r="AB56" t="s">
        <v>380</v>
      </c>
      <c r="AI56" t="s">
        <v>383</v>
      </c>
      <c r="AM56" t="s">
        <v>1171</v>
      </c>
      <c r="AN56" t="s">
        <v>1172</v>
      </c>
      <c r="AQ56" t="s">
        <v>387</v>
      </c>
      <c r="AS56" t="s">
        <v>1173</v>
      </c>
      <c r="AU56" t="s">
        <v>389</v>
      </c>
      <c r="BB56" t="s">
        <v>542</v>
      </c>
      <c r="BD56" t="s">
        <v>383</v>
      </c>
      <c r="BF56" t="s">
        <v>395</v>
      </c>
      <c r="BG56" t="s">
        <v>395</v>
      </c>
      <c r="BR56" t="s">
        <v>395</v>
      </c>
      <c r="BS56" t="s">
        <v>395</v>
      </c>
      <c r="CA56" t="s">
        <v>1174</v>
      </c>
      <c r="CC56" t="s">
        <v>406</v>
      </c>
      <c r="CF56" t="s">
        <v>366</v>
      </c>
      <c r="CH56" t="s">
        <v>1175</v>
      </c>
      <c r="CI56" t="s">
        <v>430</v>
      </c>
      <c r="CK56" t="s">
        <v>409</v>
      </c>
      <c r="CO56" t="s">
        <v>410</v>
      </c>
      <c r="CP56" t="s">
        <v>1176</v>
      </c>
      <c r="CQ56" t="s">
        <v>1177</v>
      </c>
      <c r="CR56" t="s">
        <v>1178</v>
      </c>
      <c r="CT56" t="s">
        <v>1179</v>
      </c>
      <c r="CU56" t="s">
        <v>1180</v>
      </c>
      <c r="CV56" t="s">
        <v>1181</v>
      </c>
      <c r="CW56" t="s">
        <v>388</v>
      </c>
      <c r="CX56" t="s">
        <v>417</v>
      </c>
      <c r="CY56" t="s">
        <v>26</v>
      </c>
      <c r="DA56" t="s">
        <v>418</v>
      </c>
      <c r="DC56" t="s">
        <v>419</v>
      </c>
      <c r="DL56" t="s">
        <v>426</v>
      </c>
      <c r="DN56" t="s">
        <v>395</v>
      </c>
      <c r="DO56" t="s">
        <v>364</v>
      </c>
      <c r="DP56" t="s">
        <v>399</v>
      </c>
      <c r="DQ56" t="s">
        <v>395</v>
      </c>
      <c r="DR56" t="s">
        <v>614</v>
      </c>
      <c r="DS56" t="s">
        <v>1182</v>
      </c>
      <c r="DT56" t="s">
        <v>402</v>
      </c>
      <c r="DV56" t="s">
        <v>395</v>
      </c>
      <c r="EB56" t="s">
        <v>395</v>
      </c>
      <c r="EC56" t="s">
        <v>395</v>
      </c>
      <c r="EF56" t="s">
        <v>429</v>
      </c>
      <c r="EG56" t="s">
        <v>429</v>
      </c>
      <c r="EI56" t="s">
        <v>431</v>
      </c>
      <c r="EJ56" t="s">
        <v>429</v>
      </c>
      <c r="EK56" t="s">
        <v>429</v>
      </c>
      <c r="EM56" t="s">
        <v>431</v>
      </c>
      <c r="FA56" t="s">
        <v>404</v>
      </c>
      <c r="FB56" t="s">
        <v>433</v>
      </c>
    </row>
    <row r="57" spans="1:158">
      <c r="A57">
        <v>127</v>
      </c>
      <c r="B57" t="s">
        <v>1183</v>
      </c>
      <c r="C57" t="s">
        <v>1184</v>
      </c>
      <c r="D57" t="s">
        <v>1185</v>
      </c>
      <c r="E57">
        <v>1</v>
      </c>
      <c r="F57" t="s">
        <v>1186</v>
      </c>
      <c r="G57" t="s">
        <v>1187</v>
      </c>
      <c r="H57" t="s">
        <v>1188</v>
      </c>
      <c r="I57" t="s">
        <v>1189</v>
      </c>
      <c r="J57">
        <v>127</v>
      </c>
      <c r="O57" t="s">
        <v>441</v>
      </c>
      <c r="R57" t="s">
        <v>370</v>
      </c>
      <c r="X57" t="s">
        <v>1190</v>
      </c>
      <c r="AA57" t="s">
        <v>1191</v>
      </c>
      <c r="AF57" t="s">
        <v>653</v>
      </c>
      <c r="AG57" t="s">
        <v>654</v>
      </c>
      <c r="AH57" t="s">
        <v>655</v>
      </c>
      <c r="AI57" t="s">
        <v>1192</v>
      </c>
      <c r="AJ57" t="s">
        <v>657</v>
      </c>
      <c r="AK57" t="s">
        <v>658</v>
      </c>
      <c r="AL57" t="s">
        <v>655</v>
      </c>
      <c r="AN57" t="s">
        <v>1193</v>
      </c>
      <c r="AT57" t="s">
        <v>660</v>
      </c>
      <c r="AU57" t="s">
        <v>444</v>
      </c>
      <c r="AW57" t="s">
        <v>661</v>
      </c>
      <c r="AX57" t="s">
        <v>662</v>
      </c>
      <c r="AY57" t="s">
        <v>663</v>
      </c>
      <c r="BB57" t="s">
        <v>664</v>
      </c>
      <c r="BF57" t="s">
        <v>1194</v>
      </c>
      <c r="BH57" t="s">
        <v>666</v>
      </c>
      <c r="BI57" t="s">
        <v>667</v>
      </c>
      <c r="BM57" t="s">
        <v>1195</v>
      </c>
      <c r="BN57" t="s">
        <v>554</v>
      </c>
      <c r="BT57" t="s">
        <v>829</v>
      </c>
      <c r="CA57" t="s">
        <v>1196</v>
      </c>
      <c r="CC57" t="s">
        <v>406</v>
      </c>
      <c r="CG57" t="s">
        <v>558</v>
      </c>
      <c r="CI57" t="s">
        <v>404</v>
      </c>
      <c r="CJ57" t="s">
        <v>408</v>
      </c>
      <c r="CO57" t="s">
        <v>671</v>
      </c>
      <c r="CU57" t="s">
        <v>1197</v>
      </c>
      <c r="CX57" t="s">
        <v>673</v>
      </c>
      <c r="CZ57" t="s">
        <v>569</v>
      </c>
      <c r="DS57" t="s">
        <v>1198</v>
      </c>
      <c r="DT57" t="s">
        <v>1199</v>
      </c>
      <c r="EF57" t="s">
        <v>492</v>
      </c>
      <c r="EG57" t="s">
        <v>429</v>
      </c>
      <c r="EH57" t="s">
        <v>430</v>
      </c>
      <c r="EK57" t="s">
        <v>492</v>
      </c>
      <c r="EL57" t="s">
        <v>430</v>
      </c>
      <c r="EW57" t="s">
        <v>444</v>
      </c>
      <c r="FA57" t="s">
        <v>404</v>
      </c>
      <c r="FB57" t="s">
        <v>1200</v>
      </c>
    </row>
    <row r="58" spans="1:158">
      <c r="A58">
        <v>250</v>
      </c>
      <c r="B58" t="s">
        <v>113</v>
      </c>
      <c r="C58" t="s">
        <v>114</v>
      </c>
      <c r="D58" t="s">
        <v>114</v>
      </c>
      <c r="E58">
        <v>1</v>
      </c>
      <c r="F58" t="s">
        <v>1201</v>
      </c>
      <c r="G58" t="s">
        <v>1202</v>
      </c>
      <c r="H58" t="s">
        <v>529</v>
      </c>
      <c r="I58" t="s">
        <v>1203</v>
      </c>
      <c r="J58">
        <v>250</v>
      </c>
      <c r="M58" t="s">
        <v>1204</v>
      </c>
      <c r="N58" t="s">
        <v>369</v>
      </c>
      <c r="R58" t="s">
        <v>480</v>
      </c>
      <c r="T58" t="s">
        <v>395</v>
      </c>
      <c r="V58" t="s">
        <v>395</v>
      </c>
      <c r="X58" t="s">
        <v>1205</v>
      </c>
      <c r="AA58" t="s">
        <v>114</v>
      </c>
      <c r="AB58" t="s">
        <v>538</v>
      </c>
      <c r="AE58" t="s">
        <v>508</v>
      </c>
      <c r="AQ58" t="s">
        <v>387</v>
      </c>
      <c r="AU58" t="s">
        <v>509</v>
      </c>
      <c r="BE58" t="s">
        <v>550</v>
      </c>
      <c r="BF58" t="s">
        <v>1206</v>
      </c>
      <c r="BK58" t="s">
        <v>1207</v>
      </c>
      <c r="BL58" t="s">
        <v>1208</v>
      </c>
      <c r="BZ58" t="s">
        <v>404</v>
      </c>
      <c r="CA58" t="s">
        <v>1209</v>
      </c>
      <c r="CC58" t="s">
        <v>406</v>
      </c>
      <c r="CF58" t="s">
        <v>1203</v>
      </c>
      <c r="CI58" t="s">
        <v>430</v>
      </c>
      <c r="CK58" t="s">
        <v>114</v>
      </c>
      <c r="CO58" t="s">
        <v>1210</v>
      </c>
      <c r="CU58" t="s">
        <v>1211</v>
      </c>
      <c r="CX58" t="s">
        <v>417</v>
      </c>
      <c r="CY58" t="s">
        <v>26</v>
      </c>
      <c r="DH58" t="s">
        <v>404</v>
      </c>
      <c r="DI58" t="s">
        <v>404</v>
      </c>
      <c r="DJ58" t="s">
        <v>1202</v>
      </c>
      <c r="DL58" t="s">
        <v>426</v>
      </c>
      <c r="DO58" t="s">
        <v>1202</v>
      </c>
      <c r="DT58" t="s">
        <v>1212</v>
      </c>
      <c r="EF58" t="s">
        <v>492</v>
      </c>
      <c r="EG58" t="s">
        <v>429</v>
      </c>
      <c r="EI58" t="s">
        <v>639</v>
      </c>
      <c r="EJ58" t="s">
        <v>429</v>
      </c>
      <c r="EK58" t="s">
        <v>429</v>
      </c>
      <c r="EM58" t="s">
        <v>523</v>
      </c>
      <c r="EW58" t="s">
        <v>524</v>
      </c>
      <c r="FA58" t="s">
        <v>404</v>
      </c>
    </row>
    <row r="59" spans="1:158">
      <c r="A59">
        <v>58</v>
      </c>
      <c r="B59" t="s">
        <v>1213</v>
      </c>
      <c r="C59" t="s">
        <v>1214</v>
      </c>
      <c r="D59" t="s">
        <v>1215</v>
      </c>
      <c r="E59">
        <v>1</v>
      </c>
      <c r="F59" t="s">
        <v>1216</v>
      </c>
      <c r="G59" t="s">
        <v>1217</v>
      </c>
      <c r="H59" t="s">
        <v>1218</v>
      </c>
      <c r="I59" t="s">
        <v>1219</v>
      </c>
      <c r="J59">
        <v>58</v>
      </c>
      <c r="O59" t="s">
        <v>441</v>
      </c>
      <c r="R59" t="s">
        <v>442</v>
      </c>
      <c r="AA59" t="s">
        <v>1220</v>
      </c>
      <c r="AU59" t="s">
        <v>444</v>
      </c>
      <c r="CC59" t="s">
        <v>406</v>
      </c>
      <c r="CI59" t="s">
        <v>404</v>
      </c>
      <c r="CJ59" t="s">
        <v>448</v>
      </c>
      <c r="CX59" t="s">
        <v>673</v>
      </c>
      <c r="EH59" t="s">
        <v>430</v>
      </c>
      <c r="EL59" t="s">
        <v>430</v>
      </c>
      <c r="EW59" t="s">
        <v>444</v>
      </c>
      <c r="FA59" t="s">
        <v>404</v>
      </c>
    </row>
    <row r="60" spans="1:158">
      <c r="A60">
        <v>81</v>
      </c>
      <c r="B60" t="s">
        <v>1221</v>
      </c>
      <c r="C60" t="s">
        <v>1222</v>
      </c>
      <c r="D60" t="s">
        <v>362</v>
      </c>
      <c r="E60">
        <v>1</v>
      </c>
      <c r="F60" t="s">
        <v>1023</v>
      </c>
      <c r="G60" t="s">
        <v>1024</v>
      </c>
      <c r="H60" t="s">
        <v>1025</v>
      </c>
      <c r="I60" t="s">
        <v>1026</v>
      </c>
      <c r="J60">
        <v>81</v>
      </c>
      <c r="O60" t="s">
        <v>533</v>
      </c>
      <c r="R60" t="s">
        <v>442</v>
      </c>
      <c r="AA60" t="s">
        <v>158</v>
      </c>
      <c r="AU60" t="s">
        <v>471</v>
      </c>
      <c r="BF60" t="s">
        <v>371</v>
      </c>
      <c r="CC60" t="s">
        <v>406</v>
      </c>
      <c r="CI60" t="s">
        <v>404</v>
      </c>
      <c r="CO60" t="s">
        <v>490</v>
      </c>
      <c r="DT60" t="s">
        <v>491</v>
      </c>
      <c r="EH60" t="s">
        <v>430</v>
      </c>
      <c r="EL60" t="s">
        <v>430</v>
      </c>
      <c r="EW60" t="s">
        <v>471</v>
      </c>
      <c r="FA60" t="s">
        <v>404</v>
      </c>
    </row>
    <row r="61" spans="1:158">
      <c r="A61">
        <v>64</v>
      </c>
      <c r="B61" t="s">
        <v>1223</v>
      </c>
      <c r="C61" t="s">
        <v>1224</v>
      </c>
      <c r="D61" t="s">
        <v>362</v>
      </c>
      <c r="E61">
        <v>1</v>
      </c>
      <c r="F61" t="s">
        <v>1225</v>
      </c>
      <c r="G61" t="s">
        <v>1226</v>
      </c>
      <c r="H61" t="s">
        <v>1227</v>
      </c>
      <c r="I61" t="s">
        <v>1228</v>
      </c>
      <c r="J61">
        <v>64</v>
      </c>
      <c r="O61" t="s">
        <v>441</v>
      </c>
      <c r="R61" t="s">
        <v>370</v>
      </c>
      <c r="X61" t="s">
        <v>1229</v>
      </c>
      <c r="AA61" t="s">
        <v>1230</v>
      </c>
      <c r="AG61" t="s">
        <v>404</v>
      </c>
      <c r="AH61" t="s">
        <v>655</v>
      </c>
      <c r="AI61" t="s">
        <v>1231</v>
      </c>
      <c r="AJ61" t="s">
        <v>1232</v>
      </c>
      <c r="AK61" t="s">
        <v>983</v>
      </c>
      <c r="AL61" t="s">
        <v>729</v>
      </c>
      <c r="AN61" t="s">
        <v>1233</v>
      </c>
      <c r="AU61" t="s">
        <v>471</v>
      </c>
      <c r="BF61" t="s">
        <v>731</v>
      </c>
      <c r="BM61" t="s">
        <v>1234</v>
      </c>
      <c r="BN61" t="s">
        <v>1235</v>
      </c>
      <c r="BT61" t="s">
        <v>1069</v>
      </c>
      <c r="CC61" t="s">
        <v>406</v>
      </c>
      <c r="CI61" t="s">
        <v>404</v>
      </c>
      <c r="CO61" t="s">
        <v>1236</v>
      </c>
      <c r="CU61" t="s">
        <v>735</v>
      </c>
      <c r="CZ61" t="s">
        <v>569</v>
      </c>
      <c r="DS61" t="s">
        <v>1237</v>
      </c>
      <c r="DT61" t="s">
        <v>1238</v>
      </c>
      <c r="EW61" t="s">
        <v>471</v>
      </c>
      <c r="FA61" t="s">
        <v>404</v>
      </c>
      <c r="FB61" t="s">
        <v>1239</v>
      </c>
    </row>
    <row r="62" spans="1:158">
      <c r="A62">
        <v>101</v>
      </c>
      <c r="B62" t="s">
        <v>1240</v>
      </c>
      <c r="C62" t="s">
        <v>1241</v>
      </c>
      <c r="D62" t="s">
        <v>362</v>
      </c>
      <c r="E62">
        <v>0</v>
      </c>
      <c r="G62" t="s">
        <v>362</v>
      </c>
      <c r="H62" t="s">
        <v>362</v>
      </c>
      <c r="I62" t="s">
        <v>362</v>
      </c>
      <c r="J62">
        <v>101</v>
      </c>
      <c r="O62" t="s">
        <v>441</v>
      </c>
      <c r="R62" t="s">
        <v>484</v>
      </c>
      <c r="AU62" t="s">
        <v>471</v>
      </c>
      <c r="BF62" t="s">
        <v>1242</v>
      </c>
      <c r="CC62" t="s">
        <v>406</v>
      </c>
      <c r="CO62" t="s">
        <v>1243</v>
      </c>
      <c r="DT62" t="s">
        <v>533</v>
      </c>
      <c r="EF62" t="s">
        <v>492</v>
      </c>
      <c r="EG62" t="s">
        <v>522</v>
      </c>
      <c r="EK62" t="s">
        <v>522</v>
      </c>
      <c r="FA62" t="s">
        <v>404</v>
      </c>
    </row>
    <row r="63" spans="1:158">
      <c r="A63">
        <v>207</v>
      </c>
      <c r="B63" t="s">
        <v>1244</v>
      </c>
      <c r="C63" t="s">
        <v>1245</v>
      </c>
      <c r="D63" t="s">
        <v>362</v>
      </c>
      <c r="E63">
        <v>1</v>
      </c>
      <c r="F63" t="s">
        <v>1246</v>
      </c>
      <c r="G63" t="s">
        <v>1247</v>
      </c>
      <c r="H63" t="s">
        <v>1248</v>
      </c>
      <c r="I63" t="s">
        <v>1249</v>
      </c>
      <c r="J63">
        <v>207</v>
      </c>
      <c r="O63" t="s">
        <v>441</v>
      </c>
      <c r="R63" t="s">
        <v>480</v>
      </c>
      <c r="CC63" t="s">
        <v>406</v>
      </c>
      <c r="CI63" t="s">
        <v>404</v>
      </c>
      <c r="CX63" t="s">
        <v>481</v>
      </c>
      <c r="FA63" t="s">
        <v>404</v>
      </c>
    </row>
    <row r="64" spans="1:158">
      <c r="A64">
        <v>44</v>
      </c>
      <c r="B64" t="s">
        <v>1250</v>
      </c>
      <c r="C64" t="s">
        <v>1251</v>
      </c>
      <c r="D64" t="s">
        <v>362</v>
      </c>
      <c r="E64">
        <v>1</v>
      </c>
      <c r="F64" t="s">
        <v>1252</v>
      </c>
      <c r="G64" t="s">
        <v>742</v>
      </c>
      <c r="H64" t="s">
        <v>743</v>
      </c>
      <c r="I64" t="s">
        <v>579</v>
      </c>
      <c r="J64">
        <v>44</v>
      </c>
      <c r="O64" t="s">
        <v>441</v>
      </c>
      <c r="AA64" t="s">
        <v>1253</v>
      </c>
      <c r="CC64" t="s">
        <v>406</v>
      </c>
      <c r="CI64" t="s">
        <v>404</v>
      </c>
      <c r="FA64" t="s">
        <v>404</v>
      </c>
    </row>
    <row r="65" spans="1:158">
      <c r="A65">
        <v>141</v>
      </c>
      <c r="B65" t="s">
        <v>53</v>
      </c>
      <c r="C65" t="s">
        <v>1254</v>
      </c>
      <c r="D65" t="s">
        <v>1254</v>
      </c>
      <c r="E65">
        <v>1</v>
      </c>
      <c r="F65" t="s">
        <v>1255</v>
      </c>
      <c r="G65" t="s">
        <v>1256</v>
      </c>
      <c r="H65" t="s">
        <v>1257</v>
      </c>
      <c r="I65" t="s">
        <v>1258</v>
      </c>
      <c r="J65">
        <v>141</v>
      </c>
      <c r="K65" t="s">
        <v>531</v>
      </c>
      <c r="M65" t="s">
        <v>1259</v>
      </c>
      <c r="N65" t="s">
        <v>369</v>
      </c>
      <c r="O65" t="s">
        <v>533</v>
      </c>
      <c r="P65" t="s">
        <v>1260</v>
      </c>
      <c r="R65" t="s">
        <v>370</v>
      </c>
      <c r="T65" t="s">
        <v>1261</v>
      </c>
      <c r="U65" t="s">
        <v>505</v>
      </c>
      <c r="V65" t="s">
        <v>383</v>
      </c>
      <c r="W65" t="s">
        <v>1262</v>
      </c>
      <c r="X65" t="s">
        <v>1263</v>
      </c>
      <c r="Z65" t="s">
        <v>378</v>
      </c>
      <c r="AA65" t="s">
        <v>56</v>
      </c>
      <c r="AB65" t="s">
        <v>1264</v>
      </c>
      <c r="AE65" t="s">
        <v>508</v>
      </c>
      <c r="AI65" t="s">
        <v>383</v>
      </c>
      <c r="AM65" t="s">
        <v>602</v>
      </c>
      <c r="AN65" t="s">
        <v>1265</v>
      </c>
      <c r="AP65" t="s">
        <v>1266</v>
      </c>
      <c r="AQ65" t="s">
        <v>689</v>
      </c>
      <c r="AR65" t="s">
        <v>542</v>
      </c>
      <c r="AS65" t="s">
        <v>543</v>
      </c>
      <c r="AU65" t="s">
        <v>389</v>
      </c>
      <c r="AV65" t="s">
        <v>1267</v>
      </c>
      <c r="AW65" t="s">
        <v>1268</v>
      </c>
      <c r="AX65" t="s">
        <v>546</v>
      </c>
      <c r="AY65" t="s">
        <v>547</v>
      </c>
      <c r="AZ65" t="s">
        <v>1269</v>
      </c>
      <c r="BB65" t="s">
        <v>542</v>
      </c>
      <c r="BC65" t="s">
        <v>549</v>
      </c>
      <c r="BD65" t="s">
        <v>383</v>
      </c>
      <c r="BE65" t="s">
        <v>1270</v>
      </c>
      <c r="BF65" t="s">
        <v>1271</v>
      </c>
      <c r="BG65" t="s">
        <v>395</v>
      </c>
      <c r="BI65" t="s">
        <v>767</v>
      </c>
      <c r="BK65" t="s">
        <v>1271</v>
      </c>
      <c r="BL65" t="s">
        <v>1272</v>
      </c>
      <c r="BM65" t="s">
        <v>1273</v>
      </c>
      <c r="BN65" t="s">
        <v>554</v>
      </c>
      <c r="BR65" t="s">
        <v>1274</v>
      </c>
      <c r="BS65" t="s">
        <v>395</v>
      </c>
      <c r="BT65" t="s">
        <v>1274</v>
      </c>
      <c r="BU65" t="s">
        <v>401</v>
      </c>
      <c r="BZ65" t="s">
        <v>404</v>
      </c>
      <c r="CA65" t="s">
        <v>1275</v>
      </c>
      <c r="CC65" t="s">
        <v>406</v>
      </c>
      <c r="CD65" t="s">
        <v>618</v>
      </c>
      <c r="CE65" t="s">
        <v>1276</v>
      </c>
      <c r="CF65" t="s">
        <v>1258</v>
      </c>
      <c r="CG65" t="s">
        <v>558</v>
      </c>
      <c r="CH65" t="s">
        <v>383</v>
      </c>
      <c r="CI65" t="s">
        <v>430</v>
      </c>
      <c r="CJ65" t="s">
        <v>559</v>
      </c>
      <c r="CK65" t="s">
        <v>1254</v>
      </c>
      <c r="CO65" t="s">
        <v>1277</v>
      </c>
      <c r="CP65" t="s">
        <v>1278</v>
      </c>
      <c r="CQ65" t="s">
        <v>1279</v>
      </c>
      <c r="CR65" t="s">
        <v>1280</v>
      </c>
      <c r="CS65" t="s">
        <v>1281</v>
      </c>
      <c r="CT65" t="s">
        <v>1282</v>
      </c>
      <c r="CU65" t="s">
        <v>1283</v>
      </c>
      <c r="CV65" t="s">
        <v>567</v>
      </c>
      <c r="CW65" t="s">
        <v>388</v>
      </c>
      <c r="CX65" t="s">
        <v>481</v>
      </c>
      <c r="CY65" t="s">
        <v>517</v>
      </c>
      <c r="CZ65" t="s">
        <v>569</v>
      </c>
      <c r="DA65" t="s">
        <v>1124</v>
      </c>
      <c r="DB65" t="s">
        <v>1284</v>
      </c>
      <c r="DC65" t="s">
        <v>419</v>
      </c>
      <c r="DF65" t="s">
        <v>421</v>
      </c>
      <c r="DH65" t="s">
        <v>886</v>
      </c>
      <c r="DI65" t="s">
        <v>887</v>
      </c>
      <c r="DJ65" t="s">
        <v>888</v>
      </c>
      <c r="DK65" t="s">
        <v>889</v>
      </c>
      <c r="DL65" t="s">
        <v>426</v>
      </c>
      <c r="DN65" t="s">
        <v>395</v>
      </c>
      <c r="DO65" t="s">
        <v>1256</v>
      </c>
      <c r="DP65" t="s">
        <v>395</v>
      </c>
      <c r="DQ65" t="s">
        <v>395</v>
      </c>
      <c r="DR65" t="s">
        <v>395</v>
      </c>
      <c r="DS65" t="s">
        <v>1285</v>
      </c>
      <c r="DT65" t="s">
        <v>1286</v>
      </c>
      <c r="DU65" t="s">
        <v>1286</v>
      </c>
      <c r="DV65" t="s">
        <v>1286</v>
      </c>
      <c r="DW65" t="s">
        <v>401</v>
      </c>
      <c r="EB65" t="s">
        <v>395</v>
      </c>
      <c r="EC65" t="s">
        <v>395</v>
      </c>
      <c r="ED65" t="s">
        <v>1286</v>
      </c>
      <c r="EE65" t="s">
        <v>573</v>
      </c>
      <c r="EF65" t="s">
        <v>492</v>
      </c>
      <c r="EG65" t="s">
        <v>1287</v>
      </c>
      <c r="EH65" t="s">
        <v>404</v>
      </c>
      <c r="EI65" t="s">
        <v>639</v>
      </c>
      <c r="EJ65" t="s">
        <v>780</v>
      </c>
      <c r="EK65" t="s">
        <v>779</v>
      </c>
      <c r="EL65" t="s">
        <v>404</v>
      </c>
      <c r="EM65" t="s">
        <v>523</v>
      </c>
      <c r="EQ65" t="s">
        <v>1288</v>
      </c>
      <c r="EW65" t="s">
        <v>432</v>
      </c>
      <c r="FA65" t="s">
        <v>404</v>
      </c>
      <c r="FB65" t="s">
        <v>26</v>
      </c>
    </row>
    <row r="66" spans="1:158">
      <c r="A66">
        <v>187</v>
      </c>
      <c r="B66" t="s">
        <v>1289</v>
      </c>
      <c r="C66" t="s">
        <v>1290</v>
      </c>
      <c r="D66" t="s">
        <v>362</v>
      </c>
      <c r="E66">
        <v>0</v>
      </c>
      <c r="F66" t="s">
        <v>837</v>
      </c>
      <c r="G66" t="s">
        <v>751</v>
      </c>
      <c r="H66" t="s">
        <v>743</v>
      </c>
      <c r="I66" t="s">
        <v>579</v>
      </c>
      <c r="J66">
        <v>187</v>
      </c>
      <c r="O66" t="s">
        <v>441</v>
      </c>
      <c r="R66" t="s">
        <v>480</v>
      </c>
      <c r="CC66" t="s">
        <v>406</v>
      </c>
      <c r="CI66" t="s">
        <v>404</v>
      </c>
      <c r="CX66" t="s">
        <v>26</v>
      </c>
      <c r="FA66" t="s">
        <v>404</v>
      </c>
    </row>
    <row r="67" spans="1:158">
      <c r="A67">
        <v>164</v>
      </c>
      <c r="B67" t="s">
        <v>1291</v>
      </c>
      <c r="C67" t="s">
        <v>1292</v>
      </c>
      <c r="D67" t="s">
        <v>362</v>
      </c>
      <c r="E67">
        <v>0</v>
      </c>
      <c r="G67" t="s">
        <v>362</v>
      </c>
      <c r="H67" t="s">
        <v>362</v>
      </c>
      <c r="I67" t="s">
        <v>362</v>
      </c>
      <c r="J67">
        <v>164</v>
      </c>
      <c r="O67" t="s">
        <v>441</v>
      </c>
      <c r="R67" t="s">
        <v>480</v>
      </c>
      <c r="CC67" t="s">
        <v>406</v>
      </c>
      <c r="CI67" t="s">
        <v>404</v>
      </c>
      <c r="FA67" t="s">
        <v>404</v>
      </c>
    </row>
    <row r="68" spans="1:158">
      <c r="A68">
        <v>210</v>
      </c>
      <c r="B68" t="s">
        <v>1293</v>
      </c>
      <c r="C68" t="s">
        <v>1294</v>
      </c>
      <c r="D68" t="s">
        <v>362</v>
      </c>
      <c r="E68">
        <v>1</v>
      </c>
      <c r="G68" t="s">
        <v>362</v>
      </c>
      <c r="H68" t="s">
        <v>362</v>
      </c>
      <c r="I68" t="s">
        <v>362</v>
      </c>
      <c r="J68">
        <v>210</v>
      </c>
      <c r="O68" t="s">
        <v>441</v>
      </c>
      <c r="R68" t="s">
        <v>480</v>
      </c>
      <c r="CC68" t="s">
        <v>406</v>
      </c>
      <c r="CI68" t="s">
        <v>404</v>
      </c>
      <c r="CX68" t="s">
        <v>481</v>
      </c>
      <c r="CY68" t="s">
        <v>26</v>
      </c>
      <c r="EH68" t="s">
        <v>430</v>
      </c>
      <c r="EL68" t="s">
        <v>430</v>
      </c>
      <c r="FA68" t="s">
        <v>404</v>
      </c>
    </row>
    <row r="69" spans="1:158">
      <c r="A69">
        <v>224</v>
      </c>
      <c r="B69" t="s">
        <v>1295</v>
      </c>
      <c r="C69" t="s">
        <v>1296</v>
      </c>
      <c r="D69" t="s">
        <v>362</v>
      </c>
      <c r="E69">
        <v>1</v>
      </c>
      <c r="G69" t="s">
        <v>362</v>
      </c>
      <c r="H69" t="s">
        <v>362</v>
      </c>
      <c r="I69" t="s">
        <v>362</v>
      </c>
      <c r="J69">
        <v>224</v>
      </c>
      <c r="O69" t="s">
        <v>441</v>
      </c>
      <c r="R69" t="s">
        <v>480</v>
      </c>
      <c r="CC69" t="s">
        <v>406</v>
      </c>
      <c r="CI69" t="s">
        <v>404</v>
      </c>
      <c r="CX69" t="s">
        <v>26</v>
      </c>
      <c r="CY69" t="s">
        <v>517</v>
      </c>
      <c r="FA69" t="s">
        <v>404</v>
      </c>
    </row>
    <row r="70" spans="1:158">
      <c r="A70">
        <v>124</v>
      </c>
      <c r="B70" t="s">
        <v>1297</v>
      </c>
      <c r="C70" t="s">
        <v>1298</v>
      </c>
      <c r="D70" t="s">
        <v>1299</v>
      </c>
      <c r="E70">
        <v>1</v>
      </c>
      <c r="F70" t="s">
        <v>1216</v>
      </c>
      <c r="G70" t="s">
        <v>1217</v>
      </c>
      <c r="H70" t="s">
        <v>1218</v>
      </c>
      <c r="I70" t="s">
        <v>1219</v>
      </c>
      <c r="J70">
        <v>124</v>
      </c>
      <c r="O70" t="s">
        <v>533</v>
      </c>
      <c r="R70" t="s">
        <v>370</v>
      </c>
      <c r="X70" t="s">
        <v>1300</v>
      </c>
      <c r="AA70" t="s">
        <v>1220</v>
      </c>
      <c r="AF70" t="s">
        <v>653</v>
      </c>
      <c r="AG70" t="s">
        <v>654</v>
      </c>
      <c r="AH70" t="s">
        <v>655</v>
      </c>
      <c r="AI70" t="s">
        <v>1301</v>
      </c>
      <c r="AJ70" t="s">
        <v>657</v>
      </c>
      <c r="AK70" t="s">
        <v>658</v>
      </c>
      <c r="AL70" t="s">
        <v>655</v>
      </c>
      <c r="AN70" t="s">
        <v>1302</v>
      </c>
      <c r="AT70" t="s">
        <v>660</v>
      </c>
      <c r="AU70" t="s">
        <v>444</v>
      </c>
      <c r="AW70" t="s">
        <v>1303</v>
      </c>
      <c r="AX70" t="s">
        <v>1304</v>
      </c>
      <c r="AY70" t="s">
        <v>663</v>
      </c>
      <c r="BB70" t="s">
        <v>664</v>
      </c>
      <c r="BF70" t="s">
        <v>1305</v>
      </c>
      <c r="BH70" t="s">
        <v>666</v>
      </c>
      <c r="BI70" t="s">
        <v>667</v>
      </c>
      <c r="BM70" t="s">
        <v>1306</v>
      </c>
      <c r="BN70" t="s">
        <v>554</v>
      </c>
      <c r="BT70" t="s">
        <v>1307</v>
      </c>
      <c r="CA70" t="s">
        <v>1308</v>
      </c>
      <c r="CC70" t="s">
        <v>406</v>
      </c>
      <c r="CG70" t="s">
        <v>558</v>
      </c>
      <c r="CI70" t="s">
        <v>404</v>
      </c>
      <c r="CJ70" t="s">
        <v>408</v>
      </c>
      <c r="CO70" t="s">
        <v>671</v>
      </c>
      <c r="CU70" t="s">
        <v>1309</v>
      </c>
      <c r="CX70" t="s">
        <v>673</v>
      </c>
      <c r="CZ70" t="s">
        <v>569</v>
      </c>
      <c r="DS70" t="s">
        <v>1310</v>
      </c>
      <c r="DT70" t="s">
        <v>634</v>
      </c>
      <c r="EF70" t="s">
        <v>492</v>
      </c>
      <c r="EG70" t="s">
        <v>492</v>
      </c>
      <c r="EH70" t="s">
        <v>430</v>
      </c>
      <c r="EK70" t="s">
        <v>492</v>
      </c>
      <c r="EL70" t="s">
        <v>430</v>
      </c>
      <c r="EW70" t="s">
        <v>444</v>
      </c>
      <c r="FA70" t="s">
        <v>404</v>
      </c>
      <c r="FB70" t="s">
        <v>1311</v>
      </c>
    </row>
    <row r="71" spans="1:158">
      <c r="A71">
        <v>84</v>
      </c>
      <c r="B71" t="s">
        <v>1312</v>
      </c>
      <c r="C71" t="s">
        <v>1313</v>
      </c>
      <c r="D71" t="s">
        <v>362</v>
      </c>
      <c r="E71">
        <v>1</v>
      </c>
      <c r="F71" t="s">
        <v>1314</v>
      </c>
      <c r="G71" t="s">
        <v>1315</v>
      </c>
      <c r="H71" t="s">
        <v>743</v>
      </c>
      <c r="I71" t="s">
        <v>579</v>
      </c>
      <c r="J71">
        <v>84</v>
      </c>
      <c r="O71" t="s">
        <v>441</v>
      </c>
      <c r="R71" t="s">
        <v>1316</v>
      </c>
      <c r="AA71" t="s">
        <v>1317</v>
      </c>
      <c r="AU71" t="s">
        <v>471</v>
      </c>
      <c r="BF71" t="s">
        <v>395</v>
      </c>
      <c r="CC71" t="s">
        <v>406</v>
      </c>
      <c r="CI71" t="s">
        <v>404</v>
      </c>
      <c r="CO71" t="s">
        <v>1318</v>
      </c>
      <c r="DT71" t="s">
        <v>395</v>
      </c>
      <c r="FA71" t="s">
        <v>404</v>
      </c>
    </row>
    <row r="72" spans="1:158">
      <c r="A72">
        <v>204</v>
      </c>
      <c r="B72" t="s">
        <v>1319</v>
      </c>
      <c r="C72" t="s">
        <v>1320</v>
      </c>
      <c r="D72" t="s">
        <v>362</v>
      </c>
      <c r="E72">
        <v>0</v>
      </c>
      <c r="F72" t="s">
        <v>1121</v>
      </c>
      <c r="G72" t="s">
        <v>1122</v>
      </c>
      <c r="H72" t="s">
        <v>42</v>
      </c>
      <c r="I72" t="s">
        <v>1123</v>
      </c>
      <c r="J72">
        <v>204</v>
      </c>
      <c r="O72" t="s">
        <v>441</v>
      </c>
      <c r="R72" t="s">
        <v>370</v>
      </c>
      <c r="CC72" t="s">
        <v>406</v>
      </c>
      <c r="CI72" t="s">
        <v>430</v>
      </c>
      <c r="CX72" t="s">
        <v>840</v>
      </c>
      <c r="FA72" t="s">
        <v>404</v>
      </c>
    </row>
    <row r="73" spans="1:158">
      <c r="A73">
        <v>61</v>
      </c>
      <c r="B73" t="s">
        <v>1321</v>
      </c>
      <c r="C73" t="s">
        <v>1322</v>
      </c>
      <c r="D73" t="s">
        <v>1185</v>
      </c>
      <c r="E73">
        <v>1</v>
      </c>
      <c r="F73" t="s">
        <v>1186</v>
      </c>
      <c r="G73" t="s">
        <v>1187</v>
      </c>
      <c r="H73" t="s">
        <v>1188</v>
      </c>
      <c r="I73" t="s">
        <v>1189</v>
      </c>
      <c r="J73">
        <v>61</v>
      </c>
      <c r="O73" t="s">
        <v>441</v>
      </c>
      <c r="R73" t="s">
        <v>442</v>
      </c>
      <c r="AA73" t="s">
        <v>1191</v>
      </c>
      <c r="AU73" t="s">
        <v>444</v>
      </c>
      <c r="CC73" t="s">
        <v>406</v>
      </c>
      <c r="CI73" t="s">
        <v>404</v>
      </c>
      <c r="CJ73" t="s">
        <v>448</v>
      </c>
      <c r="CX73" t="s">
        <v>673</v>
      </c>
      <c r="EH73" t="s">
        <v>430</v>
      </c>
      <c r="EL73" t="s">
        <v>430</v>
      </c>
      <c r="EW73" t="s">
        <v>444</v>
      </c>
      <c r="FA73" t="s">
        <v>404</v>
      </c>
    </row>
    <row r="74" spans="1:158">
      <c r="A74">
        <v>104</v>
      </c>
      <c r="B74" t="s">
        <v>1323</v>
      </c>
      <c r="C74" t="s">
        <v>1324</v>
      </c>
      <c r="D74" t="s">
        <v>362</v>
      </c>
      <c r="E74">
        <v>0</v>
      </c>
      <c r="F74" t="s">
        <v>706</v>
      </c>
      <c r="G74" t="s">
        <v>707</v>
      </c>
      <c r="H74" t="s">
        <v>708</v>
      </c>
      <c r="I74" t="s">
        <v>709</v>
      </c>
      <c r="J74">
        <v>104</v>
      </c>
      <c r="O74" t="s">
        <v>441</v>
      </c>
      <c r="R74" t="s">
        <v>484</v>
      </c>
      <c r="AU74" t="s">
        <v>471</v>
      </c>
      <c r="BF74" t="s">
        <v>395</v>
      </c>
      <c r="CC74" t="s">
        <v>406</v>
      </c>
      <c r="CO74" t="s">
        <v>1325</v>
      </c>
      <c r="DT74" t="s">
        <v>917</v>
      </c>
      <c r="EF74" t="s">
        <v>492</v>
      </c>
      <c r="EG74" t="s">
        <v>522</v>
      </c>
      <c r="EK74" t="s">
        <v>522</v>
      </c>
      <c r="FA74" t="s">
        <v>404</v>
      </c>
    </row>
    <row r="75" spans="1:158">
      <c r="A75">
        <v>147</v>
      </c>
      <c r="B75" t="s">
        <v>91</v>
      </c>
      <c r="C75" t="s">
        <v>1326</v>
      </c>
      <c r="D75" t="s">
        <v>1326</v>
      </c>
      <c r="E75">
        <v>1</v>
      </c>
      <c r="F75" t="s">
        <v>1327</v>
      </c>
      <c r="G75" t="s">
        <v>1328</v>
      </c>
      <c r="H75" t="s">
        <v>852</v>
      </c>
      <c r="I75" t="s">
        <v>1329</v>
      </c>
      <c r="J75">
        <v>147</v>
      </c>
      <c r="K75" t="s">
        <v>531</v>
      </c>
      <c r="M75" t="s">
        <v>1330</v>
      </c>
      <c r="N75" t="s">
        <v>369</v>
      </c>
      <c r="O75" t="s">
        <v>533</v>
      </c>
      <c r="P75" t="s">
        <v>855</v>
      </c>
      <c r="Q75" t="s">
        <v>1331</v>
      </c>
      <c r="R75" t="s">
        <v>370</v>
      </c>
      <c r="T75" t="s">
        <v>1332</v>
      </c>
      <c r="U75" t="s">
        <v>505</v>
      </c>
      <c r="V75" t="s">
        <v>1332</v>
      </c>
      <c r="W75" t="s">
        <v>1333</v>
      </c>
      <c r="X75" t="s">
        <v>1334</v>
      </c>
      <c r="Z75" t="s">
        <v>378</v>
      </c>
      <c r="AA75" t="s">
        <v>92</v>
      </c>
      <c r="AB75" t="s">
        <v>859</v>
      </c>
      <c r="AE75" t="s">
        <v>1335</v>
      </c>
      <c r="AI75" t="s">
        <v>383</v>
      </c>
      <c r="AM75" t="s">
        <v>1092</v>
      </c>
      <c r="AN75" t="s">
        <v>1336</v>
      </c>
      <c r="AP75" t="s">
        <v>1337</v>
      </c>
      <c r="AQ75" t="s">
        <v>689</v>
      </c>
      <c r="AR75" t="s">
        <v>542</v>
      </c>
      <c r="AS75" t="s">
        <v>543</v>
      </c>
      <c r="AU75" t="s">
        <v>389</v>
      </c>
      <c r="AV75" t="s">
        <v>1338</v>
      </c>
      <c r="AW75" t="s">
        <v>1339</v>
      </c>
      <c r="AX75" t="s">
        <v>1340</v>
      </c>
      <c r="AY75" t="s">
        <v>547</v>
      </c>
      <c r="AZ75" t="s">
        <v>1341</v>
      </c>
      <c r="BA75" t="s">
        <v>533</v>
      </c>
      <c r="BB75" t="s">
        <v>542</v>
      </c>
      <c r="BC75" t="s">
        <v>549</v>
      </c>
      <c r="BD75" t="s">
        <v>383</v>
      </c>
      <c r="BE75" t="s">
        <v>867</v>
      </c>
      <c r="BF75" t="s">
        <v>1342</v>
      </c>
      <c r="BG75" t="s">
        <v>395</v>
      </c>
      <c r="BK75" t="s">
        <v>1342</v>
      </c>
      <c r="BL75" t="s">
        <v>869</v>
      </c>
      <c r="BM75" t="s">
        <v>1343</v>
      </c>
      <c r="BN75" t="s">
        <v>554</v>
      </c>
      <c r="BO75" t="s">
        <v>891</v>
      </c>
      <c r="BR75" t="s">
        <v>1344</v>
      </c>
      <c r="BS75" t="s">
        <v>395</v>
      </c>
      <c r="BT75" t="s">
        <v>1345</v>
      </c>
      <c r="BY75" t="s">
        <v>614</v>
      </c>
      <c r="BZ75" t="s">
        <v>404</v>
      </c>
      <c r="CA75" t="s">
        <v>1346</v>
      </c>
      <c r="CC75" t="s">
        <v>406</v>
      </c>
      <c r="CD75" t="s">
        <v>1104</v>
      </c>
      <c r="CF75" t="s">
        <v>1329</v>
      </c>
      <c r="CG75" t="s">
        <v>558</v>
      </c>
      <c r="CH75" t="s">
        <v>1347</v>
      </c>
      <c r="CI75" t="s">
        <v>430</v>
      </c>
      <c r="CJ75" t="s">
        <v>559</v>
      </c>
      <c r="CK75" t="s">
        <v>1326</v>
      </c>
      <c r="CO75" t="s">
        <v>1348</v>
      </c>
      <c r="CP75" t="s">
        <v>1349</v>
      </c>
      <c r="CQ75" t="s">
        <v>1350</v>
      </c>
      <c r="CR75" t="s">
        <v>1351</v>
      </c>
      <c r="CS75" t="s">
        <v>726</v>
      </c>
      <c r="CT75" t="s">
        <v>1352</v>
      </c>
      <c r="CU75" t="s">
        <v>1353</v>
      </c>
      <c r="CV75" t="s">
        <v>567</v>
      </c>
      <c r="CW75" t="s">
        <v>388</v>
      </c>
      <c r="CX75" t="s">
        <v>481</v>
      </c>
      <c r="CY75" t="s">
        <v>517</v>
      </c>
      <c r="CZ75" t="s">
        <v>569</v>
      </c>
      <c r="DA75" t="s">
        <v>418</v>
      </c>
      <c r="DB75" t="s">
        <v>570</v>
      </c>
      <c r="DC75" t="s">
        <v>419</v>
      </c>
      <c r="DD75" t="s">
        <v>571</v>
      </c>
      <c r="DF75" t="s">
        <v>421</v>
      </c>
      <c r="DH75" t="s">
        <v>1354</v>
      </c>
      <c r="DI75" t="s">
        <v>1355</v>
      </c>
      <c r="DJ75" t="s">
        <v>1356</v>
      </c>
      <c r="DK75" t="s">
        <v>1357</v>
      </c>
      <c r="DL75" t="s">
        <v>426</v>
      </c>
      <c r="DM75" t="s">
        <v>872</v>
      </c>
      <c r="DN75" t="s">
        <v>395</v>
      </c>
      <c r="DO75" t="s">
        <v>1328</v>
      </c>
      <c r="DP75" t="s">
        <v>891</v>
      </c>
      <c r="DQ75" t="s">
        <v>395</v>
      </c>
      <c r="DR75" t="s">
        <v>395</v>
      </c>
      <c r="DS75" t="s">
        <v>1358</v>
      </c>
      <c r="DT75" t="s">
        <v>1359</v>
      </c>
      <c r="DU75" t="s">
        <v>555</v>
      </c>
      <c r="DV75" t="s">
        <v>703</v>
      </c>
      <c r="DY75" t="s">
        <v>873</v>
      </c>
      <c r="EA75" t="s">
        <v>873</v>
      </c>
      <c r="EB75" t="s">
        <v>1360</v>
      </c>
      <c r="EC75" t="s">
        <v>395</v>
      </c>
      <c r="ED75" t="s">
        <v>1361</v>
      </c>
      <c r="EE75" t="s">
        <v>573</v>
      </c>
      <c r="EF75" t="s">
        <v>492</v>
      </c>
      <c r="EG75" t="s">
        <v>429</v>
      </c>
      <c r="EH75" t="s">
        <v>404</v>
      </c>
      <c r="EI75" t="s">
        <v>520</v>
      </c>
      <c r="EJ75" t="s">
        <v>429</v>
      </c>
      <c r="EK75" t="s">
        <v>779</v>
      </c>
      <c r="EL75" t="s">
        <v>430</v>
      </c>
      <c r="EM75" t="s">
        <v>431</v>
      </c>
      <c r="EV75" t="s">
        <v>891</v>
      </c>
      <c r="EW75" t="s">
        <v>432</v>
      </c>
      <c r="FA75" t="s">
        <v>404</v>
      </c>
      <c r="FB75" t="s">
        <v>26</v>
      </c>
    </row>
    <row r="76" spans="1:158">
      <c r="A76">
        <v>190</v>
      </c>
      <c r="B76" t="s">
        <v>1362</v>
      </c>
      <c r="C76" t="s">
        <v>1363</v>
      </c>
      <c r="D76" t="s">
        <v>362</v>
      </c>
      <c r="E76">
        <v>1</v>
      </c>
      <c r="F76" t="s">
        <v>1364</v>
      </c>
      <c r="G76" t="s">
        <v>1365</v>
      </c>
      <c r="H76" t="s">
        <v>1366</v>
      </c>
      <c r="I76" t="s">
        <v>1367</v>
      </c>
      <c r="J76">
        <v>190</v>
      </c>
      <c r="O76" t="s">
        <v>441</v>
      </c>
      <c r="R76" t="s">
        <v>480</v>
      </c>
      <c r="AA76" t="s">
        <v>1363</v>
      </c>
      <c r="CC76" t="s">
        <v>406</v>
      </c>
      <c r="CI76" t="s">
        <v>404</v>
      </c>
      <c r="CX76" t="s">
        <v>26</v>
      </c>
      <c r="EH76" t="s">
        <v>430</v>
      </c>
      <c r="EL76" t="s">
        <v>430</v>
      </c>
      <c r="FA76" t="s">
        <v>404</v>
      </c>
    </row>
    <row r="77" spans="1:158">
      <c r="A77">
        <v>213</v>
      </c>
      <c r="B77" t="s">
        <v>1368</v>
      </c>
      <c r="C77" t="s">
        <v>1369</v>
      </c>
      <c r="D77" t="s">
        <v>362</v>
      </c>
      <c r="E77">
        <v>0</v>
      </c>
      <c r="G77" t="s">
        <v>362</v>
      </c>
      <c r="H77" t="s">
        <v>362</v>
      </c>
      <c r="I77" t="s">
        <v>362</v>
      </c>
      <c r="J77">
        <v>213</v>
      </c>
      <c r="O77" t="s">
        <v>441</v>
      </c>
      <c r="R77" t="s">
        <v>480</v>
      </c>
      <c r="CC77" t="s">
        <v>406</v>
      </c>
      <c r="CI77" t="s">
        <v>404</v>
      </c>
      <c r="CX77" t="s">
        <v>481</v>
      </c>
      <c r="CY77" t="s">
        <v>26</v>
      </c>
      <c r="FA77" t="s">
        <v>404</v>
      </c>
    </row>
    <row r="78" spans="1:158">
      <c r="A78">
        <v>236</v>
      </c>
      <c r="B78" t="s">
        <v>61</v>
      </c>
      <c r="C78" t="s">
        <v>62</v>
      </c>
      <c r="D78" t="s">
        <v>1370</v>
      </c>
      <c r="E78">
        <v>1</v>
      </c>
      <c r="F78" t="s">
        <v>1371</v>
      </c>
      <c r="G78" t="s">
        <v>1372</v>
      </c>
      <c r="H78" t="s">
        <v>1373</v>
      </c>
      <c r="I78" t="s">
        <v>1374</v>
      </c>
      <c r="J78">
        <v>236</v>
      </c>
      <c r="R78" t="s">
        <v>370</v>
      </c>
      <c r="T78" t="s">
        <v>1375</v>
      </c>
      <c r="AA78" t="s">
        <v>62</v>
      </c>
      <c r="AB78" t="s">
        <v>1376</v>
      </c>
      <c r="AM78" t="s">
        <v>1377</v>
      </c>
      <c r="AN78" t="s">
        <v>1378</v>
      </c>
      <c r="AS78" t="s">
        <v>1379</v>
      </c>
      <c r="AU78" t="s">
        <v>389</v>
      </c>
      <c r="BF78" t="s">
        <v>665</v>
      </c>
      <c r="BG78" t="s">
        <v>1380</v>
      </c>
      <c r="BR78" t="s">
        <v>1381</v>
      </c>
      <c r="BS78" t="s">
        <v>1382</v>
      </c>
      <c r="CC78" t="s">
        <v>406</v>
      </c>
      <c r="CF78" t="s">
        <v>1374</v>
      </c>
      <c r="CH78" t="s">
        <v>1383</v>
      </c>
      <c r="CI78" t="s">
        <v>430</v>
      </c>
      <c r="CK78" t="s">
        <v>62</v>
      </c>
      <c r="CO78" t="s">
        <v>1384</v>
      </c>
      <c r="CP78" t="s">
        <v>1385</v>
      </c>
      <c r="CQ78" t="s">
        <v>1386</v>
      </c>
      <c r="CR78" t="s">
        <v>1387</v>
      </c>
      <c r="CT78" t="s">
        <v>1388</v>
      </c>
      <c r="CU78" t="s">
        <v>1389</v>
      </c>
      <c r="CV78" t="s">
        <v>1379</v>
      </c>
      <c r="CW78" t="s">
        <v>1390</v>
      </c>
      <c r="CX78" t="s">
        <v>426</v>
      </c>
      <c r="CY78" t="s">
        <v>517</v>
      </c>
      <c r="DL78" t="s">
        <v>426</v>
      </c>
      <c r="DN78" t="s">
        <v>395</v>
      </c>
      <c r="DO78" t="s">
        <v>1372</v>
      </c>
      <c r="DP78" t="s">
        <v>395</v>
      </c>
      <c r="DQ78" t="s">
        <v>395</v>
      </c>
      <c r="DR78" t="s">
        <v>401</v>
      </c>
      <c r="DS78" t="s">
        <v>1391</v>
      </c>
      <c r="DV78" t="s">
        <v>1392</v>
      </c>
      <c r="EB78" t="s">
        <v>1393</v>
      </c>
      <c r="EC78" t="s">
        <v>395</v>
      </c>
      <c r="EF78" t="s">
        <v>1394</v>
      </c>
      <c r="EG78" t="s">
        <v>429</v>
      </c>
      <c r="EI78" t="s">
        <v>431</v>
      </c>
      <c r="EJ78" t="s">
        <v>429</v>
      </c>
      <c r="EK78" t="s">
        <v>429</v>
      </c>
      <c r="EM78" t="s">
        <v>431</v>
      </c>
      <c r="EW78" t="s">
        <v>432</v>
      </c>
      <c r="FA78" t="s">
        <v>404</v>
      </c>
    </row>
    <row r="79" spans="1:158">
      <c r="A79">
        <v>113</v>
      </c>
      <c r="B79" t="s">
        <v>198</v>
      </c>
      <c r="C79" t="s">
        <v>1395</v>
      </c>
      <c r="D79" t="s">
        <v>1396</v>
      </c>
      <c r="E79">
        <v>1</v>
      </c>
      <c r="F79" t="s">
        <v>1397</v>
      </c>
      <c r="G79" t="s">
        <v>1398</v>
      </c>
      <c r="H79" t="s">
        <v>1399</v>
      </c>
      <c r="I79" t="s">
        <v>1400</v>
      </c>
      <c r="J79">
        <v>113</v>
      </c>
      <c r="K79" t="s">
        <v>367</v>
      </c>
      <c r="O79" t="s">
        <v>533</v>
      </c>
      <c r="R79" t="s">
        <v>370</v>
      </c>
      <c r="T79" t="s">
        <v>383</v>
      </c>
      <c r="V79" t="s">
        <v>1401</v>
      </c>
      <c r="Z79" t="s">
        <v>378</v>
      </c>
      <c r="AA79" t="s">
        <v>200</v>
      </c>
      <c r="AB79" t="s">
        <v>1402</v>
      </c>
      <c r="AF79" t="s">
        <v>653</v>
      </c>
      <c r="AI79" t="s">
        <v>1403</v>
      </c>
      <c r="AM79" t="s">
        <v>1092</v>
      </c>
      <c r="AN79" t="s">
        <v>1404</v>
      </c>
      <c r="AQ79" t="s">
        <v>689</v>
      </c>
      <c r="AS79" t="s">
        <v>388</v>
      </c>
      <c r="AT79" t="s">
        <v>395</v>
      </c>
      <c r="AU79" t="s">
        <v>471</v>
      </c>
      <c r="AZ79" t="s">
        <v>395</v>
      </c>
      <c r="BB79" t="s">
        <v>533</v>
      </c>
      <c r="BD79" t="s">
        <v>1405</v>
      </c>
      <c r="BF79" t="s">
        <v>1406</v>
      </c>
      <c r="BG79" t="s">
        <v>395</v>
      </c>
      <c r="BH79" t="s">
        <v>395</v>
      </c>
      <c r="BK79" t="s">
        <v>1406</v>
      </c>
      <c r="BN79" t="s">
        <v>554</v>
      </c>
      <c r="BR79" t="s">
        <v>1382</v>
      </c>
      <c r="BS79" t="s">
        <v>395</v>
      </c>
      <c r="CA79" t="s">
        <v>1407</v>
      </c>
      <c r="CC79" t="s">
        <v>406</v>
      </c>
      <c r="CD79" t="s">
        <v>395</v>
      </c>
      <c r="CF79" t="s">
        <v>1400</v>
      </c>
      <c r="CG79" t="s">
        <v>971</v>
      </c>
      <c r="CH79" t="s">
        <v>1408</v>
      </c>
      <c r="CI79" t="s">
        <v>430</v>
      </c>
      <c r="CJ79" t="s">
        <v>559</v>
      </c>
      <c r="CK79" t="s">
        <v>1395</v>
      </c>
      <c r="CO79" t="s">
        <v>1409</v>
      </c>
      <c r="CP79" t="s">
        <v>1410</v>
      </c>
      <c r="CQ79" t="s">
        <v>1411</v>
      </c>
      <c r="CR79" t="s">
        <v>383</v>
      </c>
      <c r="CT79" t="s">
        <v>1412</v>
      </c>
      <c r="CU79" t="s">
        <v>1413</v>
      </c>
      <c r="CV79" t="s">
        <v>416</v>
      </c>
      <c r="CW79" t="s">
        <v>388</v>
      </c>
      <c r="CX79" t="s">
        <v>481</v>
      </c>
      <c r="CY79" t="s">
        <v>517</v>
      </c>
      <c r="CZ79" t="s">
        <v>569</v>
      </c>
      <c r="DA79" t="s">
        <v>367</v>
      </c>
      <c r="DB79" t="s">
        <v>946</v>
      </c>
      <c r="DC79" t="s">
        <v>419</v>
      </c>
      <c r="DL79" t="s">
        <v>426</v>
      </c>
      <c r="DN79" t="s">
        <v>395</v>
      </c>
      <c r="DO79" t="s">
        <v>1398</v>
      </c>
      <c r="DP79" t="s">
        <v>401</v>
      </c>
      <c r="DQ79" t="s">
        <v>395</v>
      </c>
      <c r="DR79" t="s">
        <v>401</v>
      </c>
      <c r="DS79" t="s">
        <v>1414</v>
      </c>
      <c r="DT79" t="s">
        <v>555</v>
      </c>
      <c r="DU79" t="s">
        <v>1415</v>
      </c>
      <c r="DV79" t="s">
        <v>1415</v>
      </c>
      <c r="EA79" t="s">
        <v>1102</v>
      </c>
      <c r="EB79" t="s">
        <v>1102</v>
      </c>
      <c r="EC79" t="s">
        <v>395</v>
      </c>
      <c r="ED79" t="s">
        <v>1081</v>
      </c>
      <c r="EF79" t="s">
        <v>492</v>
      </c>
      <c r="EG79" t="s">
        <v>429</v>
      </c>
      <c r="EH79" t="s">
        <v>430</v>
      </c>
      <c r="EI79" t="s">
        <v>639</v>
      </c>
      <c r="EJ79" t="s">
        <v>780</v>
      </c>
      <c r="EK79" t="s">
        <v>779</v>
      </c>
      <c r="EL79" t="s">
        <v>430</v>
      </c>
      <c r="EM79" t="s">
        <v>431</v>
      </c>
      <c r="EW79" t="s">
        <v>1416</v>
      </c>
      <c r="FA79" t="s">
        <v>404</v>
      </c>
      <c r="FB79" t="s">
        <v>26</v>
      </c>
    </row>
    <row r="80" spans="1:158">
      <c r="A80">
        <v>67</v>
      </c>
      <c r="B80" t="s">
        <v>1417</v>
      </c>
      <c r="C80" t="s">
        <v>1418</v>
      </c>
      <c r="D80" t="s">
        <v>1418</v>
      </c>
      <c r="E80">
        <v>1</v>
      </c>
      <c r="F80" t="s">
        <v>1419</v>
      </c>
      <c r="G80" t="s">
        <v>1420</v>
      </c>
      <c r="H80" t="s">
        <v>1421</v>
      </c>
      <c r="I80" t="s">
        <v>1422</v>
      </c>
      <c r="J80">
        <v>67</v>
      </c>
      <c r="K80" t="s">
        <v>1423</v>
      </c>
      <c r="L80" t="s">
        <v>1424</v>
      </c>
      <c r="O80" t="s">
        <v>441</v>
      </c>
      <c r="R80" t="s">
        <v>370</v>
      </c>
      <c r="X80" t="s">
        <v>1425</v>
      </c>
      <c r="AA80" t="s">
        <v>1418</v>
      </c>
      <c r="AB80" t="s">
        <v>1426</v>
      </c>
      <c r="AF80" t="s">
        <v>653</v>
      </c>
      <c r="AG80" t="s">
        <v>654</v>
      </c>
      <c r="AH80" t="s">
        <v>1427</v>
      </c>
      <c r="AI80" t="s">
        <v>1428</v>
      </c>
      <c r="AJ80" t="s">
        <v>1429</v>
      </c>
      <c r="AL80" t="s">
        <v>1029</v>
      </c>
      <c r="AN80" t="s">
        <v>1430</v>
      </c>
      <c r="AT80" t="s">
        <v>660</v>
      </c>
      <c r="AU80" t="s">
        <v>444</v>
      </c>
      <c r="AW80" t="s">
        <v>1431</v>
      </c>
      <c r="AX80" t="s">
        <v>1432</v>
      </c>
      <c r="AY80" t="s">
        <v>1433</v>
      </c>
      <c r="BB80" t="s">
        <v>542</v>
      </c>
      <c r="BF80" t="s">
        <v>1434</v>
      </c>
      <c r="BH80" t="s">
        <v>666</v>
      </c>
      <c r="BI80" t="s">
        <v>1435</v>
      </c>
      <c r="BM80" t="s">
        <v>1436</v>
      </c>
      <c r="BN80" t="s">
        <v>554</v>
      </c>
      <c r="BT80" t="s">
        <v>402</v>
      </c>
      <c r="CA80" t="s">
        <v>1437</v>
      </c>
      <c r="CC80" t="s">
        <v>406</v>
      </c>
      <c r="CG80" t="s">
        <v>558</v>
      </c>
      <c r="CI80" t="s">
        <v>404</v>
      </c>
      <c r="CJ80" t="s">
        <v>408</v>
      </c>
      <c r="CO80" t="s">
        <v>1438</v>
      </c>
      <c r="CU80" t="s">
        <v>1439</v>
      </c>
      <c r="CX80" t="s">
        <v>26</v>
      </c>
      <c r="CZ80" t="s">
        <v>569</v>
      </c>
      <c r="DS80" t="s">
        <v>1440</v>
      </c>
      <c r="DT80" t="s">
        <v>402</v>
      </c>
      <c r="DX80" t="s">
        <v>1441</v>
      </c>
      <c r="EF80" t="s">
        <v>492</v>
      </c>
      <c r="EG80" t="s">
        <v>429</v>
      </c>
      <c r="EH80" t="s">
        <v>430</v>
      </c>
      <c r="EK80" t="s">
        <v>429</v>
      </c>
      <c r="EL80" t="s">
        <v>430</v>
      </c>
      <c r="EW80" t="s">
        <v>444</v>
      </c>
      <c r="FA80" t="s">
        <v>404</v>
      </c>
      <c r="FB80" t="s">
        <v>1442</v>
      </c>
    </row>
    <row r="81" spans="1:158">
      <c r="A81">
        <v>173</v>
      </c>
      <c r="B81" t="s">
        <v>93</v>
      </c>
      <c r="C81" t="s">
        <v>94</v>
      </c>
      <c r="D81" t="s">
        <v>94</v>
      </c>
      <c r="E81">
        <v>1</v>
      </c>
      <c r="F81" t="s">
        <v>1443</v>
      </c>
      <c r="G81" t="s">
        <v>1444</v>
      </c>
      <c r="H81" t="s">
        <v>1445</v>
      </c>
      <c r="I81" t="s">
        <v>1446</v>
      </c>
      <c r="J81">
        <v>173</v>
      </c>
      <c r="K81" t="s">
        <v>418</v>
      </c>
      <c r="M81" t="s">
        <v>1447</v>
      </c>
      <c r="N81" t="s">
        <v>369</v>
      </c>
      <c r="O81" t="s">
        <v>533</v>
      </c>
      <c r="P81" t="s">
        <v>1448</v>
      </c>
      <c r="R81" t="s">
        <v>370</v>
      </c>
      <c r="S81" t="s">
        <v>1449</v>
      </c>
      <c r="T81" t="s">
        <v>383</v>
      </c>
      <c r="U81" t="s">
        <v>177</v>
      </c>
      <c r="V81" t="s">
        <v>1450</v>
      </c>
      <c r="W81" t="s">
        <v>1451</v>
      </c>
      <c r="X81" t="s">
        <v>1452</v>
      </c>
      <c r="Z81" t="s">
        <v>378</v>
      </c>
      <c r="AA81" t="s">
        <v>1453</v>
      </c>
      <c r="AB81" t="s">
        <v>1454</v>
      </c>
      <c r="AD81" t="s">
        <v>1455</v>
      </c>
      <c r="AE81" t="s">
        <v>1456</v>
      </c>
      <c r="AI81" t="s">
        <v>383</v>
      </c>
      <c r="AM81" t="s">
        <v>1457</v>
      </c>
      <c r="AN81" t="s">
        <v>1458</v>
      </c>
      <c r="AP81" t="s">
        <v>1459</v>
      </c>
      <c r="AQ81" t="s">
        <v>1064</v>
      </c>
      <c r="AS81" t="s">
        <v>543</v>
      </c>
      <c r="AU81" t="s">
        <v>389</v>
      </c>
      <c r="AV81" t="s">
        <v>1460</v>
      </c>
      <c r="AW81" t="s">
        <v>1461</v>
      </c>
      <c r="AX81" t="s">
        <v>1462</v>
      </c>
      <c r="AY81" t="s">
        <v>1463</v>
      </c>
      <c r="AZ81" t="s">
        <v>1464</v>
      </c>
      <c r="BB81" t="s">
        <v>1465</v>
      </c>
      <c r="BC81" t="s">
        <v>1466</v>
      </c>
      <c r="BD81" t="s">
        <v>383</v>
      </c>
      <c r="BE81" t="s">
        <v>1467</v>
      </c>
      <c r="BF81" t="s">
        <v>551</v>
      </c>
      <c r="BG81" t="s">
        <v>1468</v>
      </c>
      <c r="BK81" t="s">
        <v>551</v>
      </c>
      <c r="BL81" t="s">
        <v>397</v>
      </c>
      <c r="BM81" t="s">
        <v>1469</v>
      </c>
      <c r="BP81" t="s">
        <v>1470</v>
      </c>
      <c r="BR81" t="s">
        <v>1471</v>
      </c>
      <c r="BS81" t="s">
        <v>703</v>
      </c>
      <c r="BT81" t="s">
        <v>1472</v>
      </c>
      <c r="BV81" t="s">
        <v>703</v>
      </c>
      <c r="BZ81" t="s">
        <v>404</v>
      </c>
      <c r="CA81" t="s">
        <v>1473</v>
      </c>
      <c r="CC81" t="s">
        <v>406</v>
      </c>
      <c r="CD81" t="s">
        <v>395</v>
      </c>
      <c r="CF81" t="s">
        <v>1446</v>
      </c>
      <c r="CG81" t="s">
        <v>558</v>
      </c>
      <c r="CH81" t="s">
        <v>1474</v>
      </c>
      <c r="CI81" t="s">
        <v>430</v>
      </c>
      <c r="CJ81" t="s">
        <v>559</v>
      </c>
      <c r="CK81" t="s">
        <v>94</v>
      </c>
      <c r="CO81" t="s">
        <v>1475</v>
      </c>
      <c r="CP81" t="s">
        <v>1476</v>
      </c>
      <c r="CQ81" t="s">
        <v>1477</v>
      </c>
      <c r="CR81" t="s">
        <v>1478</v>
      </c>
      <c r="CT81" t="s">
        <v>1479</v>
      </c>
      <c r="CU81" t="s">
        <v>1480</v>
      </c>
      <c r="CV81" t="s">
        <v>1481</v>
      </c>
      <c r="CW81" t="s">
        <v>1482</v>
      </c>
      <c r="CX81" t="s">
        <v>673</v>
      </c>
      <c r="CY81" t="s">
        <v>568</v>
      </c>
      <c r="DA81" t="s">
        <v>418</v>
      </c>
      <c r="DB81" t="s">
        <v>1483</v>
      </c>
      <c r="DC81" t="s">
        <v>1029</v>
      </c>
      <c r="DE81" t="s">
        <v>1468</v>
      </c>
      <c r="DF81" t="s">
        <v>421</v>
      </c>
      <c r="DH81" t="s">
        <v>1484</v>
      </c>
      <c r="DI81" t="s">
        <v>1485</v>
      </c>
      <c r="DJ81" t="s">
        <v>1486</v>
      </c>
      <c r="DK81" t="s">
        <v>1487</v>
      </c>
      <c r="DL81" t="s">
        <v>1488</v>
      </c>
      <c r="DN81" t="s">
        <v>401</v>
      </c>
      <c r="DO81" t="s">
        <v>1444</v>
      </c>
      <c r="DP81" t="s">
        <v>395</v>
      </c>
      <c r="DQ81" t="s">
        <v>1470</v>
      </c>
      <c r="DR81" t="s">
        <v>395</v>
      </c>
      <c r="DS81" t="s">
        <v>1489</v>
      </c>
      <c r="DT81" t="s">
        <v>1490</v>
      </c>
      <c r="DU81" t="s">
        <v>1491</v>
      </c>
      <c r="EA81" t="s">
        <v>1492</v>
      </c>
      <c r="EC81" t="s">
        <v>395</v>
      </c>
      <c r="ED81" t="s">
        <v>1493</v>
      </c>
      <c r="EE81" t="s">
        <v>1494</v>
      </c>
      <c r="EF81" t="s">
        <v>492</v>
      </c>
      <c r="EG81" t="s">
        <v>429</v>
      </c>
      <c r="EH81" t="s">
        <v>404</v>
      </c>
      <c r="EI81" t="s">
        <v>520</v>
      </c>
      <c r="EJ81" t="s">
        <v>429</v>
      </c>
      <c r="EK81" t="s">
        <v>429</v>
      </c>
      <c r="EL81" t="s">
        <v>430</v>
      </c>
      <c r="EM81" t="s">
        <v>431</v>
      </c>
      <c r="EW81" t="s">
        <v>432</v>
      </c>
      <c r="FA81" t="s">
        <v>404</v>
      </c>
      <c r="FB81" t="s">
        <v>26</v>
      </c>
    </row>
    <row r="82" spans="1:158">
      <c r="A82">
        <v>107</v>
      </c>
      <c r="B82" t="s">
        <v>1495</v>
      </c>
      <c r="C82" t="s">
        <v>1496</v>
      </c>
      <c r="D82" t="s">
        <v>362</v>
      </c>
      <c r="E82">
        <v>0</v>
      </c>
      <c r="G82" t="s">
        <v>362</v>
      </c>
      <c r="H82" t="s">
        <v>362</v>
      </c>
      <c r="I82" t="s">
        <v>362</v>
      </c>
      <c r="J82">
        <v>107</v>
      </c>
      <c r="O82" t="s">
        <v>441</v>
      </c>
      <c r="R82" t="s">
        <v>370</v>
      </c>
      <c r="AU82" t="s">
        <v>471</v>
      </c>
      <c r="BF82" t="s">
        <v>395</v>
      </c>
      <c r="CC82" t="s">
        <v>406</v>
      </c>
      <c r="CO82" t="s">
        <v>1497</v>
      </c>
      <c r="DT82" t="s">
        <v>395</v>
      </c>
      <c r="EF82" t="s">
        <v>492</v>
      </c>
      <c r="EG82" t="s">
        <v>492</v>
      </c>
      <c r="EK82" t="s">
        <v>492</v>
      </c>
      <c r="FA82" t="s">
        <v>404</v>
      </c>
    </row>
    <row r="83" spans="1:158">
      <c r="A83">
        <v>156</v>
      </c>
      <c r="B83" t="s">
        <v>65</v>
      </c>
      <c r="C83" t="s">
        <v>1498</v>
      </c>
      <c r="D83" t="s">
        <v>1499</v>
      </c>
      <c r="E83">
        <v>1</v>
      </c>
      <c r="F83" t="s">
        <v>1500</v>
      </c>
      <c r="G83" t="s">
        <v>1501</v>
      </c>
      <c r="H83" t="s">
        <v>852</v>
      </c>
      <c r="I83" t="s">
        <v>853</v>
      </c>
      <c r="J83">
        <v>156</v>
      </c>
      <c r="K83" t="s">
        <v>531</v>
      </c>
      <c r="M83" t="s">
        <v>1502</v>
      </c>
      <c r="N83" t="s">
        <v>369</v>
      </c>
      <c r="O83" t="s">
        <v>533</v>
      </c>
      <c r="P83" t="s">
        <v>855</v>
      </c>
      <c r="R83" t="s">
        <v>370</v>
      </c>
      <c r="T83" t="s">
        <v>383</v>
      </c>
      <c r="U83" t="s">
        <v>177</v>
      </c>
      <c r="V83" t="s">
        <v>1503</v>
      </c>
      <c r="W83" t="s">
        <v>1504</v>
      </c>
      <c r="X83" t="s">
        <v>1505</v>
      </c>
      <c r="Z83" t="s">
        <v>378</v>
      </c>
      <c r="AA83" t="s">
        <v>66</v>
      </c>
      <c r="AB83" t="s">
        <v>859</v>
      </c>
      <c r="AE83" t="s">
        <v>508</v>
      </c>
      <c r="AI83" t="s">
        <v>383</v>
      </c>
      <c r="AM83" t="s">
        <v>1506</v>
      </c>
      <c r="AN83" t="s">
        <v>1507</v>
      </c>
      <c r="AP83" t="s">
        <v>1508</v>
      </c>
      <c r="AQ83" t="s">
        <v>689</v>
      </c>
      <c r="AR83" t="s">
        <v>542</v>
      </c>
      <c r="AS83" t="s">
        <v>543</v>
      </c>
      <c r="AU83" t="s">
        <v>389</v>
      </c>
      <c r="AV83" t="s">
        <v>1509</v>
      </c>
      <c r="AW83" t="s">
        <v>1510</v>
      </c>
      <c r="AX83" t="s">
        <v>546</v>
      </c>
      <c r="AY83" t="s">
        <v>547</v>
      </c>
      <c r="AZ83" t="s">
        <v>1511</v>
      </c>
      <c r="BA83" t="s">
        <v>1512</v>
      </c>
      <c r="BB83" t="s">
        <v>542</v>
      </c>
      <c r="BC83" t="s">
        <v>549</v>
      </c>
      <c r="BD83" t="s">
        <v>383</v>
      </c>
      <c r="BE83" t="s">
        <v>867</v>
      </c>
      <c r="BF83" t="s">
        <v>868</v>
      </c>
      <c r="BG83" t="s">
        <v>395</v>
      </c>
      <c r="BK83" t="s">
        <v>868</v>
      </c>
      <c r="BL83" t="s">
        <v>869</v>
      </c>
      <c r="BM83" t="s">
        <v>1513</v>
      </c>
      <c r="BN83" t="s">
        <v>554</v>
      </c>
      <c r="BR83" t="s">
        <v>1029</v>
      </c>
      <c r="BS83" t="s">
        <v>395</v>
      </c>
      <c r="BT83" t="s">
        <v>1147</v>
      </c>
      <c r="BU83" t="s">
        <v>614</v>
      </c>
      <c r="BY83" t="s">
        <v>614</v>
      </c>
      <c r="BZ83" t="s">
        <v>430</v>
      </c>
      <c r="CA83" t="s">
        <v>1514</v>
      </c>
      <c r="CC83" t="s">
        <v>406</v>
      </c>
      <c r="CD83" t="s">
        <v>1515</v>
      </c>
      <c r="CE83" t="s">
        <v>1516</v>
      </c>
      <c r="CF83" t="s">
        <v>853</v>
      </c>
      <c r="CG83" t="s">
        <v>558</v>
      </c>
      <c r="CH83" t="s">
        <v>383</v>
      </c>
      <c r="CI83" t="s">
        <v>430</v>
      </c>
      <c r="CJ83" t="s">
        <v>559</v>
      </c>
      <c r="CK83" t="s">
        <v>1498</v>
      </c>
      <c r="CO83" t="s">
        <v>877</v>
      </c>
      <c r="CP83" t="s">
        <v>1517</v>
      </c>
      <c r="CQ83" t="s">
        <v>1518</v>
      </c>
      <c r="CR83" t="s">
        <v>1519</v>
      </c>
      <c r="CS83" t="s">
        <v>1520</v>
      </c>
      <c r="CT83" t="s">
        <v>1521</v>
      </c>
      <c r="CU83" t="s">
        <v>1522</v>
      </c>
      <c r="CV83" t="s">
        <v>567</v>
      </c>
      <c r="CW83" t="s">
        <v>388</v>
      </c>
      <c r="CX83" t="s">
        <v>481</v>
      </c>
      <c r="CY83" t="s">
        <v>517</v>
      </c>
      <c r="CZ83" t="s">
        <v>569</v>
      </c>
      <c r="DA83" t="s">
        <v>884</v>
      </c>
      <c r="DB83" t="s">
        <v>885</v>
      </c>
      <c r="DC83" t="s">
        <v>419</v>
      </c>
      <c r="DF83" t="s">
        <v>421</v>
      </c>
      <c r="DH83" t="s">
        <v>886</v>
      </c>
      <c r="DI83" t="s">
        <v>887</v>
      </c>
      <c r="DJ83" t="s">
        <v>888</v>
      </c>
      <c r="DK83" t="s">
        <v>889</v>
      </c>
      <c r="DL83" t="s">
        <v>426</v>
      </c>
      <c r="DN83" t="s">
        <v>395</v>
      </c>
      <c r="DO83" t="s">
        <v>1501</v>
      </c>
      <c r="DP83" t="s">
        <v>395</v>
      </c>
      <c r="DQ83" t="s">
        <v>395</v>
      </c>
      <c r="DR83" t="s">
        <v>395</v>
      </c>
      <c r="DS83" t="s">
        <v>1523</v>
      </c>
      <c r="DT83" t="s">
        <v>1524</v>
      </c>
      <c r="DU83" t="s">
        <v>1524</v>
      </c>
      <c r="DV83" t="s">
        <v>1524</v>
      </c>
      <c r="DW83" t="s">
        <v>891</v>
      </c>
      <c r="EB83" t="s">
        <v>395</v>
      </c>
      <c r="EC83" t="s">
        <v>395</v>
      </c>
      <c r="ED83" t="s">
        <v>1524</v>
      </c>
      <c r="EE83" t="s">
        <v>573</v>
      </c>
      <c r="EF83" t="s">
        <v>492</v>
      </c>
      <c r="EG83" t="s">
        <v>779</v>
      </c>
      <c r="EH83" t="s">
        <v>430</v>
      </c>
      <c r="EI83" t="s">
        <v>431</v>
      </c>
      <c r="EJ83" t="s">
        <v>780</v>
      </c>
      <c r="EK83" t="s">
        <v>779</v>
      </c>
      <c r="EL83" t="s">
        <v>430</v>
      </c>
      <c r="EM83" t="s">
        <v>431</v>
      </c>
      <c r="EQ83" t="s">
        <v>891</v>
      </c>
      <c r="ER83" t="s">
        <v>614</v>
      </c>
      <c r="EV83" t="s">
        <v>891</v>
      </c>
      <c r="EW83" t="s">
        <v>432</v>
      </c>
      <c r="FA83" t="s">
        <v>404</v>
      </c>
      <c r="FB83" t="s">
        <v>26</v>
      </c>
    </row>
    <row r="84" spans="1:158">
      <c r="A84">
        <v>130</v>
      </c>
      <c r="B84" t="s">
        <v>47</v>
      </c>
      <c r="C84" t="s">
        <v>1525</v>
      </c>
      <c r="D84" t="s">
        <v>1525</v>
      </c>
      <c r="E84">
        <v>1</v>
      </c>
      <c r="F84" t="s">
        <v>1526</v>
      </c>
      <c r="G84" t="s">
        <v>1527</v>
      </c>
      <c r="H84" t="s">
        <v>680</v>
      </c>
      <c r="I84" t="s">
        <v>681</v>
      </c>
      <c r="J84">
        <v>130</v>
      </c>
      <c r="K84" t="s">
        <v>531</v>
      </c>
      <c r="O84" t="s">
        <v>533</v>
      </c>
      <c r="R84" t="s">
        <v>370</v>
      </c>
      <c r="T84" t="s">
        <v>383</v>
      </c>
      <c r="V84" t="s">
        <v>1528</v>
      </c>
      <c r="X84" t="s">
        <v>1529</v>
      </c>
      <c r="Z84" t="s">
        <v>378</v>
      </c>
      <c r="AA84" t="s">
        <v>48</v>
      </c>
      <c r="AB84" t="s">
        <v>684</v>
      </c>
      <c r="AF84" t="s">
        <v>653</v>
      </c>
      <c r="AG84" t="s">
        <v>654</v>
      </c>
      <c r="AI84" t="s">
        <v>1530</v>
      </c>
      <c r="AJ84" t="s">
        <v>177</v>
      </c>
      <c r="AM84" t="s">
        <v>1531</v>
      </c>
      <c r="AN84" t="s">
        <v>1532</v>
      </c>
      <c r="AQ84" t="s">
        <v>689</v>
      </c>
      <c r="AR84" t="s">
        <v>542</v>
      </c>
      <c r="AS84" t="s">
        <v>388</v>
      </c>
      <c r="AT84" t="s">
        <v>660</v>
      </c>
      <c r="AU84" t="s">
        <v>444</v>
      </c>
      <c r="AY84" t="s">
        <v>547</v>
      </c>
      <c r="AZ84" t="s">
        <v>395</v>
      </c>
      <c r="BA84" t="s">
        <v>533</v>
      </c>
      <c r="BB84" t="s">
        <v>542</v>
      </c>
      <c r="BC84" t="s">
        <v>549</v>
      </c>
      <c r="BD84" t="s">
        <v>383</v>
      </c>
      <c r="BF84" t="s">
        <v>571</v>
      </c>
      <c r="BG84" t="s">
        <v>395</v>
      </c>
      <c r="BH84" t="s">
        <v>666</v>
      </c>
      <c r="BI84" t="s">
        <v>1533</v>
      </c>
      <c r="BK84" t="s">
        <v>571</v>
      </c>
      <c r="BM84" t="s">
        <v>1534</v>
      </c>
      <c r="BN84" t="s">
        <v>554</v>
      </c>
      <c r="BR84" t="s">
        <v>1535</v>
      </c>
      <c r="BS84" t="s">
        <v>395</v>
      </c>
      <c r="BT84" t="s">
        <v>1535</v>
      </c>
      <c r="CA84" t="s">
        <v>1536</v>
      </c>
      <c r="CC84" t="s">
        <v>406</v>
      </c>
      <c r="CD84" t="s">
        <v>395</v>
      </c>
      <c r="CF84" t="s">
        <v>681</v>
      </c>
      <c r="CG84" t="s">
        <v>695</v>
      </c>
      <c r="CH84" t="s">
        <v>383</v>
      </c>
      <c r="CI84" t="s">
        <v>430</v>
      </c>
      <c r="CJ84" t="s">
        <v>559</v>
      </c>
      <c r="CK84" t="s">
        <v>1525</v>
      </c>
      <c r="CO84" t="s">
        <v>696</v>
      </c>
      <c r="CP84" t="s">
        <v>1537</v>
      </c>
      <c r="CQ84" t="s">
        <v>1538</v>
      </c>
      <c r="CR84" t="s">
        <v>699</v>
      </c>
      <c r="CT84" t="s">
        <v>1539</v>
      </c>
      <c r="CU84" t="s">
        <v>1540</v>
      </c>
      <c r="CV84" t="s">
        <v>416</v>
      </c>
      <c r="CW84" t="s">
        <v>388</v>
      </c>
      <c r="CX84" t="s">
        <v>417</v>
      </c>
      <c r="CY84" t="s">
        <v>568</v>
      </c>
      <c r="CZ84" t="s">
        <v>569</v>
      </c>
      <c r="DA84" t="s">
        <v>418</v>
      </c>
      <c r="DB84" t="s">
        <v>570</v>
      </c>
      <c r="DC84" t="s">
        <v>419</v>
      </c>
      <c r="DD84" t="s">
        <v>571</v>
      </c>
      <c r="DL84" t="s">
        <v>426</v>
      </c>
      <c r="DN84" t="s">
        <v>395</v>
      </c>
      <c r="DO84" t="s">
        <v>1527</v>
      </c>
      <c r="DP84" t="s">
        <v>395</v>
      </c>
      <c r="DQ84" t="s">
        <v>395</v>
      </c>
      <c r="DR84" t="s">
        <v>395</v>
      </c>
      <c r="DS84" t="s">
        <v>1541</v>
      </c>
      <c r="DT84" t="s">
        <v>1535</v>
      </c>
      <c r="DU84" t="s">
        <v>1382</v>
      </c>
      <c r="DV84" t="s">
        <v>1382</v>
      </c>
      <c r="EA84" t="s">
        <v>1542</v>
      </c>
      <c r="EB84" t="s">
        <v>1542</v>
      </c>
      <c r="EC84" t="s">
        <v>395</v>
      </c>
      <c r="ED84" t="s">
        <v>1535</v>
      </c>
      <c r="EE84" t="s">
        <v>573</v>
      </c>
      <c r="EF84" t="s">
        <v>492</v>
      </c>
      <c r="EG84" t="s">
        <v>492</v>
      </c>
      <c r="EH84" t="s">
        <v>430</v>
      </c>
      <c r="EI84" t="s">
        <v>431</v>
      </c>
      <c r="EJ84" t="s">
        <v>429</v>
      </c>
      <c r="EK84" t="s">
        <v>492</v>
      </c>
      <c r="EL84" t="s">
        <v>430</v>
      </c>
      <c r="EM84" t="s">
        <v>431</v>
      </c>
      <c r="EW84" t="s">
        <v>444</v>
      </c>
      <c r="FA84" t="s">
        <v>404</v>
      </c>
      <c r="FB84" t="s">
        <v>26</v>
      </c>
    </row>
    <row r="85" spans="1:158">
      <c r="A85">
        <v>87</v>
      </c>
      <c r="B85" t="s">
        <v>1543</v>
      </c>
      <c r="C85" t="s">
        <v>1544</v>
      </c>
      <c r="D85" t="s">
        <v>362</v>
      </c>
      <c r="E85">
        <v>1</v>
      </c>
      <c r="F85" t="s">
        <v>751</v>
      </c>
      <c r="G85" t="s">
        <v>752</v>
      </c>
      <c r="H85" t="s">
        <v>362</v>
      </c>
      <c r="I85" t="s">
        <v>753</v>
      </c>
      <c r="J85">
        <v>87</v>
      </c>
      <c r="O85" t="s">
        <v>441</v>
      </c>
      <c r="R85" t="s">
        <v>1047</v>
      </c>
      <c r="AU85" t="s">
        <v>471</v>
      </c>
      <c r="BF85" t="s">
        <v>395</v>
      </c>
      <c r="CC85" t="s">
        <v>406</v>
      </c>
      <c r="CI85" t="s">
        <v>404</v>
      </c>
      <c r="CO85" t="s">
        <v>939</v>
      </c>
      <c r="DT85" t="s">
        <v>395</v>
      </c>
      <c r="FA85" t="s">
        <v>404</v>
      </c>
    </row>
    <row r="86" spans="1:158">
      <c r="A86">
        <v>193</v>
      </c>
      <c r="B86" t="s">
        <v>97</v>
      </c>
      <c r="C86" t="s">
        <v>1545</v>
      </c>
      <c r="D86" t="s">
        <v>1546</v>
      </c>
      <c r="E86">
        <v>1</v>
      </c>
      <c r="F86" t="s">
        <v>1547</v>
      </c>
      <c r="G86" t="s">
        <v>1548</v>
      </c>
      <c r="H86" t="s">
        <v>1549</v>
      </c>
      <c r="I86" t="s">
        <v>1550</v>
      </c>
      <c r="J86">
        <v>193</v>
      </c>
      <c r="K86" t="s">
        <v>531</v>
      </c>
      <c r="M86" t="s">
        <v>1551</v>
      </c>
      <c r="N86" t="s">
        <v>1126</v>
      </c>
      <c r="O86" t="s">
        <v>533</v>
      </c>
      <c r="P86" t="s">
        <v>1552</v>
      </c>
      <c r="R86" t="s">
        <v>370</v>
      </c>
      <c r="T86" t="s">
        <v>383</v>
      </c>
      <c r="U86" t="s">
        <v>177</v>
      </c>
      <c r="V86" t="s">
        <v>1553</v>
      </c>
      <c r="W86" t="s">
        <v>1554</v>
      </c>
      <c r="X86" t="s">
        <v>1555</v>
      </c>
      <c r="Z86" t="s">
        <v>378</v>
      </c>
      <c r="AA86" t="s">
        <v>1556</v>
      </c>
      <c r="AB86" t="s">
        <v>859</v>
      </c>
      <c r="AD86" t="s">
        <v>1557</v>
      </c>
      <c r="AE86" t="s">
        <v>1335</v>
      </c>
      <c r="AI86" t="s">
        <v>383</v>
      </c>
      <c r="AM86" t="s">
        <v>1558</v>
      </c>
      <c r="AN86" t="s">
        <v>1559</v>
      </c>
      <c r="AP86" t="s">
        <v>1560</v>
      </c>
      <c r="AQ86" t="s">
        <v>689</v>
      </c>
      <c r="AS86" t="s">
        <v>1561</v>
      </c>
      <c r="AU86" t="s">
        <v>389</v>
      </c>
      <c r="AV86" t="s">
        <v>1562</v>
      </c>
      <c r="AW86" t="s">
        <v>1563</v>
      </c>
      <c r="AX86" t="s">
        <v>1564</v>
      </c>
      <c r="AY86" t="s">
        <v>547</v>
      </c>
      <c r="AZ86" t="s">
        <v>1464</v>
      </c>
      <c r="BB86" t="s">
        <v>533</v>
      </c>
      <c r="BC86" t="s">
        <v>549</v>
      </c>
      <c r="BD86" t="s">
        <v>383</v>
      </c>
      <c r="BE86" t="s">
        <v>1565</v>
      </c>
      <c r="BF86" t="s">
        <v>1566</v>
      </c>
      <c r="BG86" t="s">
        <v>1567</v>
      </c>
      <c r="BK86" t="s">
        <v>1568</v>
      </c>
      <c r="BL86" t="s">
        <v>869</v>
      </c>
      <c r="BM86" t="s">
        <v>1569</v>
      </c>
      <c r="BR86" t="s">
        <v>1570</v>
      </c>
      <c r="BS86" t="s">
        <v>1147</v>
      </c>
      <c r="BU86" t="s">
        <v>1571</v>
      </c>
      <c r="BV86" t="s">
        <v>1238</v>
      </c>
      <c r="BZ86" t="s">
        <v>404</v>
      </c>
      <c r="CA86" t="s">
        <v>1572</v>
      </c>
      <c r="CC86" t="s">
        <v>406</v>
      </c>
      <c r="CD86" t="s">
        <v>395</v>
      </c>
      <c r="CE86" t="s">
        <v>1573</v>
      </c>
      <c r="CF86" t="s">
        <v>1550</v>
      </c>
      <c r="CG86" t="s">
        <v>558</v>
      </c>
      <c r="CH86" t="s">
        <v>1574</v>
      </c>
      <c r="CI86" t="s">
        <v>430</v>
      </c>
      <c r="CJ86" t="s">
        <v>559</v>
      </c>
      <c r="CK86" t="s">
        <v>98</v>
      </c>
      <c r="CO86" t="s">
        <v>1575</v>
      </c>
      <c r="CP86" t="s">
        <v>1576</v>
      </c>
      <c r="CQ86" t="s">
        <v>1577</v>
      </c>
      <c r="CR86" t="s">
        <v>1578</v>
      </c>
      <c r="CT86" t="s">
        <v>1579</v>
      </c>
      <c r="CU86" t="s">
        <v>1580</v>
      </c>
      <c r="CV86" t="s">
        <v>1581</v>
      </c>
      <c r="CW86" t="s">
        <v>1582</v>
      </c>
      <c r="CX86" t="s">
        <v>481</v>
      </c>
      <c r="CY86" t="s">
        <v>517</v>
      </c>
      <c r="DA86" t="s">
        <v>531</v>
      </c>
      <c r="DB86" t="s">
        <v>1583</v>
      </c>
      <c r="DC86" t="s">
        <v>419</v>
      </c>
      <c r="DE86" t="s">
        <v>1584</v>
      </c>
      <c r="DF86" t="s">
        <v>421</v>
      </c>
      <c r="DH86" t="s">
        <v>886</v>
      </c>
      <c r="DI86" t="s">
        <v>887</v>
      </c>
      <c r="DJ86" t="s">
        <v>888</v>
      </c>
      <c r="DK86" t="s">
        <v>889</v>
      </c>
      <c r="DL86" t="s">
        <v>426</v>
      </c>
      <c r="DN86" t="s">
        <v>395</v>
      </c>
      <c r="DO86" t="s">
        <v>1548</v>
      </c>
      <c r="DP86" t="s">
        <v>395</v>
      </c>
      <c r="DQ86" t="s">
        <v>395</v>
      </c>
      <c r="DR86" t="s">
        <v>395</v>
      </c>
      <c r="DS86" t="s">
        <v>1585</v>
      </c>
      <c r="DT86" t="s">
        <v>1586</v>
      </c>
      <c r="DU86" t="s">
        <v>1587</v>
      </c>
      <c r="DV86" t="s">
        <v>1587</v>
      </c>
      <c r="DW86" t="s">
        <v>1571</v>
      </c>
      <c r="DY86" t="s">
        <v>1524</v>
      </c>
      <c r="EA86" t="s">
        <v>1524</v>
      </c>
      <c r="EB86" t="s">
        <v>1524</v>
      </c>
      <c r="EC86" t="s">
        <v>395</v>
      </c>
      <c r="ED86" t="s">
        <v>1586</v>
      </c>
      <c r="EE86" t="s">
        <v>573</v>
      </c>
      <c r="EF86" t="s">
        <v>492</v>
      </c>
      <c r="EG86" t="s">
        <v>492</v>
      </c>
      <c r="EH86" t="s">
        <v>430</v>
      </c>
      <c r="EI86" t="s">
        <v>431</v>
      </c>
      <c r="EJ86" t="s">
        <v>429</v>
      </c>
      <c r="EK86" t="s">
        <v>492</v>
      </c>
      <c r="EL86" t="s">
        <v>430</v>
      </c>
      <c r="EM86" t="s">
        <v>431</v>
      </c>
      <c r="ET86" t="s">
        <v>1588</v>
      </c>
      <c r="EW86" t="s">
        <v>432</v>
      </c>
      <c r="FA86" t="s">
        <v>404</v>
      </c>
      <c r="FB86" t="s">
        <v>1589</v>
      </c>
    </row>
    <row r="87" spans="1:158">
      <c r="A87">
        <v>150</v>
      </c>
      <c r="B87" t="s">
        <v>151</v>
      </c>
      <c r="C87" t="s">
        <v>1590</v>
      </c>
      <c r="D87" t="s">
        <v>152</v>
      </c>
      <c r="E87">
        <v>1</v>
      </c>
      <c r="F87" t="s">
        <v>1591</v>
      </c>
      <c r="G87" t="s">
        <v>1592</v>
      </c>
      <c r="H87" t="s">
        <v>152</v>
      </c>
      <c r="I87" t="s">
        <v>1593</v>
      </c>
      <c r="J87">
        <v>150</v>
      </c>
      <c r="K87" t="s">
        <v>531</v>
      </c>
      <c r="O87" t="s">
        <v>533</v>
      </c>
      <c r="R87" t="s">
        <v>370</v>
      </c>
      <c r="T87" t="s">
        <v>383</v>
      </c>
      <c r="V87" t="s">
        <v>1594</v>
      </c>
      <c r="Z87" t="s">
        <v>378</v>
      </c>
      <c r="AA87" t="s">
        <v>1595</v>
      </c>
      <c r="AB87" t="s">
        <v>1596</v>
      </c>
      <c r="AG87" t="s">
        <v>654</v>
      </c>
      <c r="AI87" t="s">
        <v>1597</v>
      </c>
      <c r="AJ87" t="s">
        <v>1598</v>
      </c>
      <c r="AM87" t="s">
        <v>1599</v>
      </c>
      <c r="AN87" t="s">
        <v>1600</v>
      </c>
      <c r="AQ87" t="s">
        <v>387</v>
      </c>
      <c r="AR87" t="s">
        <v>542</v>
      </c>
      <c r="AS87" t="s">
        <v>388</v>
      </c>
      <c r="AU87" t="s">
        <v>444</v>
      </c>
      <c r="AY87" t="s">
        <v>547</v>
      </c>
      <c r="AZ87" t="s">
        <v>395</v>
      </c>
      <c r="BA87" t="s">
        <v>533</v>
      </c>
      <c r="BB87" t="s">
        <v>542</v>
      </c>
      <c r="BC87" t="s">
        <v>549</v>
      </c>
      <c r="BD87" t="s">
        <v>1601</v>
      </c>
      <c r="BF87" t="s">
        <v>1602</v>
      </c>
      <c r="BG87" t="s">
        <v>395</v>
      </c>
      <c r="BK87" t="s">
        <v>1603</v>
      </c>
      <c r="BN87" t="s">
        <v>554</v>
      </c>
      <c r="BR87" t="s">
        <v>1604</v>
      </c>
      <c r="BS87" t="s">
        <v>395</v>
      </c>
      <c r="BT87" t="s">
        <v>872</v>
      </c>
      <c r="CA87" t="s">
        <v>1605</v>
      </c>
      <c r="CC87" t="s">
        <v>406</v>
      </c>
      <c r="CD87" t="s">
        <v>395</v>
      </c>
      <c r="CF87" t="s">
        <v>1593</v>
      </c>
      <c r="CG87" t="s">
        <v>558</v>
      </c>
      <c r="CH87" t="s">
        <v>1606</v>
      </c>
      <c r="CI87" t="s">
        <v>430</v>
      </c>
      <c r="CJ87" t="s">
        <v>559</v>
      </c>
      <c r="CK87" t="s">
        <v>1590</v>
      </c>
      <c r="CO87" t="s">
        <v>1607</v>
      </c>
      <c r="CP87" t="s">
        <v>1608</v>
      </c>
      <c r="CQ87" t="s">
        <v>1609</v>
      </c>
      <c r="CR87" t="s">
        <v>1610</v>
      </c>
      <c r="CT87" t="s">
        <v>1611</v>
      </c>
      <c r="CU87" t="s">
        <v>1612</v>
      </c>
      <c r="CV87" t="s">
        <v>416</v>
      </c>
      <c r="CW87" t="s">
        <v>388</v>
      </c>
      <c r="CX87" t="s">
        <v>481</v>
      </c>
      <c r="CY87" t="s">
        <v>517</v>
      </c>
      <c r="CZ87" t="s">
        <v>569</v>
      </c>
      <c r="DA87" t="s">
        <v>418</v>
      </c>
      <c r="DB87" t="s">
        <v>570</v>
      </c>
      <c r="DC87" t="s">
        <v>419</v>
      </c>
      <c r="DD87" t="s">
        <v>571</v>
      </c>
      <c r="DL87" t="s">
        <v>426</v>
      </c>
      <c r="DN87" t="s">
        <v>395</v>
      </c>
      <c r="DO87" t="s">
        <v>1592</v>
      </c>
      <c r="DP87" t="s">
        <v>395</v>
      </c>
      <c r="DQ87" t="s">
        <v>395</v>
      </c>
      <c r="DR87" t="s">
        <v>395</v>
      </c>
      <c r="DS87" t="s">
        <v>1613</v>
      </c>
      <c r="DT87" t="s">
        <v>809</v>
      </c>
      <c r="DU87" t="s">
        <v>809</v>
      </c>
      <c r="DV87" t="s">
        <v>809</v>
      </c>
      <c r="EB87" t="s">
        <v>395</v>
      </c>
      <c r="EC87" t="s">
        <v>395</v>
      </c>
      <c r="ED87" t="s">
        <v>809</v>
      </c>
      <c r="EE87" t="s">
        <v>573</v>
      </c>
      <c r="EF87" t="s">
        <v>492</v>
      </c>
      <c r="EG87" t="s">
        <v>779</v>
      </c>
      <c r="EH87" t="s">
        <v>430</v>
      </c>
      <c r="EI87" t="s">
        <v>431</v>
      </c>
      <c r="EJ87" t="s">
        <v>429</v>
      </c>
      <c r="EK87" t="s">
        <v>779</v>
      </c>
      <c r="EL87" t="s">
        <v>430</v>
      </c>
      <c r="EM87" t="s">
        <v>431</v>
      </c>
      <c r="EW87" t="s">
        <v>444</v>
      </c>
      <c r="FA87" t="s">
        <v>404</v>
      </c>
      <c r="FB87" t="s">
        <v>26</v>
      </c>
    </row>
    <row r="88" spans="1:158">
      <c r="A88">
        <v>50</v>
      </c>
      <c r="B88" t="s">
        <v>1614</v>
      </c>
      <c r="C88" t="s">
        <v>1185</v>
      </c>
      <c r="D88" t="s">
        <v>1185</v>
      </c>
      <c r="E88">
        <v>1</v>
      </c>
      <c r="F88" t="s">
        <v>1186</v>
      </c>
      <c r="G88" t="s">
        <v>1187</v>
      </c>
      <c r="H88" t="s">
        <v>1188</v>
      </c>
      <c r="I88" t="s">
        <v>1189</v>
      </c>
      <c r="J88">
        <v>50</v>
      </c>
      <c r="O88" t="s">
        <v>441</v>
      </c>
      <c r="R88" t="s">
        <v>370</v>
      </c>
      <c r="X88" t="s">
        <v>1615</v>
      </c>
      <c r="AA88" t="s">
        <v>1191</v>
      </c>
      <c r="AF88" t="s">
        <v>729</v>
      </c>
      <c r="AG88" t="s">
        <v>430</v>
      </c>
      <c r="AI88" t="s">
        <v>1097</v>
      </c>
      <c r="AJ88" t="s">
        <v>907</v>
      </c>
      <c r="AL88" t="s">
        <v>729</v>
      </c>
      <c r="AN88" t="s">
        <v>1616</v>
      </c>
      <c r="AU88" t="s">
        <v>444</v>
      </c>
      <c r="AW88" t="s">
        <v>661</v>
      </c>
      <c r="AX88" t="s">
        <v>662</v>
      </c>
      <c r="AY88" t="s">
        <v>663</v>
      </c>
      <c r="BB88" t="s">
        <v>664</v>
      </c>
      <c r="BF88" t="s">
        <v>1276</v>
      </c>
      <c r="BM88" t="s">
        <v>1617</v>
      </c>
      <c r="BN88" t="s">
        <v>554</v>
      </c>
      <c r="BT88" t="s">
        <v>1618</v>
      </c>
      <c r="CC88" t="s">
        <v>406</v>
      </c>
      <c r="CI88" t="s">
        <v>404</v>
      </c>
      <c r="CJ88" t="s">
        <v>1619</v>
      </c>
      <c r="CO88" t="s">
        <v>671</v>
      </c>
      <c r="CU88" t="s">
        <v>1620</v>
      </c>
      <c r="CX88" t="s">
        <v>673</v>
      </c>
      <c r="CZ88" t="s">
        <v>569</v>
      </c>
      <c r="DS88" t="s">
        <v>1621</v>
      </c>
      <c r="DT88" t="s">
        <v>1199</v>
      </c>
      <c r="EF88" t="s">
        <v>492</v>
      </c>
      <c r="EG88" t="s">
        <v>429</v>
      </c>
      <c r="EH88" t="s">
        <v>430</v>
      </c>
      <c r="EK88" t="s">
        <v>492</v>
      </c>
      <c r="EL88" t="s">
        <v>430</v>
      </c>
      <c r="EW88" t="s">
        <v>444</v>
      </c>
      <c r="FA88" t="s">
        <v>404</v>
      </c>
      <c r="FB88" t="s">
        <v>1200</v>
      </c>
    </row>
    <row r="89" spans="1:158">
      <c r="A89">
        <v>47</v>
      </c>
      <c r="B89" t="s">
        <v>1622</v>
      </c>
      <c r="C89" t="s">
        <v>1623</v>
      </c>
      <c r="D89" t="s">
        <v>1623</v>
      </c>
      <c r="E89">
        <v>1</v>
      </c>
      <c r="F89" t="s">
        <v>1624</v>
      </c>
      <c r="G89" t="s">
        <v>1625</v>
      </c>
      <c r="H89" t="s">
        <v>1626</v>
      </c>
      <c r="I89" t="s">
        <v>1627</v>
      </c>
      <c r="J89">
        <v>47</v>
      </c>
      <c r="O89" t="s">
        <v>441</v>
      </c>
      <c r="R89" t="s">
        <v>370</v>
      </c>
      <c r="X89" t="s">
        <v>1628</v>
      </c>
      <c r="AA89" t="s">
        <v>1629</v>
      </c>
      <c r="AB89" t="s">
        <v>1630</v>
      </c>
      <c r="AF89" t="s">
        <v>653</v>
      </c>
      <c r="AG89" t="s">
        <v>1631</v>
      </c>
      <c r="AH89" t="s">
        <v>1632</v>
      </c>
      <c r="AI89" t="s">
        <v>1633</v>
      </c>
      <c r="AJ89" t="s">
        <v>1634</v>
      </c>
      <c r="AK89" t="s">
        <v>1635</v>
      </c>
      <c r="AL89" t="s">
        <v>1632</v>
      </c>
      <c r="AN89" t="s">
        <v>1636</v>
      </c>
      <c r="AT89" t="s">
        <v>660</v>
      </c>
      <c r="AU89" t="s">
        <v>444</v>
      </c>
      <c r="AW89" t="s">
        <v>1637</v>
      </c>
      <c r="AX89" t="s">
        <v>1638</v>
      </c>
      <c r="AY89" t="s">
        <v>1639</v>
      </c>
      <c r="BB89" t="s">
        <v>533</v>
      </c>
      <c r="BF89" t="s">
        <v>1640</v>
      </c>
      <c r="BH89" t="s">
        <v>666</v>
      </c>
      <c r="BI89" t="s">
        <v>1641</v>
      </c>
      <c r="BM89" t="s">
        <v>1642</v>
      </c>
      <c r="BN89" t="s">
        <v>554</v>
      </c>
      <c r="BT89" t="s">
        <v>1470</v>
      </c>
      <c r="CA89" t="s">
        <v>1643</v>
      </c>
      <c r="CC89" t="s">
        <v>406</v>
      </c>
      <c r="CG89" t="s">
        <v>558</v>
      </c>
      <c r="CI89" t="s">
        <v>404</v>
      </c>
      <c r="CJ89" t="s">
        <v>408</v>
      </c>
      <c r="CO89" t="s">
        <v>1644</v>
      </c>
      <c r="CU89" t="s">
        <v>1645</v>
      </c>
      <c r="CX89" t="s">
        <v>26</v>
      </c>
      <c r="CY89" t="s">
        <v>26</v>
      </c>
      <c r="CZ89" t="s">
        <v>569</v>
      </c>
      <c r="DS89" t="s">
        <v>1636</v>
      </c>
      <c r="DT89" t="s">
        <v>1166</v>
      </c>
      <c r="EF89" t="s">
        <v>492</v>
      </c>
      <c r="EG89" t="s">
        <v>522</v>
      </c>
      <c r="EH89" t="s">
        <v>430</v>
      </c>
      <c r="EK89" t="s">
        <v>522</v>
      </c>
      <c r="EL89" t="s">
        <v>430</v>
      </c>
      <c r="EW89" t="s">
        <v>444</v>
      </c>
      <c r="FA89" t="s">
        <v>404</v>
      </c>
      <c r="FB89" t="s">
        <v>1646</v>
      </c>
    </row>
    <row r="90" spans="1:158">
      <c r="A90">
        <v>70</v>
      </c>
      <c r="B90" t="s">
        <v>1647</v>
      </c>
      <c r="C90" t="s">
        <v>1648</v>
      </c>
      <c r="D90" t="s">
        <v>1649</v>
      </c>
      <c r="E90">
        <v>1</v>
      </c>
      <c r="F90" t="s">
        <v>1650</v>
      </c>
      <c r="G90" t="s">
        <v>1651</v>
      </c>
      <c r="H90" t="s">
        <v>1652</v>
      </c>
      <c r="I90" t="s">
        <v>1653</v>
      </c>
      <c r="J90">
        <v>70</v>
      </c>
      <c r="K90" t="s">
        <v>884</v>
      </c>
      <c r="O90" t="s">
        <v>533</v>
      </c>
      <c r="R90" t="s">
        <v>370</v>
      </c>
      <c r="T90" t="s">
        <v>383</v>
      </c>
      <c r="V90" t="s">
        <v>383</v>
      </c>
      <c r="X90" t="s">
        <v>1654</v>
      </c>
      <c r="Z90" t="s">
        <v>926</v>
      </c>
      <c r="AA90" t="s">
        <v>1648</v>
      </c>
      <c r="AB90" t="s">
        <v>1655</v>
      </c>
      <c r="AF90" t="s">
        <v>653</v>
      </c>
      <c r="AG90" t="s">
        <v>654</v>
      </c>
      <c r="AH90" t="s">
        <v>655</v>
      </c>
      <c r="AI90" t="s">
        <v>1656</v>
      </c>
      <c r="AJ90" t="s">
        <v>930</v>
      </c>
      <c r="AK90" t="s">
        <v>1657</v>
      </c>
      <c r="AL90" t="s">
        <v>1029</v>
      </c>
      <c r="AM90" t="s">
        <v>1658</v>
      </c>
      <c r="AN90" t="s">
        <v>1659</v>
      </c>
      <c r="AQ90" t="s">
        <v>689</v>
      </c>
      <c r="AS90" t="s">
        <v>388</v>
      </c>
      <c r="AT90" t="s">
        <v>660</v>
      </c>
      <c r="AU90" t="s">
        <v>471</v>
      </c>
      <c r="AZ90" t="s">
        <v>395</v>
      </c>
      <c r="BB90" t="s">
        <v>533</v>
      </c>
      <c r="BD90" t="s">
        <v>1660</v>
      </c>
      <c r="BF90" t="s">
        <v>1661</v>
      </c>
      <c r="BG90" t="s">
        <v>395</v>
      </c>
      <c r="BH90" t="s">
        <v>666</v>
      </c>
      <c r="BI90" t="s">
        <v>935</v>
      </c>
      <c r="BK90" t="s">
        <v>1661</v>
      </c>
      <c r="BM90" t="s">
        <v>1662</v>
      </c>
      <c r="BN90" t="s">
        <v>554</v>
      </c>
      <c r="BR90" t="s">
        <v>1490</v>
      </c>
      <c r="BS90" t="s">
        <v>395</v>
      </c>
      <c r="BT90" t="s">
        <v>1663</v>
      </c>
      <c r="CA90" t="s">
        <v>1664</v>
      </c>
      <c r="CC90" t="s">
        <v>406</v>
      </c>
      <c r="CD90" t="s">
        <v>395</v>
      </c>
      <c r="CF90" t="s">
        <v>1653</v>
      </c>
      <c r="CG90" t="s">
        <v>695</v>
      </c>
      <c r="CH90" t="s">
        <v>1665</v>
      </c>
      <c r="CI90" t="s">
        <v>430</v>
      </c>
      <c r="CJ90" t="s">
        <v>559</v>
      </c>
      <c r="CK90" t="s">
        <v>1649</v>
      </c>
      <c r="CO90" t="s">
        <v>939</v>
      </c>
      <c r="CP90" t="s">
        <v>1666</v>
      </c>
      <c r="CQ90" t="s">
        <v>1667</v>
      </c>
      <c r="CR90" t="s">
        <v>1668</v>
      </c>
      <c r="CT90" t="s">
        <v>1669</v>
      </c>
      <c r="CU90" t="s">
        <v>1670</v>
      </c>
      <c r="CV90" t="s">
        <v>416</v>
      </c>
      <c r="CW90" t="s">
        <v>388</v>
      </c>
      <c r="CX90" t="s">
        <v>945</v>
      </c>
      <c r="CY90" t="s">
        <v>568</v>
      </c>
      <c r="CZ90" t="s">
        <v>569</v>
      </c>
      <c r="DA90" t="s">
        <v>418</v>
      </c>
      <c r="DB90" t="s">
        <v>946</v>
      </c>
      <c r="DC90" t="s">
        <v>905</v>
      </c>
      <c r="DL90" t="s">
        <v>947</v>
      </c>
      <c r="DN90" t="s">
        <v>395</v>
      </c>
      <c r="DO90" t="s">
        <v>1651</v>
      </c>
      <c r="DP90" t="s">
        <v>395</v>
      </c>
      <c r="DQ90" t="s">
        <v>395</v>
      </c>
      <c r="DR90" t="s">
        <v>395</v>
      </c>
      <c r="DS90" t="s">
        <v>1671</v>
      </c>
      <c r="DT90" t="s">
        <v>1672</v>
      </c>
      <c r="DU90" t="s">
        <v>1672</v>
      </c>
      <c r="DV90" t="s">
        <v>1673</v>
      </c>
      <c r="EB90" t="s">
        <v>395</v>
      </c>
      <c r="EC90" t="s">
        <v>395</v>
      </c>
      <c r="ED90" t="s">
        <v>1672</v>
      </c>
      <c r="EF90" t="s">
        <v>1674</v>
      </c>
      <c r="EG90" t="s">
        <v>429</v>
      </c>
      <c r="EH90" t="s">
        <v>430</v>
      </c>
      <c r="EI90" t="s">
        <v>431</v>
      </c>
      <c r="EJ90" t="s">
        <v>429</v>
      </c>
      <c r="EK90" t="s">
        <v>429</v>
      </c>
      <c r="EL90" t="s">
        <v>430</v>
      </c>
      <c r="EM90" t="s">
        <v>431</v>
      </c>
      <c r="EW90" t="s">
        <v>471</v>
      </c>
      <c r="FA90" t="s">
        <v>404</v>
      </c>
      <c r="FB90" t="s">
        <v>26</v>
      </c>
    </row>
    <row r="91" spans="1:158">
      <c r="A91">
        <v>239</v>
      </c>
      <c r="B91" t="s">
        <v>51</v>
      </c>
      <c r="C91" t="s">
        <v>1675</v>
      </c>
      <c r="D91" t="s">
        <v>362</v>
      </c>
      <c r="E91">
        <v>1</v>
      </c>
      <c r="F91" t="s">
        <v>1676</v>
      </c>
      <c r="G91" t="s">
        <v>1677</v>
      </c>
      <c r="H91" t="s">
        <v>680</v>
      </c>
      <c r="I91" t="s">
        <v>681</v>
      </c>
      <c r="J91">
        <v>239</v>
      </c>
      <c r="R91" t="s">
        <v>503</v>
      </c>
      <c r="CC91" t="s">
        <v>406</v>
      </c>
      <c r="CI91" t="s">
        <v>430</v>
      </c>
      <c r="CX91" t="s">
        <v>1678</v>
      </c>
      <c r="CY91" t="s">
        <v>517</v>
      </c>
      <c r="FA91" t="s">
        <v>404</v>
      </c>
    </row>
    <row r="92" spans="1:158">
      <c r="A92">
        <v>216</v>
      </c>
      <c r="B92" t="s">
        <v>63</v>
      </c>
      <c r="C92" t="s">
        <v>1679</v>
      </c>
      <c r="D92" t="s">
        <v>1679</v>
      </c>
      <c r="E92">
        <v>1</v>
      </c>
      <c r="F92" t="s">
        <v>1680</v>
      </c>
      <c r="G92" t="s">
        <v>1681</v>
      </c>
      <c r="H92" t="s">
        <v>529</v>
      </c>
      <c r="I92" t="s">
        <v>1682</v>
      </c>
      <c r="J92">
        <v>216</v>
      </c>
      <c r="K92" t="s">
        <v>531</v>
      </c>
      <c r="O92" t="s">
        <v>533</v>
      </c>
      <c r="R92" t="s">
        <v>370</v>
      </c>
      <c r="T92" t="s">
        <v>383</v>
      </c>
      <c r="V92" t="s">
        <v>1683</v>
      </c>
      <c r="Z92" t="s">
        <v>378</v>
      </c>
      <c r="AA92" t="s">
        <v>64</v>
      </c>
      <c r="AB92" t="s">
        <v>538</v>
      </c>
      <c r="AI92" t="s">
        <v>1684</v>
      </c>
      <c r="AM92" t="s">
        <v>1685</v>
      </c>
      <c r="AN92" t="s">
        <v>1686</v>
      </c>
      <c r="AQ92" t="s">
        <v>1687</v>
      </c>
      <c r="AS92" t="s">
        <v>543</v>
      </c>
      <c r="AU92" t="s">
        <v>389</v>
      </c>
      <c r="AY92" t="s">
        <v>547</v>
      </c>
      <c r="AZ92" t="s">
        <v>1688</v>
      </c>
      <c r="BB92" t="s">
        <v>542</v>
      </c>
      <c r="BC92" t="s">
        <v>549</v>
      </c>
      <c r="BD92" t="s">
        <v>1689</v>
      </c>
      <c r="BF92" t="s">
        <v>1690</v>
      </c>
      <c r="BG92" t="s">
        <v>395</v>
      </c>
      <c r="BK92" t="s">
        <v>1691</v>
      </c>
      <c r="BR92" t="s">
        <v>1692</v>
      </c>
      <c r="BS92" t="s">
        <v>395</v>
      </c>
      <c r="CA92" t="s">
        <v>1693</v>
      </c>
      <c r="CC92" t="s">
        <v>406</v>
      </c>
      <c r="CD92" t="s">
        <v>395</v>
      </c>
      <c r="CF92" t="s">
        <v>1682</v>
      </c>
      <c r="CG92" t="s">
        <v>558</v>
      </c>
      <c r="CH92" t="s">
        <v>1694</v>
      </c>
      <c r="CI92" t="s">
        <v>430</v>
      </c>
      <c r="CJ92" t="s">
        <v>559</v>
      </c>
      <c r="CK92" t="s">
        <v>1679</v>
      </c>
      <c r="CO92" t="s">
        <v>1695</v>
      </c>
      <c r="CP92" t="s">
        <v>1696</v>
      </c>
      <c r="CQ92" t="s">
        <v>1697</v>
      </c>
      <c r="CR92" t="s">
        <v>1698</v>
      </c>
      <c r="CT92" t="s">
        <v>1699</v>
      </c>
      <c r="CU92" t="s">
        <v>1700</v>
      </c>
      <c r="CV92" t="s">
        <v>567</v>
      </c>
      <c r="CW92" t="s">
        <v>388</v>
      </c>
      <c r="CX92" t="s">
        <v>417</v>
      </c>
      <c r="CY92" t="s">
        <v>568</v>
      </c>
      <c r="DA92" t="s">
        <v>418</v>
      </c>
      <c r="DB92" t="s">
        <v>570</v>
      </c>
      <c r="DC92" t="s">
        <v>419</v>
      </c>
      <c r="DL92" t="s">
        <v>426</v>
      </c>
      <c r="DN92" t="s">
        <v>395</v>
      </c>
      <c r="DO92" t="s">
        <v>1701</v>
      </c>
      <c r="DP92" t="s">
        <v>401</v>
      </c>
      <c r="DQ92" t="s">
        <v>395</v>
      </c>
      <c r="DR92" t="s">
        <v>395</v>
      </c>
      <c r="DS92" t="s">
        <v>1702</v>
      </c>
      <c r="DT92" t="s">
        <v>1345</v>
      </c>
      <c r="DU92" t="s">
        <v>1345</v>
      </c>
      <c r="DV92" t="s">
        <v>1345</v>
      </c>
      <c r="EB92" t="s">
        <v>395</v>
      </c>
      <c r="EC92" t="s">
        <v>395</v>
      </c>
      <c r="ED92" t="s">
        <v>1692</v>
      </c>
      <c r="EE92" t="s">
        <v>573</v>
      </c>
      <c r="EF92" t="s">
        <v>492</v>
      </c>
      <c r="EG92" t="s">
        <v>429</v>
      </c>
      <c r="EH92" t="s">
        <v>430</v>
      </c>
      <c r="EI92" t="s">
        <v>431</v>
      </c>
      <c r="EJ92" t="s">
        <v>429</v>
      </c>
      <c r="EK92" t="s">
        <v>429</v>
      </c>
      <c r="EL92" t="s">
        <v>430</v>
      </c>
      <c r="EM92" t="s">
        <v>431</v>
      </c>
      <c r="EW92" t="s">
        <v>432</v>
      </c>
      <c r="FA92" t="s">
        <v>404</v>
      </c>
      <c r="FB92" t="s">
        <v>26</v>
      </c>
    </row>
    <row r="93" spans="1:158">
      <c r="A93">
        <v>93</v>
      </c>
      <c r="B93" t="s">
        <v>1703</v>
      </c>
      <c r="C93" t="s">
        <v>1704</v>
      </c>
      <c r="D93" t="s">
        <v>362</v>
      </c>
      <c r="E93">
        <v>1</v>
      </c>
      <c r="F93" t="s">
        <v>751</v>
      </c>
      <c r="G93" t="s">
        <v>752</v>
      </c>
      <c r="H93" t="s">
        <v>362</v>
      </c>
      <c r="I93" t="s">
        <v>753</v>
      </c>
      <c r="J93">
        <v>93</v>
      </c>
      <c r="O93" t="s">
        <v>441</v>
      </c>
      <c r="R93" t="s">
        <v>370</v>
      </c>
      <c r="AU93" t="s">
        <v>471</v>
      </c>
      <c r="BF93" t="s">
        <v>473</v>
      </c>
      <c r="CC93" t="s">
        <v>406</v>
      </c>
      <c r="CI93" t="s">
        <v>404</v>
      </c>
      <c r="CO93" t="s">
        <v>754</v>
      </c>
      <c r="DT93" t="s">
        <v>399</v>
      </c>
      <c r="EF93" t="s">
        <v>492</v>
      </c>
      <c r="EG93" t="s">
        <v>522</v>
      </c>
      <c r="EK93" t="s">
        <v>492</v>
      </c>
      <c r="FA93" t="s">
        <v>404</v>
      </c>
    </row>
    <row r="94" spans="1:158">
      <c r="A94">
        <v>233</v>
      </c>
      <c r="B94" t="s">
        <v>1705</v>
      </c>
      <c r="C94" t="s">
        <v>1706</v>
      </c>
      <c r="D94" t="s">
        <v>362</v>
      </c>
      <c r="E94">
        <v>1</v>
      </c>
      <c r="G94" t="s">
        <v>362</v>
      </c>
      <c r="H94" t="s">
        <v>362</v>
      </c>
      <c r="I94" t="s">
        <v>362</v>
      </c>
      <c r="J94">
        <v>233</v>
      </c>
      <c r="O94" t="s">
        <v>441</v>
      </c>
      <c r="R94" t="s">
        <v>484</v>
      </c>
      <c r="CC94" t="s">
        <v>406</v>
      </c>
      <c r="CI94" t="s">
        <v>404</v>
      </c>
      <c r="CX94" t="s">
        <v>26</v>
      </c>
      <c r="CY94" t="s">
        <v>26</v>
      </c>
      <c r="FA94" t="s">
        <v>404</v>
      </c>
    </row>
    <row r="95" spans="1:158">
      <c r="A95">
        <v>176</v>
      </c>
      <c r="B95" t="s">
        <v>1707</v>
      </c>
      <c r="C95" t="s">
        <v>1708</v>
      </c>
      <c r="D95" t="s">
        <v>362</v>
      </c>
      <c r="E95">
        <v>0</v>
      </c>
      <c r="F95" t="s">
        <v>1709</v>
      </c>
      <c r="G95" t="s">
        <v>1710</v>
      </c>
      <c r="H95" t="s">
        <v>1711</v>
      </c>
      <c r="I95" t="s">
        <v>1712</v>
      </c>
      <c r="J95">
        <v>176</v>
      </c>
      <c r="O95" t="s">
        <v>441</v>
      </c>
      <c r="R95" t="s">
        <v>480</v>
      </c>
      <c r="CC95" t="s">
        <v>406</v>
      </c>
      <c r="CI95" t="s">
        <v>404</v>
      </c>
      <c r="CX95" t="s">
        <v>26</v>
      </c>
      <c r="FA95" t="s">
        <v>404</v>
      </c>
    </row>
    <row r="96" spans="1:158">
      <c r="A96">
        <v>170</v>
      </c>
      <c r="B96" t="s">
        <v>1713</v>
      </c>
      <c r="C96" t="s">
        <v>1066</v>
      </c>
      <c r="D96" t="s">
        <v>362</v>
      </c>
      <c r="E96">
        <v>1</v>
      </c>
      <c r="G96" t="s">
        <v>362</v>
      </c>
      <c r="H96" t="s">
        <v>362</v>
      </c>
      <c r="I96" t="s">
        <v>362</v>
      </c>
      <c r="J96">
        <v>170</v>
      </c>
      <c r="O96" t="s">
        <v>441</v>
      </c>
      <c r="R96" t="s">
        <v>484</v>
      </c>
      <c r="AA96" t="s">
        <v>1714</v>
      </c>
      <c r="CC96" t="s">
        <v>406</v>
      </c>
      <c r="CI96" t="s">
        <v>404</v>
      </c>
      <c r="CX96" t="s">
        <v>26</v>
      </c>
      <c r="EH96" t="s">
        <v>430</v>
      </c>
      <c r="EL96" t="s">
        <v>430</v>
      </c>
      <c r="FA96" t="s">
        <v>404</v>
      </c>
    </row>
    <row r="97" spans="1:158">
      <c r="A97">
        <v>153</v>
      </c>
      <c r="B97" t="s">
        <v>71</v>
      </c>
      <c r="C97" t="s">
        <v>1715</v>
      </c>
      <c r="D97" t="s">
        <v>1715</v>
      </c>
      <c r="E97">
        <v>1</v>
      </c>
      <c r="F97" t="s">
        <v>1716</v>
      </c>
      <c r="G97" t="s">
        <v>1717</v>
      </c>
      <c r="H97" t="s">
        <v>529</v>
      </c>
      <c r="I97" t="s">
        <v>1718</v>
      </c>
      <c r="J97">
        <v>153</v>
      </c>
      <c r="K97" t="s">
        <v>531</v>
      </c>
      <c r="M97" t="s">
        <v>1719</v>
      </c>
      <c r="N97" t="s">
        <v>369</v>
      </c>
      <c r="O97" t="s">
        <v>533</v>
      </c>
      <c r="P97" t="s">
        <v>997</v>
      </c>
      <c r="Q97" t="s">
        <v>1720</v>
      </c>
      <c r="R97" t="s">
        <v>370</v>
      </c>
      <c r="T97" t="s">
        <v>383</v>
      </c>
      <c r="V97" t="s">
        <v>383</v>
      </c>
      <c r="W97" t="s">
        <v>395</v>
      </c>
      <c r="X97" t="s">
        <v>1721</v>
      </c>
      <c r="Z97" t="s">
        <v>378</v>
      </c>
      <c r="AA97" t="s">
        <v>1715</v>
      </c>
      <c r="AB97" t="s">
        <v>538</v>
      </c>
      <c r="AE97" t="s">
        <v>508</v>
      </c>
      <c r="AI97" t="s">
        <v>383</v>
      </c>
      <c r="AM97" t="s">
        <v>1722</v>
      </c>
      <c r="AN97" t="s">
        <v>1723</v>
      </c>
      <c r="AP97" t="s">
        <v>1724</v>
      </c>
      <c r="AQ97" t="s">
        <v>1687</v>
      </c>
      <c r="AR97" t="s">
        <v>542</v>
      </c>
      <c r="AS97" t="s">
        <v>1725</v>
      </c>
      <c r="AU97" t="s">
        <v>389</v>
      </c>
      <c r="AV97" t="s">
        <v>1726</v>
      </c>
      <c r="AW97" t="s">
        <v>1727</v>
      </c>
      <c r="AX97" t="s">
        <v>1728</v>
      </c>
      <c r="AY97" t="s">
        <v>547</v>
      </c>
      <c r="AZ97" t="s">
        <v>1729</v>
      </c>
      <c r="BA97" t="s">
        <v>533</v>
      </c>
      <c r="BB97" t="s">
        <v>542</v>
      </c>
      <c r="BC97" t="s">
        <v>549</v>
      </c>
      <c r="BD97" t="s">
        <v>383</v>
      </c>
      <c r="BE97" t="s">
        <v>550</v>
      </c>
      <c r="BF97" t="s">
        <v>1730</v>
      </c>
      <c r="BG97" t="s">
        <v>395</v>
      </c>
      <c r="BJ97" t="s">
        <v>1731</v>
      </c>
      <c r="BK97" t="s">
        <v>1730</v>
      </c>
      <c r="BL97" t="s">
        <v>552</v>
      </c>
      <c r="BM97" t="s">
        <v>1732</v>
      </c>
      <c r="BN97" t="s">
        <v>554</v>
      </c>
      <c r="BO97" t="s">
        <v>614</v>
      </c>
      <c r="BR97" t="s">
        <v>1733</v>
      </c>
      <c r="BS97" t="s">
        <v>395</v>
      </c>
      <c r="BT97" t="s">
        <v>1733</v>
      </c>
      <c r="BZ97" t="s">
        <v>430</v>
      </c>
      <c r="CA97" t="s">
        <v>1734</v>
      </c>
      <c r="CC97" t="s">
        <v>406</v>
      </c>
      <c r="CD97" t="s">
        <v>1735</v>
      </c>
      <c r="CF97" t="s">
        <v>1718</v>
      </c>
      <c r="CG97" t="s">
        <v>558</v>
      </c>
      <c r="CH97" t="s">
        <v>1736</v>
      </c>
      <c r="CI97" t="s">
        <v>430</v>
      </c>
      <c r="CJ97" t="s">
        <v>559</v>
      </c>
      <c r="CK97" t="s">
        <v>1715</v>
      </c>
      <c r="CL97" t="s">
        <v>1737</v>
      </c>
      <c r="CM97" t="s">
        <v>960</v>
      </c>
      <c r="CN97" t="s">
        <v>1738</v>
      </c>
      <c r="CO97" t="s">
        <v>1739</v>
      </c>
      <c r="CP97" t="s">
        <v>1740</v>
      </c>
      <c r="CQ97" t="s">
        <v>1741</v>
      </c>
      <c r="CR97" t="s">
        <v>1742</v>
      </c>
      <c r="CS97" t="s">
        <v>1743</v>
      </c>
      <c r="CT97" t="s">
        <v>1744</v>
      </c>
      <c r="CU97" t="s">
        <v>1745</v>
      </c>
      <c r="CV97" t="s">
        <v>1746</v>
      </c>
      <c r="CW97" t="s">
        <v>388</v>
      </c>
      <c r="CX97" t="s">
        <v>417</v>
      </c>
      <c r="CY97" t="s">
        <v>568</v>
      </c>
      <c r="CZ97" t="s">
        <v>569</v>
      </c>
      <c r="DA97" t="s">
        <v>1747</v>
      </c>
      <c r="DB97" t="s">
        <v>1748</v>
      </c>
      <c r="DC97" t="s">
        <v>419</v>
      </c>
      <c r="DF97" t="s">
        <v>628</v>
      </c>
      <c r="DH97" t="s">
        <v>1019</v>
      </c>
      <c r="DI97" t="s">
        <v>1019</v>
      </c>
      <c r="DJ97" t="s">
        <v>1019</v>
      </c>
      <c r="DK97" t="s">
        <v>1019</v>
      </c>
      <c r="DL97" t="s">
        <v>426</v>
      </c>
      <c r="DN97" t="s">
        <v>395</v>
      </c>
      <c r="DO97" t="s">
        <v>1717</v>
      </c>
      <c r="DP97" t="s">
        <v>614</v>
      </c>
      <c r="DQ97" t="s">
        <v>395</v>
      </c>
      <c r="DR97" t="s">
        <v>395</v>
      </c>
      <c r="DS97" t="s">
        <v>1749</v>
      </c>
      <c r="DT97" t="s">
        <v>1750</v>
      </c>
      <c r="DU97" t="s">
        <v>1750</v>
      </c>
      <c r="DV97" t="s">
        <v>1750</v>
      </c>
      <c r="EB97" t="s">
        <v>395</v>
      </c>
      <c r="EC97" t="s">
        <v>395</v>
      </c>
      <c r="ED97" t="s">
        <v>1751</v>
      </c>
      <c r="EE97" t="s">
        <v>573</v>
      </c>
      <c r="EF97" t="s">
        <v>492</v>
      </c>
      <c r="EG97" t="s">
        <v>429</v>
      </c>
      <c r="EH97" t="s">
        <v>430</v>
      </c>
      <c r="EI97" t="s">
        <v>520</v>
      </c>
      <c r="EJ97" t="s">
        <v>780</v>
      </c>
      <c r="EK97" t="s">
        <v>779</v>
      </c>
      <c r="EL97" t="s">
        <v>430</v>
      </c>
      <c r="EM97" t="s">
        <v>431</v>
      </c>
      <c r="EW97" t="s">
        <v>432</v>
      </c>
      <c r="FA97" t="s">
        <v>404</v>
      </c>
      <c r="FB97" t="s">
        <v>26</v>
      </c>
    </row>
    <row r="98" spans="1:158">
      <c r="A98">
        <v>110</v>
      </c>
      <c r="B98" t="s">
        <v>27</v>
      </c>
      <c r="C98" t="s">
        <v>1752</v>
      </c>
      <c r="D98" t="s">
        <v>1753</v>
      </c>
      <c r="E98">
        <v>1</v>
      </c>
      <c r="F98" t="s">
        <v>1754</v>
      </c>
      <c r="G98" t="s">
        <v>1755</v>
      </c>
      <c r="H98" t="s">
        <v>1756</v>
      </c>
      <c r="I98" t="s">
        <v>1757</v>
      </c>
      <c r="J98">
        <v>110</v>
      </c>
      <c r="K98" t="s">
        <v>418</v>
      </c>
      <c r="O98" t="s">
        <v>533</v>
      </c>
      <c r="R98" t="s">
        <v>370</v>
      </c>
      <c r="T98" t="s">
        <v>383</v>
      </c>
      <c r="V98" t="s">
        <v>1758</v>
      </c>
      <c r="X98" t="s">
        <v>1759</v>
      </c>
      <c r="Z98" t="s">
        <v>926</v>
      </c>
      <c r="AA98" t="s">
        <v>29</v>
      </c>
      <c r="AB98" t="s">
        <v>1756</v>
      </c>
      <c r="AF98" t="s">
        <v>653</v>
      </c>
      <c r="AG98" t="s">
        <v>654</v>
      </c>
      <c r="AH98" t="s">
        <v>1427</v>
      </c>
      <c r="AI98" t="s">
        <v>1760</v>
      </c>
      <c r="AJ98" t="s">
        <v>1429</v>
      </c>
      <c r="AK98" t="s">
        <v>1761</v>
      </c>
      <c r="AL98" t="s">
        <v>1029</v>
      </c>
      <c r="AM98" t="s">
        <v>1762</v>
      </c>
      <c r="AN98" t="s">
        <v>1763</v>
      </c>
      <c r="AQ98" t="s">
        <v>689</v>
      </c>
      <c r="AS98" t="s">
        <v>388</v>
      </c>
      <c r="AT98" t="s">
        <v>660</v>
      </c>
      <c r="AU98" t="s">
        <v>471</v>
      </c>
      <c r="AY98" t="s">
        <v>1764</v>
      </c>
      <c r="AZ98" t="s">
        <v>395</v>
      </c>
      <c r="BC98" t="s">
        <v>1765</v>
      </c>
      <c r="BD98" t="s">
        <v>1766</v>
      </c>
      <c r="BF98" t="s">
        <v>1767</v>
      </c>
      <c r="BG98" t="s">
        <v>395</v>
      </c>
      <c r="BH98" t="s">
        <v>666</v>
      </c>
      <c r="BI98" t="s">
        <v>1768</v>
      </c>
      <c r="BK98" t="s">
        <v>1767</v>
      </c>
      <c r="BM98" t="s">
        <v>1769</v>
      </c>
      <c r="BN98" t="s">
        <v>554</v>
      </c>
      <c r="BR98" t="s">
        <v>1770</v>
      </c>
      <c r="BS98" t="s">
        <v>395</v>
      </c>
      <c r="BT98" t="s">
        <v>1770</v>
      </c>
      <c r="CA98" t="s">
        <v>1771</v>
      </c>
      <c r="CC98" t="s">
        <v>406</v>
      </c>
      <c r="CD98" t="s">
        <v>395</v>
      </c>
      <c r="CF98" t="s">
        <v>1757</v>
      </c>
      <c r="CG98" t="s">
        <v>695</v>
      </c>
      <c r="CH98" t="s">
        <v>1772</v>
      </c>
      <c r="CI98" t="s">
        <v>430</v>
      </c>
      <c r="CJ98" t="s">
        <v>559</v>
      </c>
      <c r="CK98" t="s">
        <v>1752</v>
      </c>
      <c r="CO98" t="s">
        <v>1773</v>
      </c>
      <c r="CP98" t="s">
        <v>1774</v>
      </c>
      <c r="CQ98" t="s">
        <v>1775</v>
      </c>
      <c r="CR98" t="s">
        <v>1776</v>
      </c>
      <c r="CT98" t="s">
        <v>1777</v>
      </c>
      <c r="CU98" t="s">
        <v>1778</v>
      </c>
      <c r="CV98" t="s">
        <v>416</v>
      </c>
      <c r="CW98" t="s">
        <v>388</v>
      </c>
      <c r="CX98" t="s">
        <v>840</v>
      </c>
      <c r="CY98" t="s">
        <v>568</v>
      </c>
      <c r="CZ98" t="s">
        <v>569</v>
      </c>
      <c r="DA98" t="s">
        <v>1779</v>
      </c>
      <c r="DB98" t="s">
        <v>1780</v>
      </c>
      <c r="DC98" t="s">
        <v>905</v>
      </c>
      <c r="DL98" t="s">
        <v>1164</v>
      </c>
      <c r="DN98" t="s">
        <v>395</v>
      </c>
      <c r="DO98" t="s">
        <v>1755</v>
      </c>
      <c r="DP98" t="s">
        <v>395</v>
      </c>
      <c r="DQ98" t="s">
        <v>395</v>
      </c>
      <c r="DR98" t="s">
        <v>395</v>
      </c>
      <c r="DS98" t="s">
        <v>1781</v>
      </c>
      <c r="DT98" t="s">
        <v>533</v>
      </c>
      <c r="DU98" t="s">
        <v>533</v>
      </c>
      <c r="EC98" t="s">
        <v>395</v>
      </c>
      <c r="ED98" t="s">
        <v>533</v>
      </c>
      <c r="EE98" t="s">
        <v>1782</v>
      </c>
      <c r="EF98" t="s">
        <v>492</v>
      </c>
      <c r="EG98" t="s">
        <v>429</v>
      </c>
      <c r="EH98" t="s">
        <v>404</v>
      </c>
      <c r="EI98" t="s">
        <v>520</v>
      </c>
      <c r="EJ98" t="s">
        <v>429</v>
      </c>
      <c r="EK98" t="s">
        <v>429</v>
      </c>
      <c r="EL98" t="s">
        <v>430</v>
      </c>
      <c r="EM98" t="s">
        <v>431</v>
      </c>
      <c r="EW98" t="s">
        <v>471</v>
      </c>
      <c r="FA98" t="s">
        <v>404</v>
      </c>
      <c r="FB98" t="s">
        <v>26</v>
      </c>
    </row>
    <row r="99" spans="1:158">
      <c r="A99">
        <v>133</v>
      </c>
      <c r="B99" t="s">
        <v>1783</v>
      </c>
      <c r="C99" t="s">
        <v>1784</v>
      </c>
      <c r="D99" t="s">
        <v>362</v>
      </c>
      <c r="E99">
        <v>1</v>
      </c>
      <c r="G99" t="s">
        <v>362</v>
      </c>
      <c r="H99" t="s">
        <v>362</v>
      </c>
      <c r="I99" t="s">
        <v>362</v>
      </c>
      <c r="J99">
        <v>133</v>
      </c>
      <c r="O99" t="s">
        <v>441</v>
      </c>
      <c r="CC99" t="s">
        <v>406</v>
      </c>
      <c r="CI99" t="s">
        <v>404</v>
      </c>
      <c r="EH99" t="s">
        <v>430</v>
      </c>
      <c r="EL99" t="s">
        <v>430</v>
      </c>
      <c r="FA99" t="s">
        <v>404</v>
      </c>
    </row>
    <row r="100" spans="1:158">
      <c r="A100">
        <v>196</v>
      </c>
      <c r="B100" t="s">
        <v>1785</v>
      </c>
      <c r="C100" t="s">
        <v>1786</v>
      </c>
      <c r="D100" t="s">
        <v>362</v>
      </c>
      <c r="E100">
        <v>1</v>
      </c>
      <c r="G100" t="s">
        <v>362</v>
      </c>
      <c r="H100" t="s">
        <v>362</v>
      </c>
      <c r="I100" t="s">
        <v>362</v>
      </c>
      <c r="J100">
        <v>196</v>
      </c>
      <c r="O100" t="s">
        <v>441</v>
      </c>
      <c r="R100" t="s">
        <v>480</v>
      </c>
      <c r="CC100" t="s">
        <v>406</v>
      </c>
      <c r="CI100" t="s">
        <v>404</v>
      </c>
      <c r="CX100" t="s">
        <v>26</v>
      </c>
      <c r="FA100" t="s">
        <v>404</v>
      </c>
    </row>
    <row r="101" spans="1:158">
      <c r="A101">
        <v>90</v>
      </c>
      <c r="B101" t="s">
        <v>1787</v>
      </c>
      <c r="C101" t="s">
        <v>1788</v>
      </c>
      <c r="D101" t="s">
        <v>362</v>
      </c>
      <c r="E101">
        <v>1</v>
      </c>
      <c r="F101" t="s">
        <v>751</v>
      </c>
      <c r="G101" t="s">
        <v>752</v>
      </c>
      <c r="H101" t="s">
        <v>362</v>
      </c>
      <c r="I101" t="s">
        <v>753</v>
      </c>
      <c r="J101">
        <v>90</v>
      </c>
      <c r="O101" t="s">
        <v>441</v>
      </c>
      <c r="R101" t="s">
        <v>484</v>
      </c>
      <c r="AU101" t="s">
        <v>471</v>
      </c>
      <c r="BF101" t="s">
        <v>395</v>
      </c>
      <c r="CC101" t="s">
        <v>406</v>
      </c>
      <c r="CI101" t="s">
        <v>404</v>
      </c>
      <c r="CO101" t="s">
        <v>754</v>
      </c>
      <c r="DT101" t="s">
        <v>395</v>
      </c>
      <c r="EF101" t="s">
        <v>522</v>
      </c>
      <c r="EG101" t="s">
        <v>492</v>
      </c>
      <c r="EK101" t="s">
        <v>492</v>
      </c>
      <c r="FA101" t="s">
        <v>404</v>
      </c>
    </row>
    <row r="102" spans="1:158">
      <c r="A102">
        <v>253</v>
      </c>
      <c r="B102" t="s">
        <v>1789</v>
      </c>
      <c r="C102" t="s">
        <v>1790</v>
      </c>
      <c r="D102" t="s">
        <v>362</v>
      </c>
      <c r="E102">
        <v>1</v>
      </c>
      <c r="F102" t="s">
        <v>951</v>
      </c>
      <c r="G102" t="s">
        <v>952</v>
      </c>
      <c r="H102" t="s">
        <v>743</v>
      </c>
      <c r="I102" t="s">
        <v>579</v>
      </c>
      <c r="J102">
        <v>253</v>
      </c>
      <c r="R102" t="s">
        <v>484</v>
      </c>
      <c r="CC102" t="s">
        <v>406</v>
      </c>
      <c r="CI102" t="s">
        <v>404</v>
      </c>
      <c r="CX102" t="s">
        <v>1791</v>
      </c>
      <c r="CY102" t="s">
        <v>26</v>
      </c>
      <c r="FA102" t="s">
        <v>404</v>
      </c>
    </row>
    <row r="103" spans="1:158">
      <c r="A103">
        <v>96</v>
      </c>
      <c r="B103" t="s">
        <v>1792</v>
      </c>
      <c r="C103" t="s">
        <v>1793</v>
      </c>
      <c r="D103" t="s">
        <v>1794</v>
      </c>
      <c r="E103">
        <v>0</v>
      </c>
      <c r="F103" t="s">
        <v>1795</v>
      </c>
      <c r="G103" t="s">
        <v>1796</v>
      </c>
      <c r="H103" t="s">
        <v>1797</v>
      </c>
      <c r="I103" t="s">
        <v>1798</v>
      </c>
      <c r="J103">
        <v>96</v>
      </c>
      <c r="O103" t="s">
        <v>441</v>
      </c>
      <c r="R103" t="s">
        <v>442</v>
      </c>
      <c r="AA103" t="s">
        <v>1799</v>
      </c>
      <c r="AU103" t="s">
        <v>471</v>
      </c>
      <c r="BF103" t="s">
        <v>489</v>
      </c>
      <c r="CC103" t="s">
        <v>406</v>
      </c>
      <c r="CI103" t="s">
        <v>404</v>
      </c>
      <c r="CO103" t="s">
        <v>1800</v>
      </c>
      <c r="DT103" t="s">
        <v>502</v>
      </c>
      <c r="EF103" t="s">
        <v>492</v>
      </c>
      <c r="EG103" t="s">
        <v>522</v>
      </c>
      <c r="EH103" t="s">
        <v>430</v>
      </c>
      <c r="EK103" t="s">
        <v>522</v>
      </c>
      <c r="EL103" t="s">
        <v>430</v>
      </c>
      <c r="EW103" t="s">
        <v>471</v>
      </c>
      <c r="FA103" t="s">
        <v>404</v>
      </c>
    </row>
    <row r="104" spans="1:158">
      <c r="A104">
        <v>142</v>
      </c>
      <c r="B104" t="s">
        <v>141</v>
      </c>
      <c r="C104" t="s">
        <v>1801</v>
      </c>
      <c r="D104" t="s">
        <v>1801</v>
      </c>
      <c r="E104">
        <v>1</v>
      </c>
      <c r="F104" t="s">
        <v>1802</v>
      </c>
      <c r="G104" t="s">
        <v>1803</v>
      </c>
      <c r="H104" t="s">
        <v>1100</v>
      </c>
      <c r="I104" t="s">
        <v>1804</v>
      </c>
      <c r="J104">
        <v>142</v>
      </c>
      <c r="K104" t="s">
        <v>531</v>
      </c>
      <c r="O104" t="s">
        <v>533</v>
      </c>
      <c r="R104" t="s">
        <v>370</v>
      </c>
      <c r="T104" t="s">
        <v>383</v>
      </c>
      <c r="V104" t="s">
        <v>1092</v>
      </c>
      <c r="Z104" t="s">
        <v>378</v>
      </c>
      <c r="AA104" t="s">
        <v>1801</v>
      </c>
      <c r="AB104" t="s">
        <v>1805</v>
      </c>
      <c r="AG104" t="s">
        <v>654</v>
      </c>
      <c r="AI104" t="s">
        <v>1806</v>
      </c>
      <c r="AJ104" t="s">
        <v>1598</v>
      </c>
      <c r="AM104" t="s">
        <v>539</v>
      </c>
      <c r="AN104" t="s">
        <v>1807</v>
      </c>
      <c r="AQ104" t="s">
        <v>689</v>
      </c>
      <c r="AR104" t="s">
        <v>542</v>
      </c>
      <c r="AS104" t="s">
        <v>388</v>
      </c>
      <c r="AT104" t="s">
        <v>1808</v>
      </c>
      <c r="AU104" t="s">
        <v>444</v>
      </c>
      <c r="AY104" t="s">
        <v>547</v>
      </c>
      <c r="AZ104" t="s">
        <v>395</v>
      </c>
      <c r="BB104" t="s">
        <v>542</v>
      </c>
      <c r="BC104" t="s">
        <v>549</v>
      </c>
      <c r="BD104" t="s">
        <v>1809</v>
      </c>
      <c r="BF104" t="s">
        <v>665</v>
      </c>
      <c r="BG104" t="s">
        <v>395</v>
      </c>
      <c r="BH104" t="s">
        <v>1810</v>
      </c>
      <c r="BK104" t="s">
        <v>665</v>
      </c>
      <c r="BN104" t="s">
        <v>554</v>
      </c>
      <c r="BR104" t="s">
        <v>542</v>
      </c>
      <c r="BS104" t="s">
        <v>395</v>
      </c>
      <c r="BT104" t="s">
        <v>542</v>
      </c>
      <c r="CA104" t="s">
        <v>1811</v>
      </c>
      <c r="CC104" t="s">
        <v>406</v>
      </c>
      <c r="CD104" t="s">
        <v>395</v>
      </c>
      <c r="CF104" t="s">
        <v>1804</v>
      </c>
      <c r="CG104" t="s">
        <v>695</v>
      </c>
      <c r="CH104" t="s">
        <v>1812</v>
      </c>
      <c r="CI104" t="s">
        <v>430</v>
      </c>
      <c r="CJ104" t="s">
        <v>559</v>
      </c>
      <c r="CK104" t="s">
        <v>1801</v>
      </c>
      <c r="CO104" t="s">
        <v>1813</v>
      </c>
      <c r="CP104" t="s">
        <v>1814</v>
      </c>
      <c r="CQ104" t="s">
        <v>1815</v>
      </c>
      <c r="CR104" t="s">
        <v>1816</v>
      </c>
      <c r="CT104" t="s">
        <v>1817</v>
      </c>
      <c r="CU104" t="s">
        <v>1818</v>
      </c>
      <c r="CV104" t="s">
        <v>416</v>
      </c>
      <c r="CW104" t="s">
        <v>388</v>
      </c>
      <c r="CX104" t="s">
        <v>777</v>
      </c>
      <c r="CY104" t="s">
        <v>568</v>
      </c>
      <c r="CZ104" t="s">
        <v>569</v>
      </c>
      <c r="DA104" t="s">
        <v>418</v>
      </c>
      <c r="DB104" t="s">
        <v>570</v>
      </c>
      <c r="DC104" t="s">
        <v>419</v>
      </c>
      <c r="DL104" t="s">
        <v>426</v>
      </c>
      <c r="DN104" t="s">
        <v>395</v>
      </c>
      <c r="DO104" t="s">
        <v>1803</v>
      </c>
      <c r="DP104" t="s">
        <v>395</v>
      </c>
      <c r="DQ104" t="s">
        <v>395</v>
      </c>
      <c r="DR104" t="s">
        <v>395</v>
      </c>
      <c r="DS104" t="s">
        <v>1819</v>
      </c>
      <c r="DT104" t="s">
        <v>616</v>
      </c>
      <c r="DU104" t="s">
        <v>616</v>
      </c>
      <c r="DV104" t="s">
        <v>616</v>
      </c>
      <c r="EB104" t="s">
        <v>395</v>
      </c>
      <c r="EC104" t="s">
        <v>395</v>
      </c>
      <c r="ED104" t="s">
        <v>616</v>
      </c>
      <c r="EE104" t="s">
        <v>573</v>
      </c>
      <c r="EF104" t="s">
        <v>492</v>
      </c>
      <c r="EG104" t="s">
        <v>492</v>
      </c>
      <c r="EH104" t="s">
        <v>430</v>
      </c>
      <c r="EI104" t="s">
        <v>431</v>
      </c>
      <c r="EJ104" t="s">
        <v>429</v>
      </c>
      <c r="EK104" t="s">
        <v>492</v>
      </c>
      <c r="EL104" t="s">
        <v>430</v>
      </c>
      <c r="EM104" t="s">
        <v>431</v>
      </c>
      <c r="EW104" t="s">
        <v>444</v>
      </c>
      <c r="FA104" t="s">
        <v>404</v>
      </c>
      <c r="FB104" t="s">
        <v>26</v>
      </c>
    </row>
    <row r="105" spans="1:158">
      <c r="A105">
        <v>219</v>
      </c>
      <c r="B105" t="s">
        <v>1820</v>
      </c>
      <c r="C105" t="s">
        <v>1821</v>
      </c>
      <c r="D105" t="s">
        <v>362</v>
      </c>
      <c r="E105">
        <v>1</v>
      </c>
      <c r="G105" t="s">
        <v>362</v>
      </c>
      <c r="H105" t="s">
        <v>362</v>
      </c>
      <c r="I105" t="s">
        <v>362</v>
      </c>
      <c r="J105">
        <v>219</v>
      </c>
      <c r="O105" t="s">
        <v>533</v>
      </c>
      <c r="R105" t="s">
        <v>480</v>
      </c>
      <c r="CC105" t="s">
        <v>406</v>
      </c>
      <c r="CI105" t="s">
        <v>404</v>
      </c>
      <c r="CX105" t="s">
        <v>481</v>
      </c>
      <c r="CY105" t="s">
        <v>517</v>
      </c>
      <c r="FA105" t="s">
        <v>404</v>
      </c>
    </row>
    <row r="106" spans="1:158">
      <c r="A106">
        <v>79</v>
      </c>
      <c r="B106" t="s">
        <v>1822</v>
      </c>
      <c r="C106" t="s">
        <v>1823</v>
      </c>
      <c r="D106" t="s">
        <v>362</v>
      </c>
      <c r="E106">
        <v>1</v>
      </c>
      <c r="F106" t="s">
        <v>837</v>
      </c>
      <c r="G106" t="s">
        <v>751</v>
      </c>
      <c r="H106" t="s">
        <v>743</v>
      </c>
      <c r="I106" t="s">
        <v>579</v>
      </c>
      <c r="J106">
        <v>79</v>
      </c>
      <c r="O106" t="s">
        <v>441</v>
      </c>
      <c r="R106" t="s">
        <v>484</v>
      </c>
      <c r="AF106" t="s">
        <v>1824</v>
      </c>
      <c r="AG106" t="s">
        <v>430</v>
      </c>
      <c r="AJ106" t="s">
        <v>1825</v>
      </c>
      <c r="AL106" t="s">
        <v>729</v>
      </c>
      <c r="AU106" t="s">
        <v>471</v>
      </c>
      <c r="BF106" t="s">
        <v>395</v>
      </c>
      <c r="CC106" t="s">
        <v>406</v>
      </c>
      <c r="CI106" t="s">
        <v>404</v>
      </c>
      <c r="CO106" t="s">
        <v>1826</v>
      </c>
      <c r="CZ106" t="s">
        <v>569</v>
      </c>
      <c r="DT106" t="s">
        <v>665</v>
      </c>
      <c r="EH106" t="s">
        <v>430</v>
      </c>
      <c r="EL106" t="s">
        <v>430</v>
      </c>
      <c r="FA106" t="s">
        <v>404</v>
      </c>
    </row>
    <row r="107" spans="1:158">
      <c r="A107">
        <v>73</v>
      </c>
      <c r="B107" t="s">
        <v>1827</v>
      </c>
      <c r="C107" t="s">
        <v>1828</v>
      </c>
      <c r="D107" t="s">
        <v>362</v>
      </c>
      <c r="E107">
        <v>0</v>
      </c>
      <c r="F107" t="s">
        <v>1829</v>
      </c>
      <c r="G107" t="s">
        <v>1830</v>
      </c>
      <c r="H107" t="s">
        <v>1831</v>
      </c>
      <c r="I107" t="s">
        <v>1832</v>
      </c>
      <c r="J107">
        <v>73</v>
      </c>
      <c r="O107" t="s">
        <v>441</v>
      </c>
      <c r="R107" t="s">
        <v>370</v>
      </c>
      <c r="AB107" t="s">
        <v>1833</v>
      </c>
      <c r="AC107" t="s">
        <v>733</v>
      </c>
      <c r="AI107" t="s">
        <v>1834</v>
      </c>
      <c r="AJ107" t="s">
        <v>177</v>
      </c>
      <c r="AL107" t="s">
        <v>729</v>
      </c>
      <c r="AN107" t="s">
        <v>1835</v>
      </c>
      <c r="AU107" t="s">
        <v>825</v>
      </c>
      <c r="AW107" t="s">
        <v>1836</v>
      </c>
      <c r="AX107" t="s">
        <v>1837</v>
      </c>
      <c r="AY107" t="s">
        <v>1838</v>
      </c>
      <c r="BF107" t="s">
        <v>1839</v>
      </c>
      <c r="BN107" t="s">
        <v>1235</v>
      </c>
      <c r="BT107" t="s">
        <v>1238</v>
      </c>
      <c r="CC107" t="s">
        <v>406</v>
      </c>
      <c r="CO107" t="s">
        <v>1840</v>
      </c>
      <c r="CU107" t="s">
        <v>1841</v>
      </c>
      <c r="CZ107" t="s">
        <v>736</v>
      </c>
      <c r="DS107" t="s">
        <v>1842</v>
      </c>
      <c r="DT107" t="s">
        <v>1843</v>
      </c>
      <c r="FA107" t="s">
        <v>404</v>
      </c>
      <c r="FB107" t="s">
        <v>1844</v>
      </c>
    </row>
    <row r="108" spans="1:158">
      <c r="A108">
        <v>179</v>
      </c>
      <c r="B108" t="s">
        <v>1845</v>
      </c>
      <c r="C108" t="s">
        <v>1846</v>
      </c>
      <c r="D108" t="s">
        <v>362</v>
      </c>
      <c r="E108">
        <v>1</v>
      </c>
      <c r="G108" t="s">
        <v>362</v>
      </c>
      <c r="H108" t="s">
        <v>362</v>
      </c>
      <c r="I108" t="s">
        <v>362</v>
      </c>
      <c r="J108">
        <v>179</v>
      </c>
      <c r="O108" t="s">
        <v>441</v>
      </c>
      <c r="R108" t="s">
        <v>484</v>
      </c>
      <c r="CC108" t="s">
        <v>406</v>
      </c>
      <c r="CI108" t="s">
        <v>404</v>
      </c>
      <c r="CX108" t="s">
        <v>26</v>
      </c>
      <c r="FA108" t="s">
        <v>404</v>
      </c>
    </row>
    <row r="109" spans="1:158">
      <c r="A109">
        <v>205</v>
      </c>
      <c r="B109" t="s">
        <v>1847</v>
      </c>
      <c r="C109" t="s">
        <v>1848</v>
      </c>
      <c r="D109" t="s">
        <v>1556</v>
      </c>
      <c r="E109">
        <v>1</v>
      </c>
      <c r="F109" t="s">
        <v>1547</v>
      </c>
      <c r="G109" t="s">
        <v>1548</v>
      </c>
      <c r="H109" t="s">
        <v>1549</v>
      </c>
      <c r="I109" t="s">
        <v>1550</v>
      </c>
      <c r="J109">
        <v>205</v>
      </c>
      <c r="O109" t="s">
        <v>533</v>
      </c>
      <c r="R109" t="s">
        <v>370</v>
      </c>
      <c r="AA109" t="s">
        <v>1556</v>
      </c>
      <c r="AB109" t="s">
        <v>859</v>
      </c>
      <c r="AU109" t="s">
        <v>389</v>
      </c>
      <c r="CC109" t="s">
        <v>406</v>
      </c>
      <c r="CI109" t="s">
        <v>404</v>
      </c>
      <c r="CO109" t="s">
        <v>1575</v>
      </c>
      <c r="CX109" t="s">
        <v>481</v>
      </c>
      <c r="DT109" t="s">
        <v>1849</v>
      </c>
      <c r="EH109" t="s">
        <v>430</v>
      </c>
      <c r="EL109" t="s">
        <v>430</v>
      </c>
      <c r="EW109" t="s">
        <v>1850</v>
      </c>
      <c r="FA109" t="s">
        <v>404</v>
      </c>
    </row>
    <row r="110" spans="1:158">
      <c r="A110">
        <v>136</v>
      </c>
      <c r="B110" t="s">
        <v>1851</v>
      </c>
      <c r="C110" t="s">
        <v>1852</v>
      </c>
      <c r="D110" t="s">
        <v>362</v>
      </c>
      <c r="E110">
        <v>1</v>
      </c>
      <c r="G110" t="s">
        <v>362</v>
      </c>
      <c r="H110" t="s">
        <v>362</v>
      </c>
      <c r="I110" t="s">
        <v>362</v>
      </c>
      <c r="J110">
        <v>136</v>
      </c>
      <c r="O110" t="s">
        <v>441</v>
      </c>
      <c r="CC110" t="s">
        <v>406</v>
      </c>
      <c r="CI110" t="s">
        <v>404</v>
      </c>
      <c r="FA110" t="s">
        <v>404</v>
      </c>
    </row>
    <row r="111" spans="1:158">
      <c r="A111">
        <v>56</v>
      </c>
      <c r="B111" t="s">
        <v>145</v>
      </c>
      <c r="C111" t="s">
        <v>1853</v>
      </c>
      <c r="D111" t="s">
        <v>362</v>
      </c>
      <c r="E111">
        <v>1</v>
      </c>
      <c r="F111" t="s">
        <v>1854</v>
      </c>
      <c r="G111" t="s">
        <v>1855</v>
      </c>
      <c r="H111" t="s">
        <v>1856</v>
      </c>
      <c r="I111" t="s">
        <v>1857</v>
      </c>
      <c r="J111">
        <v>56</v>
      </c>
      <c r="O111" t="s">
        <v>441</v>
      </c>
      <c r="R111" t="s">
        <v>370</v>
      </c>
      <c r="X111" t="s">
        <v>1858</v>
      </c>
      <c r="AA111" t="s">
        <v>1859</v>
      </c>
      <c r="AF111" t="s">
        <v>653</v>
      </c>
      <c r="AI111" t="s">
        <v>395</v>
      </c>
      <c r="AJ111" t="s">
        <v>763</v>
      </c>
      <c r="AN111" t="s">
        <v>1860</v>
      </c>
      <c r="AT111" t="s">
        <v>1861</v>
      </c>
      <c r="AU111" t="s">
        <v>471</v>
      </c>
      <c r="BF111" t="s">
        <v>731</v>
      </c>
      <c r="BH111" t="s">
        <v>1861</v>
      </c>
      <c r="BI111" t="s">
        <v>767</v>
      </c>
      <c r="BM111" t="s">
        <v>1862</v>
      </c>
      <c r="BT111" t="s">
        <v>1843</v>
      </c>
      <c r="CA111" t="s">
        <v>1863</v>
      </c>
      <c r="CC111" t="s">
        <v>406</v>
      </c>
      <c r="CG111" t="s">
        <v>558</v>
      </c>
      <c r="CI111" t="s">
        <v>404</v>
      </c>
      <c r="CJ111" t="s">
        <v>408</v>
      </c>
      <c r="CO111" t="s">
        <v>734</v>
      </c>
      <c r="CU111" t="s">
        <v>1864</v>
      </c>
      <c r="CZ111" t="s">
        <v>569</v>
      </c>
      <c r="DS111" t="s">
        <v>1865</v>
      </c>
      <c r="DT111" t="s">
        <v>1866</v>
      </c>
      <c r="EW111" t="s">
        <v>471</v>
      </c>
      <c r="FA111" t="s">
        <v>404</v>
      </c>
      <c r="FB111" t="s">
        <v>1867</v>
      </c>
    </row>
    <row r="112" spans="1:158">
      <c r="A112">
        <v>99</v>
      </c>
      <c r="B112" t="s">
        <v>1868</v>
      </c>
      <c r="C112" t="s">
        <v>1869</v>
      </c>
      <c r="D112" t="s">
        <v>362</v>
      </c>
      <c r="E112">
        <v>0</v>
      </c>
      <c r="G112" t="s">
        <v>362</v>
      </c>
      <c r="H112" t="s">
        <v>362</v>
      </c>
      <c r="I112" t="s">
        <v>362</v>
      </c>
      <c r="J112">
        <v>99</v>
      </c>
      <c r="O112" t="s">
        <v>441</v>
      </c>
      <c r="R112" t="s">
        <v>484</v>
      </c>
      <c r="AU112" t="s">
        <v>444</v>
      </c>
      <c r="BF112" t="s">
        <v>395</v>
      </c>
      <c r="CC112" t="s">
        <v>406</v>
      </c>
      <c r="CO112" t="s">
        <v>1870</v>
      </c>
      <c r="DT112" t="s">
        <v>395</v>
      </c>
      <c r="EF112" t="s">
        <v>492</v>
      </c>
      <c r="EG112" t="s">
        <v>492</v>
      </c>
      <c r="EK112" t="s">
        <v>492</v>
      </c>
      <c r="FA112" t="s">
        <v>404</v>
      </c>
    </row>
    <row r="113" spans="1:158">
      <c r="A113">
        <v>116</v>
      </c>
      <c r="B113" t="s">
        <v>1871</v>
      </c>
      <c r="C113" t="s">
        <v>1872</v>
      </c>
      <c r="D113" t="s">
        <v>362</v>
      </c>
      <c r="E113">
        <v>0</v>
      </c>
      <c r="G113" t="s">
        <v>362</v>
      </c>
      <c r="H113" t="s">
        <v>362</v>
      </c>
      <c r="I113" t="s">
        <v>362</v>
      </c>
      <c r="J113">
        <v>116</v>
      </c>
      <c r="O113" t="s">
        <v>441</v>
      </c>
      <c r="R113" t="s">
        <v>484</v>
      </c>
      <c r="AA113" t="s">
        <v>1873</v>
      </c>
      <c r="AU113" t="s">
        <v>471</v>
      </c>
      <c r="BF113" t="s">
        <v>395</v>
      </c>
      <c r="CC113" t="s">
        <v>406</v>
      </c>
      <c r="CO113" t="s">
        <v>1318</v>
      </c>
      <c r="DT113" t="s">
        <v>618</v>
      </c>
      <c r="EF113" t="s">
        <v>492</v>
      </c>
      <c r="EG113" t="s">
        <v>492</v>
      </c>
      <c r="EK113" t="s">
        <v>492</v>
      </c>
      <c r="EW113" t="s">
        <v>471</v>
      </c>
      <c r="FA113" t="s">
        <v>404</v>
      </c>
    </row>
    <row r="114" spans="1:158">
      <c r="A114">
        <v>139</v>
      </c>
      <c r="B114" t="s">
        <v>1874</v>
      </c>
      <c r="C114" t="s">
        <v>172</v>
      </c>
      <c r="D114" t="s">
        <v>172</v>
      </c>
      <c r="E114">
        <v>1</v>
      </c>
      <c r="F114" t="s">
        <v>1875</v>
      </c>
      <c r="G114" t="s">
        <v>1876</v>
      </c>
      <c r="H114" t="s">
        <v>1877</v>
      </c>
      <c r="I114" t="s">
        <v>1878</v>
      </c>
      <c r="J114">
        <v>139</v>
      </c>
      <c r="K114" t="s">
        <v>531</v>
      </c>
      <c r="O114" t="s">
        <v>533</v>
      </c>
      <c r="R114" t="s">
        <v>370</v>
      </c>
      <c r="T114" t="s">
        <v>1879</v>
      </c>
      <c r="V114" t="s">
        <v>383</v>
      </c>
      <c r="X114" t="s">
        <v>1880</v>
      </c>
      <c r="Z114" t="s">
        <v>378</v>
      </c>
      <c r="AA114" t="s">
        <v>1877</v>
      </c>
      <c r="AB114" t="s">
        <v>1264</v>
      </c>
      <c r="AF114" t="s">
        <v>653</v>
      </c>
      <c r="AG114" t="s">
        <v>654</v>
      </c>
      <c r="AI114" t="s">
        <v>1881</v>
      </c>
      <c r="AJ114" t="s">
        <v>791</v>
      </c>
      <c r="AL114" t="s">
        <v>792</v>
      </c>
      <c r="AM114" t="s">
        <v>383</v>
      </c>
      <c r="AN114" t="s">
        <v>1882</v>
      </c>
      <c r="AQ114" t="s">
        <v>689</v>
      </c>
      <c r="AR114" t="s">
        <v>542</v>
      </c>
      <c r="AS114" t="s">
        <v>388</v>
      </c>
      <c r="AT114" t="s">
        <v>660</v>
      </c>
      <c r="AU114" t="s">
        <v>444</v>
      </c>
      <c r="AY114" t="s">
        <v>547</v>
      </c>
      <c r="AZ114" t="s">
        <v>395</v>
      </c>
      <c r="BA114" t="s">
        <v>533</v>
      </c>
      <c r="BB114" t="s">
        <v>542</v>
      </c>
      <c r="BC114" t="s">
        <v>549</v>
      </c>
      <c r="BD114" t="s">
        <v>1883</v>
      </c>
      <c r="BF114" t="s">
        <v>1884</v>
      </c>
      <c r="BG114" t="s">
        <v>395</v>
      </c>
      <c r="BH114" t="s">
        <v>666</v>
      </c>
      <c r="BI114" t="s">
        <v>1885</v>
      </c>
      <c r="BK114" t="s">
        <v>1884</v>
      </c>
      <c r="BM114" t="s">
        <v>1886</v>
      </c>
      <c r="BN114" t="s">
        <v>554</v>
      </c>
      <c r="BR114" t="s">
        <v>693</v>
      </c>
      <c r="BS114" t="s">
        <v>395</v>
      </c>
      <c r="BT114" t="s">
        <v>1887</v>
      </c>
      <c r="CA114" t="s">
        <v>1888</v>
      </c>
      <c r="CC114" t="s">
        <v>406</v>
      </c>
      <c r="CD114" t="s">
        <v>395</v>
      </c>
      <c r="CF114" t="s">
        <v>1878</v>
      </c>
      <c r="CG114" t="s">
        <v>695</v>
      </c>
      <c r="CH114" t="s">
        <v>383</v>
      </c>
      <c r="CI114" t="s">
        <v>430</v>
      </c>
      <c r="CJ114" t="s">
        <v>559</v>
      </c>
      <c r="CK114" t="s">
        <v>172</v>
      </c>
      <c r="CO114" t="s">
        <v>800</v>
      </c>
      <c r="CP114" t="s">
        <v>1889</v>
      </c>
      <c r="CQ114" t="s">
        <v>802</v>
      </c>
      <c r="CR114" t="s">
        <v>803</v>
      </c>
      <c r="CT114" t="s">
        <v>1890</v>
      </c>
      <c r="CU114" t="s">
        <v>1891</v>
      </c>
      <c r="CV114" t="s">
        <v>416</v>
      </c>
      <c r="CW114" t="s">
        <v>388</v>
      </c>
      <c r="CX114" t="s">
        <v>481</v>
      </c>
      <c r="CY114" t="s">
        <v>517</v>
      </c>
      <c r="CZ114" t="s">
        <v>569</v>
      </c>
      <c r="DA114" t="s">
        <v>367</v>
      </c>
      <c r="DB114" t="s">
        <v>946</v>
      </c>
      <c r="DC114" t="s">
        <v>419</v>
      </c>
      <c r="DD114" t="s">
        <v>571</v>
      </c>
      <c r="DL114" t="s">
        <v>426</v>
      </c>
      <c r="DN114" t="s">
        <v>395</v>
      </c>
      <c r="DO114" t="s">
        <v>1876</v>
      </c>
      <c r="DP114" t="s">
        <v>395</v>
      </c>
      <c r="DQ114" t="s">
        <v>395</v>
      </c>
      <c r="DR114" t="s">
        <v>395</v>
      </c>
      <c r="DS114" t="s">
        <v>1892</v>
      </c>
      <c r="DT114" t="s">
        <v>1887</v>
      </c>
      <c r="DU114" t="s">
        <v>1887</v>
      </c>
      <c r="DV114" t="s">
        <v>1887</v>
      </c>
      <c r="EB114" t="s">
        <v>395</v>
      </c>
      <c r="EC114" t="s">
        <v>395</v>
      </c>
      <c r="ED114" t="s">
        <v>902</v>
      </c>
      <c r="EE114" t="s">
        <v>573</v>
      </c>
      <c r="EF114" t="s">
        <v>492</v>
      </c>
      <c r="EG114" t="s">
        <v>779</v>
      </c>
      <c r="EH114" t="s">
        <v>430</v>
      </c>
      <c r="EI114" t="s">
        <v>431</v>
      </c>
      <c r="EJ114" t="s">
        <v>780</v>
      </c>
      <c r="EK114" t="s">
        <v>779</v>
      </c>
      <c r="EL114" t="s">
        <v>430</v>
      </c>
      <c r="EM114" t="s">
        <v>431</v>
      </c>
      <c r="EW114" t="s">
        <v>444</v>
      </c>
      <c r="FA114" t="s">
        <v>404</v>
      </c>
      <c r="FB114" t="s">
        <v>26</v>
      </c>
    </row>
    <row r="115" spans="1:158">
      <c r="A115">
        <v>162</v>
      </c>
      <c r="B115" t="s">
        <v>1893</v>
      </c>
      <c r="C115" t="s">
        <v>1894</v>
      </c>
      <c r="D115" t="s">
        <v>362</v>
      </c>
      <c r="E115">
        <v>0</v>
      </c>
      <c r="G115" t="s">
        <v>362</v>
      </c>
      <c r="H115" t="s">
        <v>362</v>
      </c>
      <c r="I115" t="s">
        <v>362</v>
      </c>
      <c r="J115">
        <v>162</v>
      </c>
      <c r="O115" t="s">
        <v>441</v>
      </c>
      <c r="R115" t="s">
        <v>480</v>
      </c>
      <c r="CC115" t="s">
        <v>406</v>
      </c>
      <c r="EH115" t="s">
        <v>430</v>
      </c>
      <c r="EL115" t="s">
        <v>430</v>
      </c>
      <c r="FA115" t="s">
        <v>404</v>
      </c>
    </row>
    <row r="116" spans="1:158">
      <c r="A116">
        <v>76</v>
      </c>
      <c r="B116" t="s">
        <v>1895</v>
      </c>
      <c r="C116" t="s">
        <v>1896</v>
      </c>
      <c r="D116" t="s">
        <v>362</v>
      </c>
      <c r="E116">
        <v>1</v>
      </c>
      <c r="F116" t="s">
        <v>1897</v>
      </c>
      <c r="G116" t="s">
        <v>1898</v>
      </c>
      <c r="H116" t="s">
        <v>1899</v>
      </c>
      <c r="I116" t="s">
        <v>1900</v>
      </c>
      <c r="J116">
        <v>76</v>
      </c>
      <c r="O116" t="s">
        <v>441</v>
      </c>
      <c r="R116" t="s">
        <v>370</v>
      </c>
      <c r="X116" t="s">
        <v>767</v>
      </c>
      <c r="AA116" t="s">
        <v>1901</v>
      </c>
      <c r="AF116" t="s">
        <v>653</v>
      </c>
      <c r="AG116" t="s">
        <v>1631</v>
      </c>
      <c r="AH116" t="s">
        <v>655</v>
      </c>
      <c r="AI116" t="s">
        <v>1902</v>
      </c>
      <c r="AJ116" t="s">
        <v>1903</v>
      </c>
      <c r="AL116" t="s">
        <v>655</v>
      </c>
      <c r="AN116" t="s">
        <v>1904</v>
      </c>
      <c r="AT116" t="s">
        <v>660</v>
      </c>
      <c r="AU116" t="s">
        <v>825</v>
      </c>
      <c r="BF116" t="s">
        <v>1342</v>
      </c>
      <c r="BH116" t="s">
        <v>666</v>
      </c>
      <c r="BI116" t="s">
        <v>1905</v>
      </c>
      <c r="BT116" t="s">
        <v>1906</v>
      </c>
      <c r="CC116" t="s">
        <v>406</v>
      </c>
      <c r="CG116" t="s">
        <v>1907</v>
      </c>
      <c r="CI116" t="s">
        <v>404</v>
      </c>
      <c r="CJ116" t="s">
        <v>408</v>
      </c>
      <c r="CO116" t="s">
        <v>1908</v>
      </c>
      <c r="CU116" t="s">
        <v>1909</v>
      </c>
      <c r="CZ116" t="s">
        <v>569</v>
      </c>
      <c r="DS116" t="s">
        <v>1910</v>
      </c>
      <c r="DT116" t="s">
        <v>1866</v>
      </c>
      <c r="EW116" t="s">
        <v>825</v>
      </c>
      <c r="FA116" t="s">
        <v>404</v>
      </c>
      <c r="FB116" t="s">
        <v>1911</v>
      </c>
    </row>
    <row r="117" spans="1:158">
      <c r="A117">
        <v>222</v>
      </c>
      <c r="B117" t="s">
        <v>81</v>
      </c>
      <c r="C117" t="s">
        <v>82</v>
      </c>
      <c r="D117" t="s">
        <v>82</v>
      </c>
      <c r="E117">
        <v>1</v>
      </c>
      <c r="F117" t="s">
        <v>1912</v>
      </c>
      <c r="G117" t="s">
        <v>1913</v>
      </c>
      <c r="H117" t="s">
        <v>1914</v>
      </c>
      <c r="I117" t="s">
        <v>1915</v>
      </c>
      <c r="J117">
        <v>222</v>
      </c>
      <c r="K117" t="s">
        <v>531</v>
      </c>
      <c r="O117" t="s">
        <v>533</v>
      </c>
      <c r="R117" t="s">
        <v>370</v>
      </c>
      <c r="T117" t="s">
        <v>1916</v>
      </c>
      <c r="V117" t="s">
        <v>383</v>
      </c>
      <c r="Z117" t="s">
        <v>378</v>
      </c>
      <c r="AA117" t="s">
        <v>82</v>
      </c>
      <c r="AB117" t="s">
        <v>538</v>
      </c>
      <c r="AI117" t="s">
        <v>1917</v>
      </c>
      <c r="AM117" t="s">
        <v>1685</v>
      </c>
      <c r="AN117" t="s">
        <v>1918</v>
      </c>
      <c r="AQ117" t="s">
        <v>1064</v>
      </c>
      <c r="AS117" t="s">
        <v>1919</v>
      </c>
      <c r="AU117" t="s">
        <v>389</v>
      </c>
      <c r="BB117" t="s">
        <v>542</v>
      </c>
      <c r="BD117" t="s">
        <v>1920</v>
      </c>
      <c r="BF117" t="s">
        <v>1921</v>
      </c>
      <c r="BG117" t="s">
        <v>395</v>
      </c>
      <c r="BR117" t="s">
        <v>1922</v>
      </c>
      <c r="BS117" t="s">
        <v>395</v>
      </c>
      <c r="CA117" t="s">
        <v>1923</v>
      </c>
      <c r="CC117" t="s">
        <v>406</v>
      </c>
      <c r="CF117" t="s">
        <v>1915</v>
      </c>
      <c r="CH117" t="s">
        <v>1924</v>
      </c>
      <c r="CI117" t="s">
        <v>430</v>
      </c>
      <c r="CK117" t="s">
        <v>82</v>
      </c>
      <c r="CO117" t="s">
        <v>1925</v>
      </c>
      <c r="CP117" t="s">
        <v>1926</v>
      </c>
      <c r="CQ117" t="s">
        <v>1927</v>
      </c>
      <c r="CR117" t="s">
        <v>1928</v>
      </c>
      <c r="CT117" t="s">
        <v>1929</v>
      </c>
      <c r="CU117" t="s">
        <v>1930</v>
      </c>
      <c r="CV117" t="s">
        <v>1919</v>
      </c>
      <c r="CW117" t="s">
        <v>388</v>
      </c>
      <c r="CX117" t="s">
        <v>417</v>
      </c>
      <c r="CY117" t="s">
        <v>568</v>
      </c>
      <c r="DA117" t="s">
        <v>418</v>
      </c>
      <c r="DC117" t="s">
        <v>419</v>
      </c>
      <c r="DL117" t="s">
        <v>426</v>
      </c>
      <c r="DN117" t="s">
        <v>395</v>
      </c>
      <c r="DO117" t="s">
        <v>1931</v>
      </c>
      <c r="DP117" t="s">
        <v>395</v>
      </c>
      <c r="DQ117" t="s">
        <v>395</v>
      </c>
      <c r="DR117" t="s">
        <v>395</v>
      </c>
      <c r="DS117" t="s">
        <v>1932</v>
      </c>
      <c r="DT117" t="s">
        <v>1933</v>
      </c>
      <c r="DV117" t="s">
        <v>1933</v>
      </c>
      <c r="EB117" t="s">
        <v>891</v>
      </c>
      <c r="EC117" t="s">
        <v>395</v>
      </c>
      <c r="EF117" t="s">
        <v>492</v>
      </c>
      <c r="EG117" t="s">
        <v>492</v>
      </c>
      <c r="EI117" t="s">
        <v>431</v>
      </c>
      <c r="EJ117" t="s">
        <v>780</v>
      </c>
      <c r="EK117" t="s">
        <v>492</v>
      </c>
      <c r="EM117" t="s">
        <v>431</v>
      </c>
      <c r="EW117" t="s">
        <v>432</v>
      </c>
      <c r="FA117" t="s">
        <v>404</v>
      </c>
      <c r="FB117" t="s">
        <v>26</v>
      </c>
    </row>
    <row r="118" spans="1:158">
      <c r="A118">
        <v>202</v>
      </c>
      <c r="B118" t="s">
        <v>38</v>
      </c>
      <c r="C118" t="s">
        <v>1934</v>
      </c>
      <c r="D118" t="s">
        <v>362</v>
      </c>
      <c r="E118">
        <v>0</v>
      </c>
      <c r="F118" t="s">
        <v>1935</v>
      </c>
      <c r="G118" t="s">
        <v>1936</v>
      </c>
      <c r="H118" t="s">
        <v>1937</v>
      </c>
      <c r="I118" t="s">
        <v>1938</v>
      </c>
      <c r="J118">
        <v>202</v>
      </c>
      <c r="O118" t="s">
        <v>441</v>
      </c>
      <c r="R118" t="s">
        <v>370</v>
      </c>
      <c r="CC118" t="s">
        <v>406</v>
      </c>
      <c r="CI118" t="s">
        <v>430</v>
      </c>
      <c r="CX118" t="s">
        <v>840</v>
      </c>
      <c r="FA118" t="s">
        <v>404</v>
      </c>
    </row>
    <row r="119" spans="1:158">
      <c r="A119">
        <v>59</v>
      </c>
      <c r="B119" t="s">
        <v>1939</v>
      </c>
      <c r="C119" t="s">
        <v>1940</v>
      </c>
      <c r="D119" t="s">
        <v>1941</v>
      </c>
      <c r="E119">
        <v>1</v>
      </c>
      <c r="F119" t="s">
        <v>1942</v>
      </c>
      <c r="G119" t="s">
        <v>1943</v>
      </c>
      <c r="H119" t="s">
        <v>650</v>
      </c>
      <c r="I119" t="s">
        <v>651</v>
      </c>
      <c r="J119">
        <v>59</v>
      </c>
      <c r="O119" t="s">
        <v>441</v>
      </c>
      <c r="R119" t="s">
        <v>442</v>
      </c>
      <c r="AA119" t="s">
        <v>1944</v>
      </c>
      <c r="AU119" t="s">
        <v>444</v>
      </c>
      <c r="CC119" t="s">
        <v>406</v>
      </c>
      <c r="CI119" t="s">
        <v>404</v>
      </c>
      <c r="CJ119" t="s">
        <v>448</v>
      </c>
      <c r="CO119" t="s">
        <v>671</v>
      </c>
      <c r="CX119" t="s">
        <v>673</v>
      </c>
      <c r="EH119" t="s">
        <v>430</v>
      </c>
      <c r="EL119" t="s">
        <v>430</v>
      </c>
      <c r="EW119" t="s">
        <v>444</v>
      </c>
      <c r="FA119" t="s">
        <v>404</v>
      </c>
    </row>
    <row r="120" spans="1:158">
      <c r="A120">
        <v>225</v>
      </c>
      <c r="B120" t="s">
        <v>1945</v>
      </c>
      <c r="C120" t="s">
        <v>1946</v>
      </c>
      <c r="D120" t="s">
        <v>362</v>
      </c>
      <c r="E120">
        <v>1</v>
      </c>
      <c r="G120" t="s">
        <v>362</v>
      </c>
      <c r="H120" t="s">
        <v>362</v>
      </c>
      <c r="I120" t="s">
        <v>362</v>
      </c>
      <c r="J120">
        <v>225</v>
      </c>
      <c r="O120" t="s">
        <v>441</v>
      </c>
      <c r="R120" t="s">
        <v>480</v>
      </c>
      <c r="CC120" t="s">
        <v>406</v>
      </c>
      <c r="CI120" t="s">
        <v>404</v>
      </c>
      <c r="CX120" t="s">
        <v>26</v>
      </c>
      <c r="CY120" t="s">
        <v>568</v>
      </c>
      <c r="FA120" t="s">
        <v>404</v>
      </c>
    </row>
    <row r="121" spans="1:158">
      <c r="A121">
        <v>33</v>
      </c>
      <c r="B121" t="s">
        <v>21</v>
      </c>
      <c r="C121" t="s">
        <v>986</v>
      </c>
      <c r="D121" t="s">
        <v>986</v>
      </c>
      <c r="E121">
        <v>1</v>
      </c>
      <c r="F121" t="s">
        <v>987</v>
      </c>
      <c r="G121" t="s">
        <v>988</v>
      </c>
      <c r="H121" t="s">
        <v>989</v>
      </c>
      <c r="I121" t="s">
        <v>990</v>
      </c>
      <c r="J121">
        <v>33</v>
      </c>
      <c r="K121" t="s">
        <v>378</v>
      </c>
      <c r="L121" t="s">
        <v>884</v>
      </c>
      <c r="O121" t="s">
        <v>533</v>
      </c>
      <c r="R121" t="s">
        <v>370</v>
      </c>
      <c r="T121" t="s">
        <v>383</v>
      </c>
      <c r="V121" t="s">
        <v>1947</v>
      </c>
      <c r="X121" t="s">
        <v>1948</v>
      </c>
      <c r="Z121" t="s">
        <v>1747</v>
      </c>
      <c r="AA121" t="s">
        <v>24</v>
      </c>
      <c r="AB121" t="s">
        <v>1949</v>
      </c>
      <c r="AC121" t="s">
        <v>1235</v>
      </c>
      <c r="AF121" t="s">
        <v>873</v>
      </c>
      <c r="AG121" t="s">
        <v>654</v>
      </c>
      <c r="AH121" t="s">
        <v>1427</v>
      </c>
      <c r="AI121" t="s">
        <v>383</v>
      </c>
      <c r="AJ121" t="s">
        <v>1429</v>
      </c>
      <c r="AK121" t="s">
        <v>1950</v>
      </c>
      <c r="AL121" t="s">
        <v>1029</v>
      </c>
      <c r="AM121" t="s">
        <v>764</v>
      </c>
      <c r="AN121" t="s">
        <v>1951</v>
      </c>
      <c r="AQ121" t="s">
        <v>689</v>
      </c>
      <c r="AS121" t="s">
        <v>388</v>
      </c>
      <c r="AT121" t="s">
        <v>660</v>
      </c>
      <c r="AU121" t="s">
        <v>444</v>
      </c>
      <c r="AW121" t="s">
        <v>1952</v>
      </c>
      <c r="AX121" t="s">
        <v>1953</v>
      </c>
      <c r="AY121" t="s">
        <v>1483</v>
      </c>
      <c r="AZ121" t="s">
        <v>395</v>
      </c>
      <c r="BB121" t="s">
        <v>533</v>
      </c>
      <c r="BC121" t="s">
        <v>1954</v>
      </c>
      <c r="BD121" t="s">
        <v>383</v>
      </c>
      <c r="BF121" t="s">
        <v>1955</v>
      </c>
      <c r="BG121" t="s">
        <v>395</v>
      </c>
      <c r="BH121" t="s">
        <v>666</v>
      </c>
      <c r="BI121" t="s">
        <v>1956</v>
      </c>
      <c r="BK121" t="s">
        <v>1955</v>
      </c>
      <c r="BM121" t="s">
        <v>1957</v>
      </c>
      <c r="BN121" t="s">
        <v>1235</v>
      </c>
      <c r="BR121" t="s">
        <v>555</v>
      </c>
      <c r="BS121" t="s">
        <v>395</v>
      </c>
      <c r="BT121" t="s">
        <v>402</v>
      </c>
      <c r="CA121" t="s">
        <v>1958</v>
      </c>
      <c r="CC121" t="s">
        <v>406</v>
      </c>
      <c r="CD121" t="s">
        <v>395</v>
      </c>
      <c r="CF121" t="s">
        <v>990</v>
      </c>
      <c r="CG121" t="s">
        <v>695</v>
      </c>
      <c r="CH121" t="s">
        <v>1959</v>
      </c>
      <c r="CI121" t="s">
        <v>430</v>
      </c>
      <c r="CJ121" t="s">
        <v>559</v>
      </c>
      <c r="CK121" t="s">
        <v>986</v>
      </c>
      <c r="CO121" t="s">
        <v>1908</v>
      </c>
      <c r="CP121" t="s">
        <v>1960</v>
      </c>
      <c r="CQ121" t="s">
        <v>1961</v>
      </c>
      <c r="CR121" t="s">
        <v>803</v>
      </c>
      <c r="CT121" t="s">
        <v>1962</v>
      </c>
      <c r="CU121" t="s">
        <v>1963</v>
      </c>
      <c r="CV121" t="s">
        <v>416</v>
      </c>
      <c r="CW121" t="s">
        <v>388</v>
      </c>
      <c r="CX121" t="s">
        <v>945</v>
      </c>
      <c r="CY121" t="s">
        <v>568</v>
      </c>
      <c r="CZ121" t="s">
        <v>736</v>
      </c>
      <c r="DA121" t="s">
        <v>531</v>
      </c>
      <c r="DB121" t="s">
        <v>1964</v>
      </c>
      <c r="DC121" t="s">
        <v>905</v>
      </c>
      <c r="DL121" t="s">
        <v>1965</v>
      </c>
      <c r="DN121" t="s">
        <v>395</v>
      </c>
      <c r="DO121" t="s">
        <v>988</v>
      </c>
      <c r="DP121" t="s">
        <v>395</v>
      </c>
      <c r="DQ121" t="s">
        <v>395</v>
      </c>
      <c r="DR121" t="s">
        <v>395</v>
      </c>
      <c r="DS121" t="s">
        <v>1966</v>
      </c>
      <c r="DT121" t="s">
        <v>693</v>
      </c>
      <c r="DU121" t="s">
        <v>693</v>
      </c>
      <c r="DV121" t="s">
        <v>1967</v>
      </c>
      <c r="EB121" t="s">
        <v>395</v>
      </c>
      <c r="EC121" t="s">
        <v>401</v>
      </c>
      <c r="ED121" t="s">
        <v>693</v>
      </c>
      <c r="EE121" t="s">
        <v>1968</v>
      </c>
      <c r="EF121" t="s">
        <v>1969</v>
      </c>
      <c r="EG121" t="s">
        <v>779</v>
      </c>
      <c r="EH121" t="s">
        <v>430</v>
      </c>
      <c r="EI121" t="s">
        <v>431</v>
      </c>
      <c r="EJ121" t="s">
        <v>429</v>
      </c>
      <c r="EK121" t="s">
        <v>779</v>
      </c>
      <c r="EL121" t="s">
        <v>430</v>
      </c>
      <c r="EM121" t="s">
        <v>431</v>
      </c>
      <c r="EW121" t="s">
        <v>471</v>
      </c>
      <c r="FA121" t="s">
        <v>404</v>
      </c>
      <c r="FB121" t="s">
        <v>26</v>
      </c>
    </row>
    <row r="122" spans="1:158">
      <c r="A122">
        <v>182</v>
      </c>
      <c r="B122" t="s">
        <v>35</v>
      </c>
      <c r="C122" t="s">
        <v>38</v>
      </c>
      <c r="D122" t="s">
        <v>1934</v>
      </c>
      <c r="E122">
        <v>1</v>
      </c>
      <c r="F122" t="s">
        <v>1935</v>
      </c>
      <c r="G122" t="s">
        <v>1936</v>
      </c>
      <c r="H122" t="s">
        <v>1937</v>
      </c>
      <c r="I122" t="s">
        <v>1938</v>
      </c>
      <c r="J122">
        <v>182</v>
      </c>
      <c r="M122" t="s">
        <v>1970</v>
      </c>
      <c r="N122" t="s">
        <v>1126</v>
      </c>
      <c r="O122" t="s">
        <v>533</v>
      </c>
      <c r="P122" t="s">
        <v>1127</v>
      </c>
      <c r="R122" t="s">
        <v>370</v>
      </c>
      <c r="T122" t="s">
        <v>1971</v>
      </c>
      <c r="U122" t="s">
        <v>373</v>
      </c>
      <c r="V122" t="s">
        <v>1972</v>
      </c>
      <c r="W122" t="s">
        <v>1973</v>
      </c>
      <c r="X122" t="s">
        <v>1974</v>
      </c>
      <c r="Z122" t="s">
        <v>926</v>
      </c>
      <c r="AA122" t="s">
        <v>38</v>
      </c>
      <c r="AB122" t="s">
        <v>1975</v>
      </c>
      <c r="AD122" t="s">
        <v>1133</v>
      </c>
      <c r="AE122" t="s">
        <v>508</v>
      </c>
      <c r="AG122" t="s">
        <v>404</v>
      </c>
      <c r="AI122" t="s">
        <v>1976</v>
      </c>
      <c r="AM122" t="s">
        <v>1977</v>
      </c>
      <c r="AN122" t="s">
        <v>1978</v>
      </c>
      <c r="AP122" t="s">
        <v>1979</v>
      </c>
      <c r="AQ122" t="s">
        <v>1980</v>
      </c>
      <c r="AS122" t="s">
        <v>1981</v>
      </c>
      <c r="AU122" t="s">
        <v>1139</v>
      </c>
      <c r="AV122" t="s">
        <v>1982</v>
      </c>
      <c r="AW122" t="s">
        <v>1983</v>
      </c>
      <c r="AX122" t="s">
        <v>1984</v>
      </c>
      <c r="AY122" t="s">
        <v>547</v>
      </c>
      <c r="AZ122" t="s">
        <v>395</v>
      </c>
      <c r="BC122" t="s">
        <v>549</v>
      </c>
      <c r="BD122" t="s">
        <v>1985</v>
      </c>
      <c r="BE122" t="s">
        <v>1986</v>
      </c>
      <c r="BF122" t="s">
        <v>1271</v>
      </c>
      <c r="BG122" t="s">
        <v>395</v>
      </c>
      <c r="BK122" t="s">
        <v>1271</v>
      </c>
      <c r="BL122" t="s">
        <v>1987</v>
      </c>
      <c r="BM122" t="s">
        <v>1988</v>
      </c>
      <c r="BO122" t="s">
        <v>614</v>
      </c>
      <c r="BR122" t="s">
        <v>872</v>
      </c>
      <c r="BS122" t="s">
        <v>395</v>
      </c>
      <c r="BU122" t="s">
        <v>872</v>
      </c>
      <c r="BV122" t="s">
        <v>401</v>
      </c>
      <c r="BZ122" t="s">
        <v>404</v>
      </c>
      <c r="CA122" t="s">
        <v>1989</v>
      </c>
      <c r="CC122" t="s">
        <v>406</v>
      </c>
      <c r="CD122" t="s">
        <v>395</v>
      </c>
      <c r="CE122" t="s">
        <v>1054</v>
      </c>
      <c r="CF122" t="s">
        <v>1938</v>
      </c>
      <c r="CG122" t="s">
        <v>558</v>
      </c>
      <c r="CH122" t="s">
        <v>1990</v>
      </c>
      <c r="CI122" t="s">
        <v>430</v>
      </c>
      <c r="CJ122" t="s">
        <v>559</v>
      </c>
      <c r="CK122" t="s">
        <v>1991</v>
      </c>
      <c r="CO122" t="s">
        <v>1152</v>
      </c>
      <c r="CP122" t="s">
        <v>1992</v>
      </c>
      <c r="CQ122" t="s">
        <v>1993</v>
      </c>
      <c r="CR122" t="s">
        <v>1994</v>
      </c>
      <c r="CT122" t="s">
        <v>1995</v>
      </c>
      <c r="CU122" t="s">
        <v>1996</v>
      </c>
      <c r="CV122" t="s">
        <v>1065</v>
      </c>
      <c r="CW122" t="s">
        <v>1158</v>
      </c>
      <c r="CX122" t="s">
        <v>1997</v>
      </c>
      <c r="CY122" t="s">
        <v>568</v>
      </c>
      <c r="DB122" t="s">
        <v>946</v>
      </c>
      <c r="DE122" t="s">
        <v>1998</v>
      </c>
      <c r="DF122" t="s">
        <v>628</v>
      </c>
      <c r="DH122" t="s">
        <v>1160</v>
      </c>
      <c r="DI122" t="s">
        <v>1161</v>
      </c>
      <c r="DJ122" t="s">
        <v>1162</v>
      </c>
      <c r="DK122" t="s">
        <v>1163</v>
      </c>
      <c r="DL122" t="s">
        <v>1164</v>
      </c>
      <c r="DN122" t="s">
        <v>395</v>
      </c>
      <c r="DO122" t="s">
        <v>1936</v>
      </c>
      <c r="DP122" t="s">
        <v>614</v>
      </c>
      <c r="DQ122" t="s">
        <v>395</v>
      </c>
      <c r="DR122" t="s">
        <v>395</v>
      </c>
      <c r="DS122" t="s">
        <v>1999</v>
      </c>
      <c r="DT122" t="s">
        <v>395</v>
      </c>
      <c r="DU122" t="s">
        <v>798</v>
      </c>
      <c r="DW122" t="s">
        <v>402</v>
      </c>
      <c r="EC122" t="s">
        <v>395</v>
      </c>
      <c r="ED122" t="s">
        <v>491</v>
      </c>
      <c r="EE122" t="s">
        <v>573</v>
      </c>
      <c r="EF122" t="s">
        <v>492</v>
      </c>
      <c r="EG122" t="s">
        <v>429</v>
      </c>
      <c r="EH122" t="s">
        <v>430</v>
      </c>
      <c r="EI122" t="s">
        <v>431</v>
      </c>
      <c r="EJ122" t="s">
        <v>429</v>
      </c>
      <c r="EK122" t="s">
        <v>429</v>
      </c>
      <c r="EL122" t="s">
        <v>430</v>
      </c>
      <c r="EM122" t="s">
        <v>431</v>
      </c>
      <c r="EQ122" t="s">
        <v>401</v>
      </c>
      <c r="ER122" t="s">
        <v>401</v>
      </c>
      <c r="EW122" t="s">
        <v>1167</v>
      </c>
      <c r="FA122" t="s">
        <v>404</v>
      </c>
      <c r="FB122" t="s">
        <v>26</v>
      </c>
    </row>
    <row r="123" spans="1:158">
      <c r="A123">
        <v>159</v>
      </c>
      <c r="B123" t="s">
        <v>2000</v>
      </c>
      <c r="C123" t="s">
        <v>2001</v>
      </c>
      <c r="D123" t="s">
        <v>362</v>
      </c>
      <c r="E123">
        <v>1</v>
      </c>
      <c r="G123" t="s">
        <v>362</v>
      </c>
      <c r="H123" t="s">
        <v>362</v>
      </c>
      <c r="I123" t="s">
        <v>362</v>
      </c>
      <c r="J123">
        <v>159</v>
      </c>
      <c r="O123" t="s">
        <v>441</v>
      </c>
      <c r="R123" t="s">
        <v>484</v>
      </c>
      <c r="CC123" t="s">
        <v>406</v>
      </c>
      <c r="CI123" t="s">
        <v>404</v>
      </c>
      <c r="FA123" t="s">
        <v>404</v>
      </c>
    </row>
    <row r="124" spans="1:158">
      <c r="A124">
        <v>53</v>
      </c>
      <c r="B124" t="s">
        <v>2002</v>
      </c>
      <c r="C124" t="s">
        <v>2003</v>
      </c>
      <c r="D124" t="s">
        <v>2003</v>
      </c>
      <c r="E124">
        <v>1</v>
      </c>
      <c r="F124" t="s">
        <v>2004</v>
      </c>
      <c r="G124" t="s">
        <v>2005</v>
      </c>
      <c r="H124" t="s">
        <v>2006</v>
      </c>
      <c r="I124" t="s">
        <v>2007</v>
      </c>
      <c r="J124">
        <v>53</v>
      </c>
      <c r="O124" t="s">
        <v>533</v>
      </c>
      <c r="R124" t="s">
        <v>370</v>
      </c>
      <c r="X124" t="s">
        <v>2008</v>
      </c>
      <c r="AA124" t="s">
        <v>2009</v>
      </c>
      <c r="AF124" t="s">
        <v>729</v>
      </c>
      <c r="AG124" t="s">
        <v>430</v>
      </c>
      <c r="AH124" t="s">
        <v>905</v>
      </c>
      <c r="AI124" t="s">
        <v>2010</v>
      </c>
      <c r="AJ124" t="s">
        <v>907</v>
      </c>
      <c r="AL124" t="s">
        <v>729</v>
      </c>
      <c r="AN124" t="s">
        <v>2011</v>
      </c>
      <c r="AU124" t="s">
        <v>444</v>
      </c>
      <c r="AW124" t="s">
        <v>661</v>
      </c>
      <c r="AX124" t="s">
        <v>662</v>
      </c>
      <c r="AY124" t="s">
        <v>663</v>
      </c>
      <c r="BB124" t="s">
        <v>664</v>
      </c>
      <c r="BF124" t="s">
        <v>665</v>
      </c>
      <c r="BM124" t="s">
        <v>2012</v>
      </c>
      <c r="BN124" t="s">
        <v>554</v>
      </c>
      <c r="BT124" t="s">
        <v>2013</v>
      </c>
      <c r="CC124" t="s">
        <v>406</v>
      </c>
      <c r="CG124" t="s">
        <v>558</v>
      </c>
      <c r="CI124" t="s">
        <v>404</v>
      </c>
      <c r="CJ124" t="s">
        <v>408</v>
      </c>
      <c r="CO124" t="s">
        <v>671</v>
      </c>
      <c r="CU124" t="s">
        <v>2014</v>
      </c>
      <c r="CX124" t="s">
        <v>673</v>
      </c>
      <c r="CZ124" t="s">
        <v>569</v>
      </c>
      <c r="DS124" t="s">
        <v>2015</v>
      </c>
      <c r="DT124" t="s">
        <v>2016</v>
      </c>
      <c r="EF124" t="s">
        <v>492</v>
      </c>
      <c r="EG124" t="s">
        <v>429</v>
      </c>
      <c r="EH124" t="s">
        <v>404</v>
      </c>
      <c r="EK124" t="s">
        <v>522</v>
      </c>
      <c r="EL124" t="s">
        <v>430</v>
      </c>
      <c r="EW124" t="s">
        <v>444</v>
      </c>
      <c r="FA124" t="s">
        <v>404</v>
      </c>
      <c r="FB124" t="s">
        <v>2017</v>
      </c>
    </row>
    <row r="125" spans="1:158">
      <c r="A125">
        <v>165</v>
      </c>
      <c r="B125" t="s">
        <v>2018</v>
      </c>
      <c r="C125" t="s">
        <v>2019</v>
      </c>
      <c r="D125" t="s">
        <v>362</v>
      </c>
      <c r="E125">
        <v>0</v>
      </c>
      <c r="G125" t="s">
        <v>362</v>
      </c>
      <c r="H125" t="s">
        <v>362</v>
      </c>
      <c r="I125" t="s">
        <v>362</v>
      </c>
      <c r="J125">
        <v>165</v>
      </c>
      <c r="O125" t="s">
        <v>441</v>
      </c>
      <c r="R125" t="s">
        <v>480</v>
      </c>
      <c r="CC125" t="s">
        <v>406</v>
      </c>
      <c r="CI125" t="s">
        <v>404</v>
      </c>
      <c r="FA125" t="s">
        <v>404</v>
      </c>
    </row>
    <row r="126" spans="1:158">
      <c r="A126">
        <v>211</v>
      </c>
      <c r="B126" t="s">
        <v>2020</v>
      </c>
      <c r="C126" t="s">
        <v>2021</v>
      </c>
      <c r="D126" t="s">
        <v>362</v>
      </c>
      <c r="E126">
        <v>1</v>
      </c>
      <c r="F126" t="s">
        <v>2022</v>
      </c>
      <c r="G126" t="s">
        <v>2023</v>
      </c>
      <c r="H126" t="s">
        <v>2024</v>
      </c>
      <c r="I126" t="s">
        <v>2025</v>
      </c>
      <c r="J126">
        <v>211</v>
      </c>
      <c r="O126" t="s">
        <v>533</v>
      </c>
      <c r="R126" t="s">
        <v>480</v>
      </c>
      <c r="CC126" t="s">
        <v>406</v>
      </c>
      <c r="CI126" t="s">
        <v>404</v>
      </c>
      <c r="CX126" t="s">
        <v>417</v>
      </c>
      <c r="CY126" t="s">
        <v>26</v>
      </c>
      <c r="FA126" t="s">
        <v>404</v>
      </c>
    </row>
    <row r="127" spans="1:158">
      <c r="A127">
        <v>188</v>
      </c>
      <c r="B127" t="s">
        <v>2026</v>
      </c>
      <c r="C127" t="s">
        <v>2027</v>
      </c>
      <c r="D127" t="s">
        <v>362</v>
      </c>
      <c r="E127">
        <v>0</v>
      </c>
      <c r="F127" t="s">
        <v>837</v>
      </c>
      <c r="G127" t="s">
        <v>751</v>
      </c>
      <c r="H127" t="s">
        <v>743</v>
      </c>
      <c r="I127" t="s">
        <v>579</v>
      </c>
      <c r="J127">
        <v>188</v>
      </c>
      <c r="O127" t="s">
        <v>441</v>
      </c>
      <c r="R127" t="s">
        <v>480</v>
      </c>
      <c r="CC127" t="s">
        <v>406</v>
      </c>
      <c r="CI127" t="s">
        <v>404</v>
      </c>
      <c r="CX127" t="s">
        <v>26</v>
      </c>
      <c r="FA127" t="s">
        <v>404</v>
      </c>
    </row>
    <row r="128" spans="1:158">
      <c r="A128">
        <v>234</v>
      </c>
      <c r="B128" t="s">
        <v>2028</v>
      </c>
      <c r="C128" t="s">
        <v>2029</v>
      </c>
      <c r="D128" t="s">
        <v>2030</v>
      </c>
      <c r="E128">
        <v>1</v>
      </c>
      <c r="F128" t="s">
        <v>2031</v>
      </c>
      <c r="G128" t="s">
        <v>2032</v>
      </c>
      <c r="H128" t="s">
        <v>2033</v>
      </c>
      <c r="I128" t="s">
        <v>2034</v>
      </c>
      <c r="J128">
        <v>234</v>
      </c>
      <c r="R128" t="s">
        <v>370</v>
      </c>
      <c r="AA128" t="s">
        <v>2035</v>
      </c>
      <c r="AU128" t="s">
        <v>389</v>
      </c>
      <c r="CC128" t="s">
        <v>406</v>
      </c>
      <c r="CI128" t="s">
        <v>404</v>
      </c>
      <c r="CK128" t="s">
        <v>2030</v>
      </c>
      <c r="CX128" t="s">
        <v>1678</v>
      </c>
      <c r="CY128" t="s">
        <v>517</v>
      </c>
      <c r="FA128" t="s">
        <v>404</v>
      </c>
    </row>
    <row r="129" spans="1:158">
      <c r="A129">
        <v>125</v>
      </c>
      <c r="B129" t="s">
        <v>2036</v>
      </c>
      <c r="C129" t="s">
        <v>2037</v>
      </c>
      <c r="D129" t="s">
        <v>1941</v>
      </c>
      <c r="E129">
        <v>1</v>
      </c>
      <c r="F129" t="s">
        <v>2038</v>
      </c>
      <c r="G129" t="s">
        <v>1943</v>
      </c>
      <c r="H129" t="s">
        <v>650</v>
      </c>
      <c r="I129" t="s">
        <v>2039</v>
      </c>
      <c r="J129">
        <v>125</v>
      </c>
      <c r="O129" t="s">
        <v>533</v>
      </c>
      <c r="R129" t="s">
        <v>370</v>
      </c>
      <c r="X129" t="s">
        <v>2040</v>
      </c>
      <c r="AA129" t="s">
        <v>1944</v>
      </c>
      <c r="AF129" t="s">
        <v>653</v>
      </c>
      <c r="AG129" t="s">
        <v>654</v>
      </c>
      <c r="AH129" t="s">
        <v>655</v>
      </c>
      <c r="AI129" t="s">
        <v>2041</v>
      </c>
      <c r="AJ129" t="s">
        <v>657</v>
      </c>
      <c r="AK129" t="s">
        <v>658</v>
      </c>
      <c r="AL129" t="s">
        <v>655</v>
      </c>
      <c r="AN129" t="s">
        <v>2042</v>
      </c>
      <c r="AT129" t="s">
        <v>660</v>
      </c>
      <c r="AU129" t="s">
        <v>444</v>
      </c>
      <c r="AW129" t="s">
        <v>1303</v>
      </c>
      <c r="AX129" t="s">
        <v>1304</v>
      </c>
      <c r="AY129" t="s">
        <v>663</v>
      </c>
      <c r="BB129" t="s">
        <v>664</v>
      </c>
      <c r="BF129" t="s">
        <v>665</v>
      </c>
      <c r="BH129" t="s">
        <v>666</v>
      </c>
      <c r="BI129" t="s">
        <v>2043</v>
      </c>
      <c r="BM129" t="s">
        <v>2044</v>
      </c>
      <c r="BN129" t="s">
        <v>554</v>
      </c>
      <c r="BT129" t="s">
        <v>902</v>
      </c>
      <c r="CA129" t="s">
        <v>2045</v>
      </c>
      <c r="CC129" t="s">
        <v>406</v>
      </c>
      <c r="CG129" t="s">
        <v>558</v>
      </c>
      <c r="CI129" t="s">
        <v>404</v>
      </c>
      <c r="CJ129" t="s">
        <v>408</v>
      </c>
      <c r="CO129" t="s">
        <v>671</v>
      </c>
      <c r="CU129" t="s">
        <v>2046</v>
      </c>
      <c r="CX129" t="s">
        <v>673</v>
      </c>
      <c r="CZ129" t="s">
        <v>569</v>
      </c>
      <c r="DS129" t="s">
        <v>2047</v>
      </c>
      <c r="DT129" t="s">
        <v>1906</v>
      </c>
      <c r="EF129" t="s">
        <v>492</v>
      </c>
      <c r="EG129" t="s">
        <v>522</v>
      </c>
      <c r="EH129" t="s">
        <v>430</v>
      </c>
      <c r="EK129" t="s">
        <v>522</v>
      </c>
      <c r="EL129" t="s">
        <v>430</v>
      </c>
      <c r="EW129" t="s">
        <v>444</v>
      </c>
      <c r="FA129" t="s">
        <v>404</v>
      </c>
      <c r="FB129" t="s">
        <v>2048</v>
      </c>
    </row>
    <row r="130" spans="1:158">
      <c r="A130">
        <v>65</v>
      </c>
      <c r="B130" t="s">
        <v>2049</v>
      </c>
      <c r="C130" t="s">
        <v>2050</v>
      </c>
      <c r="D130" t="s">
        <v>362</v>
      </c>
      <c r="E130">
        <v>0</v>
      </c>
      <c r="F130" t="s">
        <v>2051</v>
      </c>
      <c r="G130" t="s">
        <v>2052</v>
      </c>
      <c r="H130" t="s">
        <v>2053</v>
      </c>
      <c r="I130" t="s">
        <v>2054</v>
      </c>
      <c r="J130">
        <v>65</v>
      </c>
      <c r="O130" t="s">
        <v>441</v>
      </c>
      <c r="R130" t="s">
        <v>370</v>
      </c>
      <c r="X130" t="s">
        <v>2055</v>
      </c>
      <c r="AA130" t="s">
        <v>2056</v>
      </c>
      <c r="AG130" t="s">
        <v>404</v>
      </c>
      <c r="AH130" t="s">
        <v>792</v>
      </c>
      <c r="AI130" t="s">
        <v>728</v>
      </c>
      <c r="AJ130" t="s">
        <v>2057</v>
      </c>
      <c r="AL130" t="s">
        <v>729</v>
      </c>
      <c r="AN130" t="s">
        <v>730</v>
      </c>
      <c r="AU130" t="s">
        <v>471</v>
      </c>
      <c r="AW130" t="s">
        <v>2058</v>
      </c>
      <c r="AX130" t="s">
        <v>2059</v>
      </c>
      <c r="AY130" t="s">
        <v>2060</v>
      </c>
      <c r="BF130" t="s">
        <v>2061</v>
      </c>
      <c r="BM130" t="s">
        <v>2062</v>
      </c>
      <c r="BN130" t="s">
        <v>1235</v>
      </c>
      <c r="BT130" t="s">
        <v>809</v>
      </c>
      <c r="CC130" t="s">
        <v>406</v>
      </c>
      <c r="CI130" t="s">
        <v>404</v>
      </c>
      <c r="CO130" t="s">
        <v>2063</v>
      </c>
      <c r="CU130" t="s">
        <v>2064</v>
      </c>
      <c r="CZ130" t="s">
        <v>569</v>
      </c>
      <c r="DS130" t="s">
        <v>2065</v>
      </c>
      <c r="DT130" t="s">
        <v>1470</v>
      </c>
      <c r="EW130" t="s">
        <v>471</v>
      </c>
      <c r="FA130" t="s">
        <v>404</v>
      </c>
      <c r="FB130" t="s">
        <v>2066</v>
      </c>
    </row>
    <row r="131" spans="1:158">
      <c r="A131">
        <v>19</v>
      </c>
      <c r="B131" t="s">
        <v>2067</v>
      </c>
      <c r="C131" t="s">
        <v>2068</v>
      </c>
      <c r="D131" t="s">
        <v>362</v>
      </c>
      <c r="E131">
        <v>0</v>
      </c>
      <c r="F131" t="s">
        <v>837</v>
      </c>
      <c r="G131" t="s">
        <v>751</v>
      </c>
      <c r="H131" t="s">
        <v>743</v>
      </c>
      <c r="I131" t="s">
        <v>579</v>
      </c>
      <c r="J131">
        <v>19</v>
      </c>
      <c r="O131" t="s">
        <v>441</v>
      </c>
      <c r="R131" t="s">
        <v>484</v>
      </c>
      <c r="AU131" t="s">
        <v>825</v>
      </c>
      <c r="CC131" t="s">
        <v>406</v>
      </c>
      <c r="FA131" t="s">
        <v>404</v>
      </c>
    </row>
    <row r="132" spans="1:158">
      <c r="A132">
        <v>171</v>
      </c>
      <c r="B132" t="s">
        <v>2069</v>
      </c>
      <c r="C132" t="s">
        <v>2070</v>
      </c>
      <c r="D132" t="s">
        <v>2071</v>
      </c>
      <c r="E132">
        <v>1</v>
      </c>
      <c r="F132" t="s">
        <v>1255</v>
      </c>
      <c r="G132" t="s">
        <v>1256</v>
      </c>
      <c r="H132" t="s">
        <v>1257</v>
      </c>
      <c r="I132" t="s">
        <v>1258</v>
      </c>
      <c r="J132">
        <v>171</v>
      </c>
      <c r="R132" t="s">
        <v>370</v>
      </c>
      <c r="AA132" t="s">
        <v>2072</v>
      </c>
      <c r="AU132" t="s">
        <v>389</v>
      </c>
      <c r="BM132" t="s">
        <v>1273</v>
      </c>
      <c r="BN132" t="s">
        <v>554</v>
      </c>
      <c r="CC132" t="s">
        <v>406</v>
      </c>
      <c r="CI132" t="s">
        <v>404</v>
      </c>
      <c r="CO132" t="s">
        <v>1277</v>
      </c>
      <c r="CU132" t="s">
        <v>2073</v>
      </c>
      <c r="CX132" t="s">
        <v>481</v>
      </c>
      <c r="CY132" t="s">
        <v>517</v>
      </c>
      <c r="CZ132" t="s">
        <v>569</v>
      </c>
      <c r="DA132" t="s">
        <v>1124</v>
      </c>
      <c r="DB132" t="s">
        <v>2074</v>
      </c>
      <c r="DS132" t="s">
        <v>2075</v>
      </c>
      <c r="EH132" t="s">
        <v>430</v>
      </c>
      <c r="EL132" t="s">
        <v>430</v>
      </c>
      <c r="EW132" t="s">
        <v>1850</v>
      </c>
      <c r="FA132" t="s">
        <v>404</v>
      </c>
      <c r="FB132" t="s">
        <v>2076</v>
      </c>
    </row>
    <row r="133" spans="1:158">
      <c r="A133">
        <v>228</v>
      </c>
      <c r="B133" t="s">
        <v>188</v>
      </c>
      <c r="C133" t="s">
        <v>2077</v>
      </c>
      <c r="D133" t="s">
        <v>2077</v>
      </c>
      <c r="E133">
        <v>1</v>
      </c>
      <c r="F133" t="s">
        <v>2078</v>
      </c>
      <c r="G133" t="s">
        <v>2079</v>
      </c>
      <c r="H133" t="s">
        <v>2080</v>
      </c>
      <c r="I133" t="s">
        <v>2081</v>
      </c>
      <c r="J133">
        <v>228</v>
      </c>
      <c r="K133" t="s">
        <v>531</v>
      </c>
      <c r="L133" t="s">
        <v>1124</v>
      </c>
      <c r="O133" t="s">
        <v>533</v>
      </c>
      <c r="R133" t="s">
        <v>370</v>
      </c>
      <c r="T133" t="s">
        <v>602</v>
      </c>
      <c r="V133" t="s">
        <v>383</v>
      </c>
      <c r="Z133" t="s">
        <v>926</v>
      </c>
      <c r="AA133" t="s">
        <v>190</v>
      </c>
      <c r="AB133" t="s">
        <v>1975</v>
      </c>
      <c r="AI133" t="s">
        <v>1818</v>
      </c>
      <c r="AM133" t="s">
        <v>2082</v>
      </c>
      <c r="AN133" t="s">
        <v>2083</v>
      </c>
      <c r="AQ133" t="s">
        <v>689</v>
      </c>
      <c r="AS133" t="s">
        <v>1465</v>
      </c>
      <c r="AU133" t="s">
        <v>1139</v>
      </c>
      <c r="AY133" t="s">
        <v>547</v>
      </c>
      <c r="AZ133" t="s">
        <v>395</v>
      </c>
      <c r="BC133" t="s">
        <v>549</v>
      </c>
      <c r="BD133" t="s">
        <v>383</v>
      </c>
      <c r="BF133" t="s">
        <v>1406</v>
      </c>
      <c r="BG133" t="s">
        <v>395</v>
      </c>
      <c r="BK133" t="s">
        <v>1406</v>
      </c>
      <c r="BR133" t="s">
        <v>1344</v>
      </c>
      <c r="BS133" t="s">
        <v>395</v>
      </c>
      <c r="CA133" t="s">
        <v>2084</v>
      </c>
      <c r="CC133" t="s">
        <v>406</v>
      </c>
      <c r="CD133" t="s">
        <v>395</v>
      </c>
      <c r="CF133" t="s">
        <v>2081</v>
      </c>
      <c r="CG133" t="s">
        <v>558</v>
      </c>
      <c r="CH133" t="s">
        <v>383</v>
      </c>
      <c r="CI133" t="s">
        <v>430</v>
      </c>
      <c r="CJ133" t="s">
        <v>559</v>
      </c>
      <c r="CK133" t="s">
        <v>2085</v>
      </c>
      <c r="CO133" t="s">
        <v>2086</v>
      </c>
      <c r="CP133" t="s">
        <v>2087</v>
      </c>
      <c r="CQ133" t="s">
        <v>2088</v>
      </c>
      <c r="CR133" t="s">
        <v>2089</v>
      </c>
      <c r="CT133" t="s">
        <v>2090</v>
      </c>
      <c r="CU133" t="s">
        <v>2091</v>
      </c>
      <c r="CV133" t="s">
        <v>2092</v>
      </c>
      <c r="CW133" t="s">
        <v>2092</v>
      </c>
      <c r="CX133" t="s">
        <v>840</v>
      </c>
      <c r="CY133" t="s">
        <v>568</v>
      </c>
      <c r="DA133" t="s">
        <v>2093</v>
      </c>
      <c r="DB133" t="s">
        <v>2094</v>
      </c>
      <c r="DC133" t="s">
        <v>905</v>
      </c>
      <c r="DL133" t="s">
        <v>1164</v>
      </c>
      <c r="DN133" t="s">
        <v>395</v>
      </c>
      <c r="DO133" t="s">
        <v>2079</v>
      </c>
      <c r="DP133" t="s">
        <v>395</v>
      </c>
      <c r="DQ133" t="s">
        <v>395</v>
      </c>
      <c r="DR133" t="s">
        <v>395</v>
      </c>
      <c r="DS133" t="s">
        <v>2095</v>
      </c>
      <c r="DT133" t="s">
        <v>1344</v>
      </c>
      <c r="DU133" t="s">
        <v>1344</v>
      </c>
      <c r="DV133" t="s">
        <v>1843</v>
      </c>
      <c r="EB133" t="s">
        <v>395</v>
      </c>
      <c r="EC133" t="s">
        <v>401</v>
      </c>
      <c r="ED133" t="s">
        <v>1843</v>
      </c>
      <c r="EE133" t="s">
        <v>573</v>
      </c>
      <c r="EF133" t="s">
        <v>492</v>
      </c>
      <c r="EG133" t="s">
        <v>492</v>
      </c>
      <c r="EH133" t="s">
        <v>430</v>
      </c>
      <c r="EI133" t="s">
        <v>431</v>
      </c>
      <c r="EJ133" t="s">
        <v>429</v>
      </c>
      <c r="EK133" t="s">
        <v>492</v>
      </c>
      <c r="EL133" t="s">
        <v>430</v>
      </c>
      <c r="EM133" t="s">
        <v>431</v>
      </c>
      <c r="EW133" t="s">
        <v>471</v>
      </c>
      <c r="FA133" t="s">
        <v>404</v>
      </c>
      <c r="FB133" t="s">
        <v>26</v>
      </c>
    </row>
    <row r="134" spans="1:158">
      <c r="A134">
        <v>105</v>
      </c>
      <c r="B134" t="s">
        <v>2096</v>
      </c>
      <c r="C134" t="s">
        <v>2097</v>
      </c>
      <c r="D134" t="s">
        <v>362</v>
      </c>
      <c r="E134">
        <v>0</v>
      </c>
      <c r="F134" t="s">
        <v>714</v>
      </c>
      <c r="G134" t="s">
        <v>715</v>
      </c>
      <c r="H134" t="s">
        <v>716</v>
      </c>
      <c r="I134" t="s">
        <v>717</v>
      </c>
      <c r="J134">
        <v>105</v>
      </c>
      <c r="O134" t="s">
        <v>441</v>
      </c>
      <c r="R134" t="s">
        <v>484</v>
      </c>
      <c r="AU134" t="s">
        <v>471</v>
      </c>
      <c r="BF134" t="s">
        <v>2098</v>
      </c>
      <c r="CC134" t="s">
        <v>406</v>
      </c>
      <c r="CO134" t="s">
        <v>1325</v>
      </c>
      <c r="DT134" t="s">
        <v>489</v>
      </c>
      <c r="EF134" t="s">
        <v>492</v>
      </c>
      <c r="EG134" t="s">
        <v>492</v>
      </c>
      <c r="EK134" t="s">
        <v>492</v>
      </c>
      <c r="FA134" t="s">
        <v>404</v>
      </c>
    </row>
    <row r="135" spans="1:158">
      <c r="A135">
        <v>85</v>
      </c>
      <c r="B135" t="s">
        <v>2099</v>
      </c>
      <c r="C135" t="s">
        <v>2100</v>
      </c>
      <c r="D135" t="s">
        <v>362</v>
      </c>
      <c r="E135">
        <v>0</v>
      </c>
      <c r="G135" t="s">
        <v>362</v>
      </c>
      <c r="H135" t="s">
        <v>362</v>
      </c>
      <c r="I135" t="s">
        <v>362</v>
      </c>
      <c r="J135">
        <v>85</v>
      </c>
      <c r="O135" t="s">
        <v>441</v>
      </c>
      <c r="R135" t="s">
        <v>370</v>
      </c>
      <c r="AU135" t="s">
        <v>471</v>
      </c>
      <c r="BF135" t="s">
        <v>395</v>
      </c>
      <c r="CC135" t="s">
        <v>406</v>
      </c>
      <c r="CO135" t="s">
        <v>1325</v>
      </c>
      <c r="DT135" t="s">
        <v>571</v>
      </c>
      <c r="FA135" t="s">
        <v>404</v>
      </c>
    </row>
    <row r="136" spans="1:158">
      <c r="A136">
        <v>62</v>
      </c>
      <c r="B136" t="s">
        <v>2101</v>
      </c>
      <c r="C136" t="s">
        <v>2102</v>
      </c>
      <c r="D136" t="s">
        <v>362</v>
      </c>
      <c r="E136">
        <v>0</v>
      </c>
      <c r="G136" t="s">
        <v>362</v>
      </c>
      <c r="H136" t="s">
        <v>362</v>
      </c>
      <c r="I136" t="s">
        <v>362</v>
      </c>
      <c r="J136">
        <v>62</v>
      </c>
      <c r="O136" t="s">
        <v>441</v>
      </c>
      <c r="R136" t="s">
        <v>1316</v>
      </c>
      <c r="CC136" t="s">
        <v>406</v>
      </c>
      <c r="FA136" t="s">
        <v>404</v>
      </c>
    </row>
    <row r="137" spans="1:158">
      <c r="A137">
        <v>42</v>
      </c>
      <c r="B137" t="s">
        <v>2103</v>
      </c>
      <c r="C137" t="s">
        <v>2104</v>
      </c>
      <c r="D137" t="s">
        <v>362</v>
      </c>
      <c r="E137">
        <v>1</v>
      </c>
      <c r="F137" t="s">
        <v>1252</v>
      </c>
      <c r="G137" t="s">
        <v>742</v>
      </c>
      <c r="H137" t="s">
        <v>743</v>
      </c>
      <c r="I137" t="s">
        <v>579</v>
      </c>
      <c r="J137">
        <v>42</v>
      </c>
      <c r="O137" t="s">
        <v>441</v>
      </c>
      <c r="R137" t="s">
        <v>484</v>
      </c>
      <c r="AA137" t="s">
        <v>2105</v>
      </c>
      <c r="CC137" t="s">
        <v>406</v>
      </c>
      <c r="CI137" t="s">
        <v>404</v>
      </c>
      <c r="FA137" t="s">
        <v>404</v>
      </c>
    </row>
    <row r="138" spans="1:158">
      <c r="A138">
        <v>148</v>
      </c>
      <c r="B138" t="s">
        <v>155</v>
      </c>
      <c r="C138" t="s">
        <v>2106</v>
      </c>
      <c r="D138" t="s">
        <v>2106</v>
      </c>
      <c r="E138">
        <v>1</v>
      </c>
      <c r="F138" t="s">
        <v>2107</v>
      </c>
      <c r="G138" t="s">
        <v>2108</v>
      </c>
      <c r="H138" t="s">
        <v>1877</v>
      </c>
      <c r="I138" t="s">
        <v>1878</v>
      </c>
      <c r="J138">
        <v>148</v>
      </c>
      <c r="K138" t="s">
        <v>531</v>
      </c>
      <c r="O138" t="s">
        <v>533</v>
      </c>
      <c r="R138" t="s">
        <v>370</v>
      </c>
      <c r="T138" t="s">
        <v>383</v>
      </c>
      <c r="V138" t="s">
        <v>2109</v>
      </c>
      <c r="Z138" t="s">
        <v>378</v>
      </c>
      <c r="AA138" t="s">
        <v>156</v>
      </c>
      <c r="AB138" t="s">
        <v>1264</v>
      </c>
      <c r="AG138" t="s">
        <v>654</v>
      </c>
      <c r="AI138" t="s">
        <v>2110</v>
      </c>
      <c r="AJ138" t="s">
        <v>1598</v>
      </c>
      <c r="AM138" t="s">
        <v>1599</v>
      </c>
      <c r="AN138" t="s">
        <v>2111</v>
      </c>
      <c r="AQ138" t="s">
        <v>689</v>
      </c>
      <c r="AR138" t="s">
        <v>542</v>
      </c>
      <c r="AS138" t="s">
        <v>388</v>
      </c>
      <c r="AU138" t="s">
        <v>444</v>
      </c>
      <c r="AY138" t="s">
        <v>547</v>
      </c>
      <c r="AZ138" t="s">
        <v>395</v>
      </c>
      <c r="BB138" t="s">
        <v>542</v>
      </c>
      <c r="BC138" t="s">
        <v>549</v>
      </c>
      <c r="BD138" t="s">
        <v>2112</v>
      </c>
      <c r="BF138" t="s">
        <v>1632</v>
      </c>
      <c r="BG138" t="s">
        <v>395</v>
      </c>
      <c r="BK138" t="s">
        <v>1632</v>
      </c>
      <c r="BN138" t="s">
        <v>554</v>
      </c>
      <c r="BR138" t="s">
        <v>441</v>
      </c>
      <c r="BS138" t="s">
        <v>395</v>
      </c>
      <c r="BT138" t="s">
        <v>1081</v>
      </c>
      <c r="CA138" t="s">
        <v>2113</v>
      </c>
      <c r="CC138" t="s">
        <v>406</v>
      </c>
      <c r="CD138" t="s">
        <v>395</v>
      </c>
      <c r="CF138" t="s">
        <v>1878</v>
      </c>
      <c r="CG138" t="s">
        <v>558</v>
      </c>
      <c r="CH138" t="s">
        <v>383</v>
      </c>
      <c r="CI138" t="s">
        <v>430</v>
      </c>
      <c r="CJ138" t="s">
        <v>559</v>
      </c>
      <c r="CK138" t="s">
        <v>2106</v>
      </c>
      <c r="CO138" t="s">
        <v>1607</v>
      </c>
      <c r="CP138" t="s">
        <v>2114</v>
      </c>
      <c r="CQ138" t="s">
        <v>2115</v>
      </c>
      <c r="CR138" t="s">
        <v>2116</v>
      </c>
      <c r="CT138" t="s">
        <v>2117</v>
      </c>
      <c r="CU138" t="s">
        <v>2118</v>
      </c>
      <c r="CV138" t="s">
        <v>416</v>
      </c>
      <c r="CW138" t="s">
        <v>388</v>
      </c>
      <c r="CX138" t="s">
        <v>481</v>
      </c>
      <c r="CY138" t="s">
        <v>517</v>
      </c>
      <c r="CZ138" t="s">
        <v>569</v>
      </c>
      <c r="DA138" t="s">
        <v>418</v>
      </c>
      <c r="DB138" t="s">
        <v>570</v>
      </c>
      <c r="DC138" t="s">
        <v>419</v>
      </c>
      <c r="DD138" t="s">
        <v>571</v>
      </c>
      <c r="DL138" t="s">
        <v>426</v>
      </c>
      <c r="DN138" t="s">
        <v>395</v>
      </c>
      <c r="DO138" t="s">
        <v>2108</v>
      </c>
      <c r="DP138" t="s">
        <v>395</v>
      </c>
      <c r="DQ138" t="s">
        <v>395</v>
      </c>
      <c r="DR138" t="s">
        <v>395</v>
      </c>
      <c r="DS138" t="s">
        <v>2119</v>
      </c>
      <c r="DT138" t="s">
        <v>1238</v>
      </c>
      <c r="DU138" t="s">
        <v>1238</v>
      </c>
      <c r="DV138" t="s">
        <v>1238</v>
      </c>
      <c r="EB138" t="s">
        <v>395</v>
      </c>
      <c r="EC138" t="s">
        <v>395</v>
      </c>
      <c r="ED138" t="s">
        <v>798</v>
      </c>
      <c r="EE138" t="s">
        <v>573</v>
      </c>
      <c r="EF138" t="s">
        <v>492</v>
      </c>
      <c r="EG138" t="s">
        <v>429</v>
      </c>
      <c r="EH138" t="s">
        <v>430</v>
      </c>
      <c r="EI138" t="s">
        <v>520</v>
      </c>
      <c r="EJ138" t="s">
        <v>429</v>
      </c>
      <c r="EK138" t="s">
        <v>1287</v>
      </c>
      <c r="EL138" t="s">
        <v>430</v>
      </c>
      <c r="EM138" t="s">
        <v>431</v>
      </c>
      <c r="EW138" t="s">
        <v>444</v>
      </c>
      <c r="FA138" t="s">
        <v>404</v>
      </c>
      <c r="FB138" t="s">
        <v>26</v>
      </c>
    </row>
    <row r="139" spans="1:158">
      <c r="A139">
        <v>168</v>
      </c>
      <c r="B139" t="s">
        <v>85</v>
      </c>
      <c r="C139" t="s">
        <v>2120</v>
      </c>
      <c r="D139" t="s">
        <v>2121</v>
      </c>
      <c r="E139">
        <v>1</v>
      </c>
      <c r="F139" t="s">
        <v>2122</v>
      </c>
      <c r="G139" t="s">
        <v>2123</v>
      </c>
      <c r="H139" t="s">
        <v>2124</v>
      </c>
      <c r="I139" t="s">
        <v>2125</v>
      </c>
      <c r="J139">
        <v>168</v>
      </c>
      <c r="K139" t="s">
        <v>531</v>
      </c>
      <c r="M139" t="s">
        <v>2126</v>
      </c>
      <c r="N139" t="s">
        <v>369</v>
      </c>
      <c r="O139" t="s">
        <v>533</v>
      </c>
      <c r="P139" t="s">
        <v>855</v>
      </c>
      <c r="R139" t="s">
        <v>370</v>
      </c>
      <c r="T139" t="s">
        <v>383</v>
      </c>
      <c r="U139" t="s">
        <v>177</v>
      </c>
      <c r="V139" t="s">
        <v>2127</v>
      </c>
      <c r="W139" t="s">
        <v>2128</v>
      </c>
      <c r="X139" t="s">
        <v>2129</v>
      </c>
      <c r="Z139" t="s">
        <v>378</v>
      </c>
      <c r="AA139" t="s">
        <v>2130</v>
      </c>
      <c r="AB139" t="s">
        <v>859</v>
      </c>
      <c r="AE139" t="s">
        <v>508</v>
      </c>
      <c r="AG139" t="s">
        <v>430</v>
      </c>
      <c r="AI139" t="s">
        <v>383</v>
      </c>
      <c r="AM139" t="s">
        <v>2131</v>
      </c>
      <c r="AN139" t="s">
        <v>2132</v>
      </c>
      <c r="AP139" t="s">
        <v>2133</v>
      </c>
      <c r="AQ139" t="s">
        <v>689</v>
      </c>
      <c r="AR139" t="s">
        <v>542</v>
      </c>
      <c r="AS139" t="s">
        <v>2134</v>
      </c>
      <c r="AU139" t="s">
        <v>389</v>
      </c>
      <c r="AV139" t="s">
        <v>2135</v>
      </c>
      <c r="AW139" t="s">
        <v>2136</v>
      </c>
      <c r="AX139" t="s">
        <v>2137</v>
      </c>
      <c r="AY139" t="s">
        <v>547</v>
      </c>
      <c r="AZ139" t="s">
        <v>2138</v>
      </c>
      <c r="BA139" t="s">
        <v>533</v>
      </c>
      <c r="BB139" t="s">
        <v>542</v>
      </c>
      <c r="BC139" t="s">
        <v>549</v>
      </c>
      <c r="BD139" t="s">
        <v>383</v>
      </c>
      <c r="BE139" t="s">
        <v>2139</v>
      </c>
      <c r="BF139" t="s">
        <v>2140</v>
      </c>
      <c r="BG139" t="s">
        <v>395</v>
      </c>
      <c r="BK139" t="s">
        <v>2140</v>
      </c>
      <c r="BL139" t="s">
        <v>869</v>
      </c>
      <c r="BM139" t="s">
        <v>2141</v>
      </c>
      <c r="BN139" t="s">
        <v>554</v>
      </c>
      <c r="BR139" t="s">
        <v>2142</v>
      </c>
      <c r="BS139" t="s">
        <v>395</v>
      </c>
      <c r="BT139" t="s">
        <v>2143</v>
      </c>
      <c r="BZ139" t="s">
        <v>404</v>
      </c>
      <c r="CA139" t="s">
        <v>2144</v>
      </c>
      <c r="CC139" t="s">
        <v>406</v>
      </c>
      <c r="CD139" t="s">
        <v>2145</v>
      </c>
      <c r="CF139" t="s">
        <v>2125</v>
      </c>
      <c r="CG139" t="s">
        <v>558</v>
      </c>
      <c r="CH139" t="s">
        <v>383</v>
      </c>
      <c r="CI139" t="s">
        <v>430</v>
      </c>
      <c r="CJ139" t="s">
        <v>559</v>
      </c>
      <c r="CK139" t="s">
        <v>2120</v>
      </c>
      <c r="CO139" t="s">
        <v>2146</v>
      </c>
      <c r="CP139" t="s">
        <v>2147</v>
      </c>
      <c r="CQ139" t="s">
        <v>2148</v>
      </c>
      <c r="CR139" t="s">
        <v>2149</v>
      </c>
      <c r="CS139" t="s">
        <v>2150</v>
      </c>
      <c r="CT139" t="s">
        <v>2151</v>
      </c>
      <c r="CU139" t="s">
        <v>2152</v>
      </c>
      <c r="CV139" t="s">
        <v>2153</v>
      </c>
      <c r="CW139" t="s">
        <v>388</v>
      </c>
      <c r="CX139" t="s">
        <v>481</v>
      </c>
      <c r="CY139" t="s">
        <v>517</v>
      </c>
      <c r="CZ139" t="s">
        <v>569</v>
      </c>
      <c r="DA139" t="s">
        <v>418</v>
      </c>
      <c r="DB139" t="s">
        <v>570</v>
      </c>
      <c r="DC139" t="s">
        <v>419</v>
      </c>
      <c r="DD139" t="s">
        <v>571</v>
      </c>
      <c r="DF139" t="s">
        <v>628</v>
      </c>
      <c r="DH139" t="s">
        <v>1354</v>
      </c>
      <c r="DI139" t="s">
        <v>1355</v>
      </c>
      <c r="DJ139" t="s">
        <v>1356</v>
      </c>
      <c r="DK139" t="s">
        <v>1357</v>
      </c>
      <c r="DL139" t="s">
        <v>426</v>
      </c>
      <c r="DN139" t="s">
        <v>395</v>
      </c>
      <c r="DO139" t="s">
        <v>2154</v>
      </c>
      <c r="DP139" t="s">
        <v>395</v>
      </c>
      <c r="DQ139" t="s">
        <v>395</v>
      </c>
      <c r="DR139" t="s">
        <v>395</v>
      </c>
      <c r="DS139" t="s">
        <v>2155</v>
      </c>
      <c r="DT139" t="s">
        <v>675</v>
      </c>
      <c r="DU139" t="s">
        <v>675</v>
      </c>
      <c r="DV139" t="s">
        <v>675</v>
      </c>
      <c r="EB139" t="s">
        <v>395</v>
      </c>
      <c r="EC139" t="s">
        <v>395</v>
      </c>
      <c r="ED139" t="s">
        <v>675</v>
      </c>
      <c r="EE139" t="s">
        <v>573</v>
      </c>
      <c r="EF139" t="s">
        <v>492</v>
      </c>
      <c r="EG139" t="s">
        <v>780</v>
      </c>
      <c r="EH139" t="s">
        <v>430</v>
      </c>
      <c r="EI139" t="s">
        <v>431</v>
      </c>
      <c r="EJ139" t="s">
        <v>429</v>
      </c>
      <c r="EK139" t="s">
        <v>780</v>
      </c>
      <c r="EL139" t="s">
        <v>430</v>
      </c>
      <c r="EM139" t="s">
        <v>431</v>
      </c>
      <c r="EQ139" t="s">
        <v>718</v>
      </c>
      <c r="EW139" t="s">
        <v>432</v>
      </c>
      <c r="FA139" t="s">
        <v>404</v>
      </c>
      <c r="FB139" t="s">
        <v>2156</v>
      </c>
    </row>
    <row r="140" spans="1:158">
      <c r="A140">
        <v>191</v>
      </c>
      <c r="B140" t="s">
        <v>2157</v>
      </c>
      <c r="C140" t="s">
        <v>2158</v>
      </c>
      <c r="D140" t="s">
        <v>362</v>
      </c>
      <c r="E140">
        <v>1</v>
      </c>
      <c r="G140" t="s">
        <v>362</v>
      </c>
      <c r="H140" t="s">
        <v>362</v>
      </c>
      <c r="I140" t="s">
        <v>362</v>
      </c>
      <c r="J140">
        <v>191</v>
      </c>
      <c r="O140" t="s">
        <v>441</v>
      </c>
      <c r="R140" t="s">
        <v>480</v>
      </c>
      <c r="CC140" t="s">
        <v>406</v>
      </c>
      <c r="CI140" t="s">
        <v>404</v>
      </c>
      <c r="CX140" t="s">
        <v>26</v>
      </c>
      <c r="FA140" t="s">
        <v>404</v>
      </c>
    </row>
    <row r="141" spans="1:158">
      <c r="A141">
        <v>185</v>
      </c>
      <c r="B141" t="s">
        <v>95</v>
      </c>
      <c r="C141" t="s">
        <v>96</v>
      </c>
      <c r="D141" t="s">
        <v>96</v>
      </c>
      <c r="E141">
        <v>1</v>
      </c>
      <c r="F141" t="s">
        <v>2031</v>
      </c>
      <c r="G141" t="s">
        <v>2032</v>
      </c>
      <c r="H141" t="s">
        <v>2033</v>
      </c>
      <c r="I141" t="s">
        <v>2034</v>
      </c>
      <c r="J141">
        <v>185</v>
      </c>
      <c r="K141" t="s">
        <v>531</v>
      </c>
      <c r="M141" t="s">
        <v>2159</v>
      </c>
      <c r="N141" t="s">
        <v>369</v>
      </c>
      <c r="O141" t="s">
        <v>533</v>
      </c>
      <c r="R141" t="s">
        <v>370</v>
      </c>
      <c r="T141" t="s">
        <v>383</v>
      </c>
      <c r="U141" t="s">
        <v>177</v>
      </c>
      <c r="V141" t="s">
        <v>2160</v>
      </c>
      <c r="W141" t="s">
        <v>2161</v>
      </c>
      <c r="X141" t="s">
        <v>2162</v>
      </c>
      <c r="Z141" t="s">
        <v>378</v>
      </c>
      <c r="AA141" t="s">
        <v>96</v>
      </c>
      <c r="AB141" t="s">
        <v>2033</v>
      </c>
      <c r="AD141" t="s">
        <v>2163</v>
      </c>
      <c r="AE141" t="s">
        <v>1335</v>
      </c>
      <c r="AI141" t="s">
        <v>383</v>
      </c>
      <c r="AM141" t="s">
        <v>602</v>
      </c>
      <c r="AN141" t="s">
        <v>2164</v>
      </c>
      <c r="AP141" t="s">
        <v>2165</v>
      </c>
      <c r="AQ141" t="s">
        <v>387</v>
      </c>
      <c r="AR141" t="s">
        <v>542</v>
      </c>
      <c r="AS141" t="s">
        <v>2166</v>
      </c>
      <c r="AU141" t="s">
        <v>389</v>
      </c>
      <c r="AV141" t="s">
        <v>2167</v>
      </c>
      <c r="AW141" t="s">
        <v>2168</v>
      </c>
      <c r="AX141" t="s">
        <v>2169</v>
      </c>
      <c r="AY141" t="s">
        <v>547</v>
      </c>
      <c r="AZ141" t="s">
        <v>2170</v>
      </c>
      <c r="BA141" t="s">
        <v>533</v>
      </c>
      <c r="BB141" t="s">
        <v>542</v>
      </c>
      <c r="BC141" t="s">
        <v>549</v>
      </c>
      <c r="BD141" t="s">
        <v>383</v>
      </c>
      <c r="BE141" t="s">
        <v>2171</v>
      </c>
      <c r="BF141" t="s">
        <v>2172</v>
      </c>
      <c r="BG141" t="s">
        <v>2173</v>
      </c>
      <c r="BK141" t="s">
        <v>2174</v>
      </c>
      <c r="BL141" t="s">
        <v>397</v>
      </c>
      <c r="BM141" t="s">
        <v>2175</v>
      </c>
      <c r="BR141" t="s">
        <v>1967</v>
      </c>
      <c r="BS141" t="s">
        <v>2176</v>
      </c>
      <c r="BV141" t="s">
        <v>2176</v>
      </c>
      <c r="BZ141" t="s">
        <v>404</v>
      </c>
      <c r="CA141" t="s">
        <v>2177</v>
      </c>
      <c r="CC141" t="s">
        <v>406</v>
      </c>
      <c r="CD141" t="s">
        <v>395</v>
      </c>
      <c r="CF141" t="s">
        <v>2034</v>
      </c>
      <c r="CG141" t="s">
        <v>558</v>
      </c>
      <c r="CH141" t="s">
        <v>2178</v>
      </c>
      <c r="CI141" t="s">
        <v>430</v>
      </c>
      <c r="CJ141" t="s">
        <v>559</v>
      </c>
      <c r="CK141" t="s">
        <v>2179</v>
      </c>
      <c r="CO141" t="s">
        <v>2180</v>
      </c>
      <c r="CP141" t="s">
        <v>2181</v>
      </c>
      <c r="CQ141" t="s">
        <v>2182</v>
      </c>
      <c r="CR141" t="s">
        <v>2183</v>
      </c>
      <c r="CT141" t="s">
        <v>2184</v>
      </c>
      <c r="CU141" t="s">
        <v>2185</v>
      </c>
      <c r="CV141" t="s">
        <v>2186</v>
      </c>
      <c r="CW141" t="s">
        <v>2187</v>
      </c>
      <c r="CX141" t="s">
        <v>481</v>
      </c>
      <c r="CY141" t="s">
        <v>517</v>
      </c>
      <c r="DA141" t="s">
        <v>418</v>
      </c>
      <c r="DB141" t="s">
        <v>570</v>
      </c>
      <c r="DC141" t="s">
        <v>419</v>
      </c>
      <c r="DD141" t="s">
        <v>571</v>
      </c>
      <c r="DE141" t="s">
        <v>2188</v>
      </c>
      <c r="DF141" t="s">
        <v>421</v>
      </c>
      <c r="DH141" t="s">
        <v>2189</v>
      </c>
      <c r="DI141" t="s">
        <v>2190</v>
      </c>
      <c r="DJ141" t="s">
        <v>2191</v>
      </c>
      <c r="DK141" t="s">
        <v>2192</v>
      </c>
      <c r="DL141" t="s">
        <v>426</v>
      </c>
      <c r="DN141" t="s">
        <v>395</v>
      </c>
      <c r="DO141" t="s">
        <v>2193</v>
      </c>
      <c r="DP141" t="s">
        <v>395</v>
      </c>
      <c r="DQ141" t="s">
        <v>395</v>
      </c>
      <c r="DR141" t="s">
        <v>395</v>
      </c>
      <c r="DS141" t="s">
        <v>2194</v>
      </c>
      <c r="DT141" t="s">
        <v>2195</v>
      </c>
      <c r="DU141" t="s">
        <v>1492</v>
      </c>
      <c r="DV141" t="s">
        <v>1147</v>
      </c>
      <c r="DY141" t="s">
        <v>690</v>
      </c>
      <c r="EA141" t="s">
        <v>690</v>
      </c>
      <c r="EB141" t="s">
        <v>2196</v>
      </c>
      <c r="EC141" t="s">
        <v>395</v>
      </c>
      <c r="ED141" t="s">
        <v>2195</v>
      </c>
      <c r="EE141" t="s">
        <v>573</v>
      </c>
      <c r="EF141" t="s">
        <v>492</v>
      </c>
      <c r="EG141" t="s">
        <v>429</v>
      </c>
      <c r="EH141" t="s">
        <v>430</v>
      </c>
      <c r="EI141" t="s">
        <v>639</v>
      </c>
      <c r="EJ141" t="s">
        <v>429</v>
      </c>
      <c r="EK141" t="s">
        <v>429</v>
      </c>
      <c r="EL141" t="s">
        <v>430</v>
      </c>
      <c r="EM141" t="s">
        <v>431</v>
      </c>
      <c r="EQ141" t="s">
        <v>873</v>
      </c>
      <c r="ET141" t="s">
        <v>664</v>
      </c>
      <c r="EW141" t="s">
        <v>432</v>
      </c>
      <c r="FA141" t="s">
        <v>404</v>
      </c>
      <c r="FB141" t="s">
        <v>26</v>
      </c>
    </row>
    <row r="142" spans="1:158">
      <c r="A142">
        <v>231</v>
      </c>
      <c r="B142" t="s">
        <v>2197</v>
      </c>
      <c r="C142" t="s">
        <v>2198</v>
      </c>
      <c r="D142" t="s">
        <v>362</v>
      </c>
      <c r="E142">
        <v>1</v>
      </c>
      <c r="G142" t="s">
        <v>362</v>
      </c>
      <c r="H142" t="s">
        <v>362</v>
      </c>
      <c r="I142" t="s">
        <v>362</v>
      </c>
      <c r="J142">
        <v>231</v>
      </c>
      <c r="O142" t="s">
        <v>441</v>
      </c>
      <c r="R142" t="s">
        <v>484</v>
      </c>
      <c r="CC142" t="s">
        <v>406</v>
      </c>
      <c r="CI142" t="s">
        <v>404</v>
      </c>
      <c r="CX142" t="s">
        <v>26</v>
      </c>
      <c r="CY142" t="s">
        <v>26</v>
      </c>
      <c r="FA142" t="s">
        <v>404</v>
      </c>
    </row>
    <row r="143" spans="1:158">
      <c r="A143">
        <v>128</v>
      </c>
      <c r="B143" t="s">
        <v>2199</v>
      </c>
      <c r="C143" t="s">
        <v>2200</v>
      </c>
      <c r="D143" t="s">
        <v>362</v>
      </c>
      <c r="E143">
        <v>0</v>
      </c>
      <c r="F143" t="s">
        <v>2201</v>
      </c>
      <c r="G143" t="s">
        <v>2202</v>
      </c>
      <c r="H143" t="s">
        <v>2033</v>
      </c>
      <c r="I143" t="s">
        <v>2034</v>
      </c>
      <c r="J143">
        <v>128</v>
      </c>
      <c r="O143" t="s">
        <v>2203</v>
      </c>
      <c r="R143" t="s">
        <v>370</v>
      </c>
      <c r="AA143" t="s">
        <v>2204</v>
      </c>
      <c r="AF143" t="s">
        <v>653</v>
      </c>
      <c r="AG143" t="s">
        <v>654</v>
      </c>
      <c r="AJ143" t="s">
        <v>177</v>
      </c>
      <c r="AU143" t="s">
        <v>471</v>
      </c>
      <c r="BF143" t="s">
        <v>2205</v>
      </c>
      <c r="BT143" t="s">
        <v>502</v>
      </c>
      <c r="CC143" t="s">
        <v>406</v>
      </c>
      <c r="CJ143" t="s">
        <v>983</v>
      </c>
      <c r="CO143" t="s">
        <v>2206</v>
      </c>
      <c r="CU143" t="s">
        <v>2207</v>
      </c>
      <c r="CX143" t="s">
        <v>417</v>
      </c>
      <c r="CZ143" t="s">
        <v>653</v>
      </c>
      <c r="DT143" t="s">
        <v>502</v>
      </c>
      <c r="EH143" t="s">
        <v>430</v>
      </c>
      <c r="EL143" t="s">
        <v>430</v>
      </c>
      <c r="EW143" t="s">
        <v>471</v>
      </c>
      <c r="FA143" t="s">
        <v>404</v>
      </c>
      <c r="FB143" t="s">
        <v>2208</v>
      </c>
    </row>
    <row r="144" spans="1:158">
      <c r="A144">
        <v>22</v>
      </c>
      <c r="B144" t="s">
        <v>2209</v>
      </c>
      <c r="C144" t="s">
        <v>2210</v>
      </c>
      <c r="D144" t="s">
        <v>362</v>
      </c>
      <c r="E144">
        <v>1</v>
      </c>
      <c r="F144" t="s">
        <v>751</v>
      </c>
      <c r="G144" t="s">
        <v>752</v>
      </c>
      <c r="H144" t="s">
        <v>362</v>
      </c>
      <c r="I144" t="s">
        <v>753</v>
      </c>
      <c r="J144">
        <v>22</v>
      </c>
      <c r="O144" t="s">
        <v>441</v>
      </c>
      <c r="R144" t="s">
        <v>503</v>
      </c>
      <c r="AA144" t="s">
        <v>825</v>
      </c>
      <c r="CC144" t="s">
        <v>406</v>
      </c>
      <c r="CI144" t="s">
        <v>404</v>
      </c>
      <c r="FA144" t="s">
        <v>404</v>
      </c>
    </row>
    <row r="145" spans="1:158">
      <c r="A145">
        <v>108</v>
      </c>
      <c r="B145" t="s">
        <v>2211</v>
      </c>
      <c r="C145" t="s">
        <v>2212</v>
      </c>
      <c r="D145" t="s">
        <v>362</v>
      </c>
      <c r="E145">
        <v>0</v>
      </c>
      <c r="G145" t="s">
        <v>362</v>
      </c>
      <c r="H145" t="s">
        <v>362</v>
      </c>
      <c r="I145" t="s">
        <v>362</v>
      </c>
      <c r="J145">
        <v>108</v>
      </c>
      <c r="O145" t="s">
        <v>441</v>
      </c>
      <c r="R145" t="s">
        <v>484</v>
      </c>
      <c r="AU145" t="s">
        <v>471</v>
      </c>
      <c r="BF145" t="s">
        <v>489</v>
      </c>
      <c r="CC145" t="s">
        <v>406</v>
      </c>
      <c r="CI145" t="s">
        <v>404</v>
      </c>
      <c r="CO145" t="s">
        <v>490</v>
      </c>
      <c r="DT145" t="s">
        <v>491</v>
      </c>
      <c r="EF145" t="s">
        <v>492</v>
      </c>
      <c r="EG145" t="s">
        <v>492</v>
      </c>
      <c r="EK145" t="s">
        <v>492</v>
      </c>
      <c r="FA145" t="s">
        <v>404</v>
      </c>
    </row>
    <row r="146" spans="1:158">
      <c r="A146">
        <v>251</v>
      </c>
      <c r="B146" t="s">
        <v>99</v>
      </c>
      <c r="C146" t="s">
        <v>2213</v>
      </c>
      <c r="D146" t="s">
        <v>2213</v>
      </c>
      <c r="E146">
        <v>1</v>
      </c>
      <c r="F146" t="s">
        <v>2214</v>
      </c>
      <c r="G146" t="s">
        <v>2215</v>
      </c>
      <c r="H146" t="s">
        <v>118</v>
      </c>
      <c r="I146" t="s">
        <v>2216</v>
      </c>
      <c r="J146">
        <v>251</v>
      </c>
      <c r="M146" t="s">
        <v>502</v>
      </c>
      <c r="N146" t="s">
        <v>369</v>
      </c>
      <c r="R146" t="s">
        <v>503</v>
      </c>
      <c r="T146" t="s">
        <v>2217</v>
      </c>
      <c r="U146" t="s">
        <v>505</v>
      </c>
      <c r="V146" t="s">
        <v>395</v>
      </c>
      <c r="X146" t="s">
        <v>2218</v>
      </c>
      <c r="AA146" t="s">
        <v>101</v>
      </c>
      <c r="AB146" t="s">
        <v>507</v>
      </c>
      <c r="AE146" t="s">
        <v>508</v>
      </c>
      <c r="AQ146" t="s">
        <v>1064</v>
      </c>
      <c r="AU146" t="s">
        <v>509</v>
      </c>
      <c r="BE146" t="s">
        <v>510</v>
      </c>
      <c r="BF146" t="s">
        <v>2219</v>
      </c>
      <c r="BK146" t="s">
        <v>2220</v>
      </c>
      <c r="BL146" t="s">
        <v>513</v>
      </c>
      <c r="BZ146" t="s">
        <v>404</v>
      </c>
      <c r="CA146" t="s">
        <v>2221</v>
      </c>
      <c r="CC146" t="s">
        <v>406</v>
      </c>
      <c r="CF146" t="s">
        <v>2216</v>
      </c>
      <c r="CI146" t="s">
        <v>430</v>
      </c>
      <c r="CK146" t="s">
        <v>101</v>
      </c>
      <c r="CU146" t="s">
        <v>2222</v>
      </c>
      <c r="CX146" t="s">
        <v>516</v>
      </c>
      <c r="CY146" t="s">
        <v>517</v>
      </c>
      <c r="DH146" t="s">
        <v>404</v>
      </c>
      <c r="DI146" t="s">
        <v>404</v>
      </c>
      <c r="DJ146" t="s">
        <v>2215</v>
      </c>
      <c r="DL146" t="s">
        <v>518</v>
      </c>
      <c r="DO146" t="s">
        <v>2215</v>
      </c>
      <c r="DT146" t="s">
        <v>2223</v>
      </c>
      <c r="EF146" t="s">
        <v>492</v>
      </c>
      <c r="EG146" t="s">
        <v>429</v>
      </c>
      <c r="EI146" t="s">
        <v>2224</v>
      </c>
      <c r="EJ146" t="s">
        <v>521</v>
      </c>
      <c r="EK146" t="s">
        <v>522</v>
      </c>
      <c r="EM146" t="s">
        <v>523</v>
      </c>
      <c r="EW146" t="s">
        <v>524</v>
      </c>
      <c r="FA146" t="s">
        <v>404</v>
      </c>
    </row>
    <row r="147" spans="1:158">
      <c r="A147">
        <v>82</v>
      </c>
      <c r="B147" t="s">
        <v>2225</v>
      </c>
      <c r="C147" t="s">
        <v>2226</v>
      </c>
      <c r="D147" t="s">
        <v>362</v>
      </c>
      <c r="E147">
        <v>1</v>
      </c>
      <c r="F147" t="s">
        <v>1314</v>
      </c>
      <c r="G147" t="s">
        <v>1315</v>
      </c>
      <c r="H147" t="s">
        <v>743</v>
      </c>
      <c r="I147" t="s">
        <v>579</v>
      </c>
      <c r="J147">
        <v>82</v>
      </c>
      <c r="O147" t="s">
        <v>441</v>
      </c>
      <c r="R147" t="s">
        <v>484</v>
      </c>
      <c r="AA147" t="s">
        <v>2226</v>
      </c>
      <c r="AU147" t="s">
        <v>471</v>
      </c>
      <c r="BF147" t="s">
        <v>395</v>
      </c>
      <c r="CC147" t="s">
        <v>406</v>
      </c>
      <c r="CI147" t="s">
        <v>404</v>
      </c>
      <c r="CO147" t="s">
        <v>1318</v>
      </c>
      <c r="DT147" t="s">
        <v>395</v>
      </c>
      <c r="FA147" t="s">
        <v>404</v>
      </c>
      <c r="FB147" t="s">
        <v>2227</v>
      </c>
    </row>
    <row r="148" spans="1:158">
      <c r="A148">
        <v>88</v>
      </c>
      <c r="B148" t="s">
        <v>2228</v>
      </c>
      <c r="C148" t="s">
        <v>2229</v>
      </c>
      <c r="D148" t="s">
        <v>2229</v>
      </c>
      <c r="E148">
        <v>0</v>
      </c>
      <c r="F148" t="s">
        <v>2230</v>
      </c>
      <c r="G148" t="s">
        <v>2231</v>
      </c>
      <c r="H148" t="s">
        <v>2232</v>
      </c>
      <c r="I148" t="s">
        <v>2233</v>
      </c>
      <c r="J148">
        <v>88</v>
      </c>
      <c r="O148" t="s">
        <v>441</v>
      </c>
      <c r="R148" t="s">
        <v>370</v>
      </c>
      <c r="AA148" t="s">
        <v>2234</v>
      </c>
      <c r="AF148" t="s">
        <v>2235</v>
      </c>
      <c r="AG148" t="s">
        <v>430</v>
      </c>
      <c r="AH148" t="s">
        <v>905</v>
      </c>
      <c r="AJ148" t="s">
        <v>1825</v>
      </c>
      <c r="AL148" t="s">
        <v>2236</v>
      </c>
      <c r="AN148" t="s">
        <v>2237</v>
      </c>
      <c r="AU148" t="s">
        <v>471</v>
      </c>
      <c r="BB148" t="s">
        <v>533</v>
      </c>
      <c r="BF148" t="s">
        <v>1242</v>
      </c>
      <c r="BN148" t="s">
        <v>554</v>
      </c>
      <c r="BT148" t="s">
        <v>1770</v>
      </c>
      <c r="CC148" t="s">
        <v>406</v>
      </c>
      <c r="CG148" t="s">
        <v>558</v>
      </c>
      <c r="CJ148" t="s">
        <v>2238</v>
      </c>
      <c r="CO148" t="s">
        <v>1243</v>
      </c>
      <c r="CU148" t="s">
        <v>906</v>
      </c>
      <c r="CZ148" t="s">
        <v>569</v>
      </c>
      <c r="DS148" t="s">
        <v>2239</v>
      </c>
      <c r="DT148" t="s">
        <v>533</v>
      </c>
      <c r="EF148" t="s">
        <v>492</v>
      </c>
      <c r="EG148" t="s">
        <v>522</v>
      </c>
      <c r="EH148" t="s">
        <v>404</v>
      </c>
      <c r="EK148" t="s">
        <v>522</v>
      </c>
      <c r="EL148" t="s">
        <v>404</v>
      </c>
      <c r="EW148" t="s">
        <v>471</v>
      </c>
      <c r="FA148" t="s">
        <v>404</v>
      </c>
      <c r="FB148" t="s">
        <v>2240</v>
      </c>
    </row>
    <row r="149" spans="1:158">
      <c r="A149">
        <v>208</v>
      </c>
      <c r="B149" t="s">
        <v>79</v>
      </c>
      <c r="C149" t="s">
        <v>80</v>
      </c>
      <c r="D149" t="s">
        <v>80</v>
      </c>
      <c r="E149">
        <v>1</v>
      </c>
      <c r="F149" t="s">
        <v>2241</v>
      </c>
      <c r="G149" t="s">
        <v>2242</v>
      </c>
      <c r="H149" t="s">
        <v>1248</v>
      </c>
      <c r="I149" t="s">
        <v>1249</v>
      </c>
      <c r="J149">
        <v>208</v>
      </c>
      <c r="K149" t="s">
        <v>531</v>
      </c>
      <c r="M149" t="s">
        <v>2243</v>
      </c>
      <c r="N149" t="s">
        <v>1126</v>
      </c>
      <c r="O149" t="s">
        <v>533</v>
      </c>
      <c r="R149" t="s">
        <v>370</v>
      </c>
      <c r="T149" t="s">
        <v>383</v>
      </c>
      <c r="U149" t="s">
        <v>177</v>
      </c>
      <c r="V149" t="s">
        <v>2244</v>
      </c>
      <c r="W149" t="s">
        <v>2245</v>
      </c>
      <c r="X149" t="s">
        <v>2246</v>
      </c>
      <c r="Z149" t="s">
        <v>378</v>
      </c>
      <c r="AA149" t="s">
        <v>80</v>
      </c>
      <c r="AB149" t="s">
        <v>1264</v>
      </c>
      <c r="AE149" t="s">
        <v>601</v>
      </c>
      <c r="AI149" t="s">
        <v>383</v>
      </c>
      <c r="AM149" t="s">
        <v>1685</v>
      </c>
      <c r="AN149" t="s">
        <v>2247</v>
      </c>
      <c r="AP149" t="s">
        <v>2248</v>
      </c>
      <c r="AQ149" t="s">
        <v>689</v>
      </c>
      <c r="AS149" t="s">
        <v>2249</v>
      </c>
      <c r="AU149" t="s">
        <v>389</v>
      </c>
      <c r="AV149" t="s">
        <v>2250</v>
      </c>
      <c r="AW149" t="s">
        <v>2251</v>
      </c>
      <c r="AX149" t="s">
        <v>2252</v>
      </c>
      <c r="AY149" t="s">
        <v>547</v>
      </c>
      <c r="AZ149" t="s">
        <v>2253</v>
      </c>
      <c r="BB149" t="s">
        <v>533</v>
      </c>
      <c r="BC149" t="s">
        <v>549</v>
      </c>
      <c r="BD149" t="s">
        <v>383</v>
      </c>
      <c r="BE149" t="s">
        <v>2254</v>
      </c>
      <c r="BF149" t="s">
        <v>395</v>
      </c>
      <c r="BG149" t="s">
        <v>2255</v>
      </c>
      <c r="BK149" t="s">
        <v>395</v>
      </c>
      <c r="BL149" t="s">
        <v>1272</v>
      </c>
      <c r="BM149" t="s">
        <v>2256</v>
      </c>
      <c r="BR149" t="s">
        <v>395</v>
      </c>
      <c r="BS149" t="s">
        <v>2257</v>
      </c>
      <c r="BV149" t="s">
        <v>2257</v>
      </c>
      <c r="BX149" t="s">
        <v>614</v>
      </c>
      <c r="BY149" t="s">
        <v>2258</v>
      </c>
      <c r="BZ149" t="s">
        <v>404</v>
      </c>
      <c r="CA149" t="s">
        <v>2259</v>
      </c>
      <c r="CC149" t="s">
        <v>406</v>
      </c>
      <c r="CD149" t="s">
        <v>395</v>
      </c>
      <c r="CF149" t="s">
        <v>1249</v>
      </c>
      <c r="CG149" t="s">
        <v>558</v>
      </c>
      <c r="CH149" t="s">
        <v>2260</v>
      </c>
      <c r="CI149" t="s">
        <v>430</v>
      </c>
      <c r="CJ149" t="s">
        <v>559</v>
      </c>
      <c r="CK149" t="s">
        <v>2261</v>
      </c>
      <c r="CO149" t="s">
        <v>2262</v>
      </c>
      <c r="CP149" t="s">
        <v>2263</v>
      </c>
      <c r="CQ149" t="s">
        <v>2264</v>
      </c>
      <c r="CR149" t="s">
        <v>2265</v>
      </c>
      <c r="CT149" t="s">
        <v>2266</v>
      </c>
      <c r="CU149" t="s">
        <v>2267</v>
      </c>
      <c r="CV149" t="s">
        <v>2268</v>
      </c>
      <c r="CW149" t="s">
        <v>2187</v>
      </c>
      <c r="CX149" t="s">
        <v>481</v>
      </c>
      <c r="CY149" t="s">
        <v>517</v>
      </c>
      <c r="DA149" t="s">
        <v>418</v>
      </c>
      <c r="DB149" t="s">
        <v>570</v>
      </c>
      <c r="DC149" t="s">
        <v>419</v>
      </c>
      <c r="DE149" t="s">
        <v>2269</v>
      </c>
      <c r="DF149" t="s">
        <v>421</v>
      </c>
      <c r="DG149" t="s">
        <v>2270</v>
      </c>
      <c r="DH149" t="s">
        <v>2189</v>
      </c>
      <c r="DI149" t="s">
        <v>2190</v>
      </c>
      <c r="DJ149" t="s">
        <v>2191</v>
      </c>
      <c r="DK149" t="s">
        <v>2192</v>
      </c>
      <c r="DL149" t="s">
        <v>426</v>
      </c>
      <c r="DM149" t="s">
        <v>1345</v>
      </c>
      <c r="DN149" t="s">
        <v>718</v>
      </c>
      <c r="DO149" t="s">
        <v>2242</v>
      </c>
      <c r="DP149" t="s">
        <v>395</v>
      </c>
      <c r="DQ149" t="s">
        <v>395</v>
      </c>
      <c r="DR149" t="s">
        <v>395</v>
      </c>
      <c r="DS149" t="s">
        <v>2271</v>
      </c>
      <c r="DT149" t="s">
        <v>690</v>
      </c>
      <c r="DV149" t="s">
        <v>395</v>
      </c>
      <c r="DY149" t="s">
        <v>690</v>
      </c>
      <c r="EA149" t="s">
        <v>690</v>
      </c>
      <c r="EB149" t="s">
        <v>690</v>
      </c>
      <c r="EC149" t="s">
        <v>399</v>
      </c>
      <c r="ED149" t="s">
        <v>2272</v>
      </c>
      <c r="EE149" t="s">
        <v>573</v>
      </c>
      <c r="EF149" t="s">
        <v>2273</v>
      </c>
      <c r="EG149" t="s">
        <v>429</v>
      </c>
      <c r="EH149" t="s">
        <v>430</v>
      </c>
      <c r="EI149" t="s">
        <v>639</v>
      </c>
      <c r="EJ149" t="s">
        <v>429</v>
      </c>
      <c r="EK149" t="s">
        <v>429</v>
      </c>
      <c r="EL149" t="s">
        <v>430</v>
      </c>
      <c r="EM149" t="s">
        <v>523</v>
      </c>
      <c r="ET149" t="s">
        <v>402</v>
      </c>
      <c r="EV149" t="s">
        <v>441</v>
      </c>
      <c r="EW149" t="s">
        <v>432</v>
      </c>
      <c r="FA149" t="s">
        <v>404</v>
      </c>
      <c r="FB149" t="s">
        <v>2274</v>
      </c>
    </row>
    <row r="150" spans="1:158">
      <c r="A150">
        <v>102</v>
      </c>
      <c r="B150" t="s">
        <v>2275</v>
      </c>
      <c r="C150" t="s">
        <v>2276</v>
      </c>
      <c r="D150" t="s">
        <v>2277</v>
      </c>
      <c r="E150">
        <v>0</v>
      </c>
      <c r="F150" t="s">
        <v>1252</v>
      </c>
      <c r="G150" t="s">
        <v>742</v>
      </c>
      <c r="H150" t="s">
        <v>743</v>
      </c>
      <c r="I150" t="s">
        <v>579</v>
      </c>
      <c r="J150">
        <v>102</v>
      </c>
      <c r="O150" t="s">
        <v>441</v>
      </c>
      <c r="R150" t="s">
        <v>484</v>
      </c>
      <c r="AU150" t="s">
        <v>471</v>
      </c>
      <c r="BF150" t="s">
        <v>395</v>
      </c>
      <c r="CC150" t="s">
        <v>406</v>
      </c>
      <c r="CO150" t="s">
        <v>1243</v>
      </c>
      <c r="DT150" t="s">
        <v>395</v>
      </c>
      <c r="EF150" t="s">
        <v>492</v>
      </c>
      <c r="EG150" t="s">
        <v>492</v>
      </c>
      <c r="EK150" t="s">
        <v>492</v>
      </c>
      <c r="FA150" t="s">
        <v>404</v>
      </c>
    </row>
    <row r="151" spans="1:158">
      <c r="A151">
        <v>45</v>
      </c>
      <c r="B151" t="s">
        <v>2278</v>
      </c>
      <c r="C151" t="s">
        <v>2279</v>
      </c>
      <c r="D151" t="s">
        <v>436</v>
      </c>
      <c r="E151">
        <v>0</v>
      </c>
      <c r="F151" t="s">
        <v>437</v>
      </c>
      <c r="G151" t="s">
        <v>438</v>
      </c>
      <c r="H151" t="s">
        <v>439</v>
      </c>
      <c r="I151" t="s">
        <v>440</v>
      </c>
      <c r="J151">
        <v>45</v>
      </c>
      <c r="O151" t="s">
        <v>441</v>
      </c>
      <c r="R151" t="s">
        <v>370</v>
      </c>
      <c r="X151" t="s">
        <v>2280</v>
      </c>
      <c r="AA151" t="s">
        <v>443</v>
      </c>
      <c r="AG151" t="s">
        <v>404</v>
      </c>
      <c r="AI151" t="s">
        <v>2281</v>
      </c>
      <c r="AJ151" t="s">
        <v>2282</v>
      </c>
      <c r="AK151" t="s">
        <v>2283</v>
      </c>
      <c r="AL151" t="s">
        <v>2284</v>
      </c>
      <c r="AN151" t="s">
        <v>2285</v>
      </c>
      <c r="AU151" t="s">
        <v>444</v>
      </c>
      <c r="AW151" t="s">
        <v>445</v>
      </c>
      <c r="AX151" t="s">
        <v>2286</v>
      </c>
      <c r="AY151" t="s">
        <v>447</v>
      </c>
      <c r="BB151" t="s">
        <v>664</v>
      </c>
      <c r="BF151" t="s">
        <v>1955</v>
      </c>
      <c r="BM151" t="s">
        <v>2287</v>
      </c>
      <c r="BN151" t="s">
        <v>2288</v>
      </c>
      <c r="BT151" t="s">
        <v>1238</v>
      </c>
      <c r="CC151" t="s">
        <v>406</v>
      </c>
      <c r="CI151" t="s">
        <v>430</v>
      </c>
      <c r="CJ151" t="s">
        <v>448</v>
      </c>
      <c r="CO151" t="s">
        <v>449</v>
      </c>
      <c r="CU151" t="s">
        <v>2289</v>
      </c>
      <c r="CZ151" t="s">
        <v>569</v>
      </c>
      <c r="DS151" t="s">
        <v>2285</v>
      </c>
      <c r="DT151" t="s">
        <v>1147</v>
      </c>
      <c r="EF151" t="s">
        <v>492</v>
      </c>
      <c r="EG151" t="s">
        <v>522</v>
      </c>
      <c r="EH151" t="s">
        <v>430</v>
      </c>
      <c r="EK151" t="s">
        <v>522</v>
      </c>
      <c r="EL151" t="s">
        <v>430</v>
      </c>
      <c r="EW151" t="s">
        <v>444</v>
      </c>
      <c r="FA151" t="s">
        <v>404</v>
      </c>
      <c r="FB151" t="s">
        <v>2290</v>
      </c>
    </row>
    <row r="152" spans="1:158">
      <c r="A152">
        <v>145</v>
      </c>
      <c r="B152" t="s">
        <v>2291</v>
      </c>
      <c r="C152" t="s">
        <v>2292</v>
      </c>
      <c r="D152" t="s">
        <v>2292</v>
      </c>
      <c r="E152">
        <v>1</v>
      </c>
      <c r="F152" t="s">
        <v>2293</v>
      </c>
      <c r="G152" t="s">
        <v>2294</v>
      </c>
      <c r="H152" t="s">
        <v>2295</v>
      </c>
      <c r="I152" t="s">
        <v>2296</v>
      </c>
      <c r="J152">
        <v>145</v>
      </c>
      <c r="K152" t="s">
        <v>531</v>
      </c>
      <c r="M152" t="s">
        <v>2297</v>
      </c>
      <c r="N152" t="s">
        <v>369</v>
      </c>
      <c r="O152" t="s">
        <v>533</v>
      </c>
      <c r="R152" t="s">
        <v>370</v>
      </c>
      <c r="T152" t="s">
        <v>2298</v>
      </c>
      <c r="U152" t="s">
        <v>505</v>
      </c>
      <c r="V152" t="s">
        <v>383</v>
      </c>
      <c r="W152" t="s">
        <v>2299</v>
      </c>
      <c r="X152" t="s">
        <v>2300</v>
      </c>
      <c r="Z152" t="s">
        <v>378</v>
      </c>
      <c r="AA152" t="s">
        <v>2301</v>
      </c>
      <c r="AB152" t="s">
        <v>2302</v>
      </c>
      <c r="AE152" t="s">
        <v>508</v>
      </c>
      <c r="AI152" t="s">
        <v>383</v>
      </c>
      <c r="AM152" t="s">
        <v>1599</v>
      </c>
      <c r="AN152" t="s">
        <v>2303</v>
      </c>
      <c r="AP152" t="s">
        <v>2304</v>
      </c>
      <c r="AQ152" t="s">
        <v>689</v>
      </c>
      <c r="AR152" t="s">
        <v>542</v>
      </c>
      <c r="AS152" t="s">
        <v>463</v>
      </c>
      <c r="AU152" t="s">
        <v>389</v>
      </c>
      <c r="AV152" t="s">
        <v>2305</v>
      </c>
      <c r="AW152" t="s">
        <v>2306</v>
      </c>
      <c r="AX152" t="s">
        <v>2307</v>
      </c>
      <c r="AY152" t="s">
        <v>547</v>
      </c>
      <c r="AZ152" t="s">
        <v>2308</v>
      </c>
      <c r="BA152" t="s">
        <v>533</v>
      </c>
      <c r="BB152" t="s">
        <v>542</v>
      </c>
      <c r="BC152" t="s">
        <v>549</v>
      </c>
      <c r="BD152" t="s">
        <v>383</v>
      </c>
      <c r="BE152" t="s">
        <v>2309</v>
      </c>
      <c r="BF152" t="s">
        <v>1567</v>
      </c>
      <c r="BG152" t="s">
        <v>395</v>
      </c>
      <c r="BK152" t="s">
        <v>1567</v>
      </c>
      <c r="BL152" t="s">
        <v>2310</v>
      </c>
      <c r="BM152" t="s">
        <v>2311</v>
      </c>
      <c r="BN152" t="s">
        <v>554</v>
      </c>
      <c r="BR152" t="s">
        <v>1542</v>
      </c>
      <c r="BS152" t="s">
        <v>395</v>
      </c>
      <c r="BT152" t="s">
        <v>1542</v>
      </c>
      <c r="BU152" t="s">
        <v>891</v>
      </c>
      <c r="BX152" t="s">
        <v>401</v>
      </c>
      <c r="BZ152" t="s">
        <v>404</v>
      </c>
      <c r="CA152" t="s">
        <v>2312</v>
      </c>
      <c r="CC152" t="s">
        <v>406</v>
      </c>
      <c r="CD152" t="s">
        <v>395</v>
      </c>
      <c r="CE152" t="s">
        <v>2313</v>
      </c>
      <c r="CF152" t="s">
        <v>2296</v>
      </c>
      <c r="CG152" t="s">
        <v>558</v>
      </c>
      <c r="CH152" t="s">
        <v>383</v>
      </c>
      <c r="CI152" t="s">
        <v>430</v>
      </c>
      <c r="CJ152" t="s">
        <v>559</v>
      </c>
      <c r="CK152" t="s">
        <v>2292</v>
      </c>
      <c r="CO152" t="s">
        <v>2314</v>
      </c>
      <c r="CP152" t="s">
        <v>383</v>
      </c>
      <c r="CQ152" t="s">
        <v>383</v>
      </c>
      <c r="CR152" t="s">
        <v>2315</v>
      </c>
      <c r="CT152" t="s">
        <v>2316</v>
      </c>
      <c r="CU152" t="s">
        <v>2317</v>
      </c>
      <c r="CV152" t="s">
        <v>456</v>
      </c>
      <c r="CW152" t="s">
        <v>388</v>
      </c>
      <c r="CX152" t="s">
        <v>626</v>
      </c>
      <c r="CY152" t="s">
        <v>568</v>
      </c>
      <c r="CZ152" t="s">
        <v>569</v>
      </c>
      <c r="DA152" t="s">
        <v>418</v>
      </c>
      <c r="DB152" t="s">
        <v>570</v>
      </c>
      <c r="DC152" t="s">
        <v>419</v>
      </c>
      <c r="DD152" t="s">
        <v>571</v>
      </c>
      <c r="DF152" t="s">
        <v>421</v>
      </c>
      <c r="DG152" t="s">
        <v>2318</v>
      </c>
      <c r="DH152" t="s">
        <v>886</v>
      </c>
      <c r="DI152" t="s">
        <v>887</v>
      </c>
      <c r="DJ152" t="s">
        <v>888</v>
      </c>
      <c r="DK152" t="s">
        <v>889</v>
      </c>
      <c r="DL152" t="s">
        <v>426</v>
      </c>
      <c r="DN152" t="s">
        <v>395</v>
      </c>
      <c r="DO152" t="s">
        <v>2294</v>
      </c>
      <c r="DP152" t="s">
        <v>395</v>
      </c>
      <c r="DQ152" t="s">
        <v>395</v>
      </c>
      <c r="DR152" t="s">
        <v>395</v>
      </c>
      <c r="DS152" t="s">
        <v>2319</v>
      </c>
      <c r="DT152" t="s">
        <v>1604</v>
      </c>
      <c r="DU152" t="s">
        <v>664</v>
      </c>
      <c r="DV152" t="s">
        <v>1588</v>
      </c>
      <c r="DW152" t="s">
        <v>891</v>
      </c>
      <c r="EA152" t="s">
        <v>891</v>
      </c>
      <c r="EB152" t="s">
        <v>399</v>
      </c>
      <c r="EC152" t="s">
        <v>395</v>
      </c>
      <c r="ED152" t="s">
        <v>1604</v>
      </c>
      <c r="EE152" t="s">
        <v>573</v>
      </c>
      <c r="EF152" t="s">
        <v>492</v>
      </c>
      <c r="EG152" t="s">
        <v>492</v>
      </c>
      <c r="EH152" t="s">
        <v>430</v>
      </c>
      <c r="EI152" t="s">
        <v>431</v>
      </c>
      <c r="EJ152" t="s">
        <v>429</v>
      </c>
      <c r="EK152" t="s">
        <v>492</v>
      </c>
      <c r="EL152" t="s">
        <v>430</v>
      </c>
      <c r="EM152" t="s">
        <v>431</v>
      </c>
      <c r="EW152" t="s">
        <v>1416</v>
      </c>
      <c r="FA152" t="s">
        <v>404</v>
      </c>
      <c r="FB152" t="s">
        <v>26</v>
      </c>
    </row>
    <row r="153" spans="1:158">
      <c r="A153">
        <v>48</v>
      </c>
      <c r="B153" t="s">
        <v>2320</v>
      </c>
      <c r="C153" t="s">
        <v>2321</v>
      </c>
      <c r="D153" t="s">
        <v>1623</v>
      </c>
      <c r="E153">
        <v>1</v>
      </c>
      <c r="F153" t="s">
        <v>1624</v>
      </c>
      <c r="G153" t="s">
        <v>1625</v>
      </c>
      <c r="H153" t="s">
        <v>1626</v>
      </c>
      <c r="I153" t="s">
        <v>1627</v>
      </c>
      <c r="J153">
        <v>48</v>
      </c>
      <c r="O153" t="s">
        <v>441</v>
      </c>
      <c r="R153" t="s">
        <v>442</v>
      </c>
      <c r="AA153" t="s">
        <v>1629</v>
      </c>
      <c r="AU153" t="s">
        <v>444</v>
      </c>
      <c r="CC153" t="s">
        <v>406</v>
      </c>
      <c r="CI153" t="s">
        <v>404</v>
      </c>
      <c r="CJ153" t="s">
        <v>448</v>
      </c>
      <c r="CX153" t="s">
        <v>26</v>
      </c>
      <c r="CY153" t="s">
        <v>26</v>
      </c>
      <c r="EH153" t="s">
        <v>430</v>
      </c>
      <c r="EL153" t="s">
        <v>430</v>
      </c>
      <c r="EW153" t="s">
        <v>444</v>
      </c>
      <c r="FA153" t="s">
        <v>404</v>
      </c>
    </row>
    <row r="154" spans="1:158">
      <c r="A154">
        <v>71</v>
      </c>
      <c r="B154" t="s">
        <v>2322</v>
      </c>
      <c r="C154" t="s">
        <v>2323</v>
      </c>
      <c r="D154" t="s">
        <v>2323</v>
      </c>
      <c r="E154">
        <v>1</v>
      </c>
      <c r="F154" t="s">
        <v>2324</v>
      </c>
      <c r="G154" t="s">
        <v>2325</v>
      </c>
      <c r="H154" t="s">
        <v>923</v>
      </c>
      <c r="I154" t="s">
        <v>924</v>
      </c>
      <c r="J154">
        <v>71</v>
      </c>
      <c r="K154" t="s">
        <v>884</v>
      </c>
      <c r="O154" t="s">
        <v>533</v>
      </c>
      <c r="R154" t="s">
        <v>370</v>
      </c>
      <c r="T154" t="s">
        <v>383</v>
      </c>
      <c r="V154" t="s">
        <v>383</v>
      </c>
      <c r="X154" t="s">
        <v>2326</v>
      </c>
      <c r="Z154" t="s">
        <v>926</v>
      </c>
      <c r="AA154" t="s">
        <v>2327</v>
      </c>
      <c r="AB154" t="s">
        <v>928</v>
      </c>
      <c r="AF154" t="s">
        <v>653</v>
      </c>
      <c r="AG154" t="s">
        <v>654</v>
      </c>
      <c r="AI154" t="s">
        <v>2328</v>
      </c>
      <c r="AJ154" t="s">
        <v>930</v>
      </c>
      <c r="AK154" t="s">
        <v>658</v>
      </c>
      <c r="AL154" t="s">
        <v>729</v>
      </c>
      <c r="AM154" t="s">
        <v>2329</v>
      </c>
      <c r="AN154" t="s">
        <v>2330</v>
      </c>
      <c r="AQ154" t="s">
        <v>689</v>
      </c>
      <c r="AS154" t="s">
        <v>388</v>
      </c>
      <c r="AT154" t="s">
        <v>660</v>
      </c>
      <c r="AU154" t="s">
        <v>471</v>
      </c>
      <c r="AZ154" t="s">
        <v>395</v>
      </c>
      <c r="BB154" t="s">
        <v>533</v>
      </c>
      <c r="BD154" t="s">
        <v>2331</v>
      </c>
      <c r="BF154" t="s">
        <v>2332</v>
      </c>
      <c r="BG154" t="s">
        <v>395</v>
      </c>
      <c r="BH154" t="s">
        <v>666</v>
      </c>
      <c r="BI154" t="s">
        <v>935</v>
      </c>
      <c r="BK154" t="s">
        <v>2332</v>
      </c>
      <c r="BM154" t="s">
        <v>2333</v>
      </c>
      <c r="BN154" t="s">
        <v>554</v>
      </c>
      <c r="BR154" t="s">
        <v>1361</v>
      </c>
      <c r="BS154" t="s">
        <v>395</v>
      </c>
      <c r="BT154" t="s">
        <v>1361</v>
      </c>
      <c r="CA154" t="s">
        <v>2334</v>
      </c>
      <c r="CC154" t="s">
        <v>406</v>
      </c>
      <c r="CD154" t="s">
        <v>395</v>
      </c>
      <c r="CF154" t="s">
        <v>924</v>
      </c>
      <c r="CG154" t="s">
        <v>695</v>
      </c>
      <c r="CH154" t="s">
        <v>2335</v>
      </c>
      <c r="CI154" t="s">
        <v>430</v>
      </c>
      <c r="CJ154" t="s">
        <v>559</v>
      </c>
      <c r="CK154" t="s">
        <v>2323</v>
      </c>
      <c r="CO154" t="s">
        <v>939</v>
      </c>
      <c r="CP154" t="s">
        <v>2336</v>
      </c>
      <c r="CQ154" t="s">
        <v>2337</v>
      </c>
      <c r="CR154" t="s">
        <v>2338</v>
      </c>
      <c r="CT154" t="s">
        <v>2339</v>
      </c>
      <c r="CU154" t="s">
        <v>2340</v>
      </c>
      <c r="CV154" t="s">
        <v>416</v>
      </c>
      <c r="CW154" t="s">
        <v>388</v>
      </c>
      <c r="CX154" t="s">
        <v>945</v>
      </c>
      <c r="CY154" t="s">
        <v>568</v>
      </c>
      <c r="CZ154" t="s">
        <v>569</v>
      </c>
      <c r="DA154" t="s">
        <v>418</v>
      </c>
      <c r="DB154" t="s">
        <v>946</v>
      </c>
      <c r="DC154" t="s">
        <v>905</v>
      </c>
      <c r="DL154" t="s">
        <v>947</v>
      </c>
      <c r="DN154" t="s">
        <v>395</v>
      </c>
      <c r="DO154" t="s">
        <v>2325</v>
      </c>
      <c r="DP154" t="s">
        <v>395</v>
      </c>
      <c r="DQ154" t="s">
        <v>395</v>
      </c>
      <c r="DR154" t="s">
        <v>395</v>
      </c>
      <c r="DS154" t="s">
        <v>2341</v>
      </c>
      <c r="DT154" t="s">
        <v>533</v>
      </c>
      <c r="DU154" t="s">
        <v>533</v>
      </c>
      <c r="DV154" t="s">
        <v>1770</v>
      </c>
      <c r="EB154" t="s">
        <v>395</v>
      </c>
      <c r="EC154" t="s">
        <v>395</v>
      </c>
      <c r="ED154" t="s">
        <v>533</v>
      </c>
      <c r="EF154" t="s">
        <v>492</v>
      </c>
      <c r="EG154" t="s">
        <v>780</v>
      </c>
      <c r="EH154" t="s">
        <v>430</v>
      </c>
      <c r="EI154" t="s">
        <v>431</v>
      </c>
      <c r="EJ154" t="s">
        <v>429</v>
      </c>
      <c r="EK154" t="s">
        <v>780</v>
      </c>
      <c r="EL154" t="s">
        <v>430</v>
      </c>
      <c r="EM154" t="s">
        <v>431</v>
      </c>
      <c r="EW154" t="s">
        <v>471</v>
      </c>
      <c r="FA154" t="s">
        <v>404</v>
      </c>
      <c r="FB154" t="s">
        <v>26</v>
      </c>
    </row>
    <row r="155" spans="1:158">
      <c r="A155">
        <v>94</v>
      </c>
      <c r="B155" t="s">
        <v>2342</v>
      </c>
      <c r="C155" t="s">
        <v>2343</v>
      </c>
      <c r="D155" t="s">
        <v>1794</v>
      </c>
      <c r="E155">
        <v>0</v>
      </c>
      <c r="F155" t="s">
        <v>2344</v>
      </c>
      <c r="G155" t="s">
        <v>2345</v>
      </c>
      <c r="H155" t="s">
        <v>1797</v>
      </c>
      <c r="I155" t="s">
        <v>1798</v>
      </c>
      <c r="J155">
        <v>94</v>
      </c>
      <c r="O155" t="s">
        <v>441</v>
      </c>
      <c r="R155" t="s">
        <v>370</v>
      </c>
      <c r="AA155" t="s">
        <v>1799</v>
      </c>
      <c r="AU155" t="s">
        <v>471</v>
      </c>
      <c r="BF155" t="s">
        <v>489</v>
      </c>
      <c r="BN155" t="s">
        <v>554</v>
      </c>
      <c r="BT155" t="s">
        <v>2346</v>
      </c>
      <c r="CC155" t="s">
        <v>406</v>
      </c>
      <c r="CI155" t="s">
        <v>430</v>
      </c>
      <c r="CO155" t="s">
        <v>2347</v>
      </c>
      <c r="CZ155" t="s">
        <v>569</v>
      </c>
      <c r="DT155" t="s">
        <v>2272</v>
      </c>
      <c r="EF155" t="s">
        <v>492</v>
      </c>
      <c r="EG155" t="s">
        <v>522</v>
      </c>
      <c r="EH155" t="s">
        <v>430</v>
      </c>
      <c r="EK155" t="s">
        <v>522</v>
      </c>
      <c r="EL155" t="s">
        <v>430</v>
      </c>
      <c r="EW155" t="s">
        <v>471</v>
      </c>
      <c r="FA155" t="s">
        <v>404</v>
      </c>
      <c r="FB155" t="s">
        <v>2348</v>
      </c>
    </row>
    <row r="156" spans="1:158">
      <c r="A156">
        <v>117</v>
      </c>
      <c r="B156" t="s">
        <v>2349</v>
      </c>
      <c r="C156" t="s">
        <v>2350</v>
      </c>
      <c r="D156" t="s">
        <v>2351</v>
      </c>
      <c r="E156">
        <v>1</v>
      </c>
      <c r="F156" t="s">
        <v>2352</v>
      </c>
      <c r="G156" t="s">
        <v>2353</v>
      </c>
      <c r="H156" t="s">
        <v>2354</v>
      </c>
      <c r="I156" t="s">
        <v>2355</v>
      </c>
      <c r="J156">
        <v>117</v>
      </c>
      <c r="K156" t="s">
        <v>531</v>
      </c>
      <c r="O156" t="s">
        <v>533</v>
      </c>
      <c r="R156" t="s">
        <v>370</v>
      </c>
      <c r="T156" t="s">
        <v>602</v>
      </c>
      <c r="V156" t="s">
        <v>383</v>
      </c>
      <c r="X156" t="s">
        <v>2356</v>
      </c>
      <c r="Z156" t="s">
        <v>378</v>
      </c>
      <c r="AA156" t="s">
        <v>174</v>
      </c>
      <c r="AB156" t="s">
        <v>1264</v>
      </c>
      <c r="AF156" t="s">
        <v>653</v>
      </c>
      <c r="AG156" t="s">
        <v>1631</v>
      </c>
      <c r="AI156" t="s">
        <v>2357</v>
      </c>
      <c r="AJ156" t="s">
        <v>177</v>
      </c>
      <c r="AM156" t="s">
        <v>383</v>
      </c>
      <c r="AN156" t="s">
        <v>2358</v>
      </c>
      <c r="AQ156" t="s">
        <v>689</v>
      </c>
      <c r="AR156" t="s">
        <v>542</v>
      </c>
      <c r="AS156" t="s">
        <v>463</v>
      </c>
      <c r="AT156" t="s">
        <v>660</v>
      </c>
      <c r="AU156" t="s">
        <v>444</v>
      </c>
      <c r="AY156" t="s">
        <v>547</v>
      </c>
      <c r="AZ156" t="s">
        <v>395</v>
      </c>
      <c r="BB156" t="s">
        <v>542</v>
      </c>
      <c r="BC156" t="s">
        <v>549</v>
      </c>
      <c r="BD156" t="s">
        <v>2359</v>
      </c>
      <c r="BF156" t="s">
        <v>2360</v>
      </c>
      <c r="BG156" t="s">
        <v>395</v>
      </c>
      <c r="BH156" t="s">
        <v>666</v>
      </c>
      <c r="BI156" t="s">
        <v>2361</v>
      </c>
      <c r="BK156" t="s">
        <v>2360</v>
      </c>
      <c r="BM156" t="s">
        <v>2362</v>
      </c>
      <c r="BN156" t="s">
        <v>554</v>
      </c>
      <c r="BR156" t="s">
        <v>1770</v>
      </c>
      <c r="BS156" t="s">
        <v>395</v>
      </c>
      <c r="BT156" t="s">
        <v>1770</v>
      </c>
      <c r="CA156" t="s">
        <v>2363</v>
      </c>
      <c r="CC156" t="s">
        <v>406</v>
      </c>
      <c r="CD156" t="s">
        <v>395</v>
      </c>
      <c r="CF156" t="s">
        <v>2355</v>
      </c>
      <c r="CG156" t="s">
        <v>695</v>
      </c>
      <c r="CH156" t="s">
        <v>2364</v>
      </c>
      <c r="CI156" t="s">
        <v>430</v>
      </c>
      <c r="CJ156" t="s">
        <v>559</v>
      </c>
      <c r="CK156" t="s">
        <v>2350</v>
      </c>
      <c r="CO156" t="s">
        <v>2365</v>
      </c>
      <c r="CP156" t="s">
        <v>383</v>
      </c>
      <c r="CQ156" t="s">
        <v>2366</v>
      </c>
      <c r="CR156" t="s">
        <v>2367</v>
      </c>
      <c r="CT156" t="s">
        <v>2368</v>
      </c>
      <c r="CU156" t="s">
        <v>2369</v>
      </c>
      <c r="CV156" t="s">
        <v>456</v>
      </c>
      <c r="CW156" t="s">
        <v>388</v>
      </c>
      <c r="CX156" t="s">
        <v>481</v>
      </c>
      <c r="CY156" t="s">
        <v>517</v>
      </c>
      <c r="CZ156" t="s">
        <v>569</v>
      </c>
      <c r="DA156" t="s">
        <v>1124</v>
      </c>
      <c r="DB156" t="s">
        <v>1284</v>
      </c>
      <c r="DC156" t="s">
        <v>419</v>
      </c>
      <c r="DL156" t="s">
        <v>426</v>
      </c>
      <c r="DN156" t="s">
        <v>395</v>
      </c>
      <c r="DO156" t="s">
        <v>2353</v>
      </c>
      <c r="DP156" t="s">
        <v>395</v>
      </c>
      <c r="DQ156" t="s">
        <v>395</v>
      </c>
      <c r="DR156" t="s">
        <v>395</v>
      </c>
      <c r="DS156" t="s">
        <v>2370</v>
      </c>
      <c r="DT156" t="s">
        <v>533</v>
      </c>
      <c r="DU156" t="s">
        <v>533</v>
      </c>
      <c r="DV156" t="s">
        <v>533</v>
      </c>
      <c r="EB156" t="s">
        <v>395</v>
      </c>
      <c r="EC156" t="s">
        <v>395</v>
      </c>
      <c r="ED156" t="s">
        <v>533</v>
      </c>
      <c r="EE156" t="s">
        <v>573</v>
      </c>
      <c r="EF156" t="s">
        <v>492</v>
      </c>
      <c r="EG156" t="s">
        <v>780</v>
      </c>
      <c r="EH156" t="s">
        <v>430</v>
      </c>
      <c r="EI156" t="s">
        <v>431</v>
      </c>
      <c r="EJ156" t="s">
        <v>429</v>
      </c>
      <c r="EK156" t="s">
        <v>780</v>
      </c>
      <c r="EL156" t="s">
        <v>430</v>
      </c>
      <c r="EM156" t="s">
        <v>431</v>
      </c>
      <c r="EW156" t="s">
        <v>444</v>
      </c>
      <c r="FA156" t="s">
        <v>404</v>
      </c>
      <c r="FB156" t="s">
        <v>26</v>
      </c>
    </row>
    <row r="157" spans="1:158">
      <c r="A157">
        <v>240</v>
      </c>
      <c r="B157" t="s">
        <v>2371</v>
      </c>
      <c r="C157" t="s">
        <v>2372</v>
      </c>
      <c r="D157" t="s">
        <v>362</v>
      </c>
      <c r="E157">
        <v>1</v>
      </c>
      <c r="F157" t="s">
        <v>2373</v>
      </c>
      <c r="G157" t="s">
        <v>2374</v>
      </c>
      <c r="H157" t="s">
        <v>2375</v>
      </c>
      <c r="I157" t="s">
        <v>2376</v>
      </c>
      <c r="J157">
        <v>240</v>
      </c>
      <c r="R157" t="s">
        <v>503</v>
      </c>
      <c r="CC157" t="s">
        <v>406</v>
      </c>
      <c r="CI157" t="s">
        <v>430</v>
      </c>
      <c r="CX157" t="s">
        <v>1678</v>
      </c>
      <c r="CY157" t="s">
        <v>517</v>
      </c>
      <c r="FA157" t="s">
        <v>404</v>
      </c>
    </row>
    <row r="158" spans="1:158">
      <c r="A158">
        <v>217</v>
      </c>
      <c r="B158" t="s">
        <v>2377</v>
      </c>
      <c r="C158" t="s">
        <v>2378</v>
      </c>
      <c r="D158" t="s">
        <v>362</v>
      </c>
      <c r="E158">
        <v>1</v>
      </c>
      <c r="G158" t="s">
        <v>362</v>
      </c>
      <c r="H158" t="s">
        <v>362</v>
      </c>
      <c r="I158" t="s">
        <v>362</v>
      </c>
      <c r="J158">
        <v>217</v>
      </c>
      <c r="O158" t="s">
        <v>441</v>
      </c>
      <c r="R158" t="s">
        <v>370</v>
      </c>
      <c r="CC158" t="s">
        <v>406</v>
      </c>
      <c r="CI158" t="s">
        <v>404</v>
      </c>
      <c r="CX158" t="s">
        <v>26</v>
      </c>
      <c r="CY158" t="s">
        <v>26</v>
      </c>
      <c r="FA158" t="s">
        <v>404</v>
      </c>
    </row>
    <row r="159" spans="1:158">
      <c r="A159">
        <v>177</v>
      </c>
      <c r="B159" t="s">
        <v>89</v>
      </c>
      <c r="C159" t="s">
        <v>90</v>
      </c>
      <c r="D159" t="s">
        <v>2379</v>
      </c>
      <c r="E159">
        <v>1</v>
      </c>
      <c r="F159" t="s">
        <v>2380</v>
      </c>
      <c r="G159" t="s">
        <v>2381</v>
      </c>
      <c r="H159" t="s">
        <v>2382</v>
      </c>
      <c r="I159" t="s">
        <v>2125</v>
      </c>
      <c r="J159">
        <v>177</v>
      </c>
      <c r="K159" t="s">
        <v>531</v>
      </c>
      <c r="M159" t="s">
        <v>2383</v>
      </c>
      <c r="N159" t="s">
        <v>1126</v>
      </c>
      <c r="O159" t="s">
        <v>533</v>
      </c>
      <c r="P159" t="s">
        <v>855</v>
      </c>
      <c r="Q159" t="s">
        <v>610</v>
      </c>
      <c r="R159" t="s">
        <v>370</v>
      </c>
      <c r="T159" t="s">
        <v>2384</v>
      </c>
      <c r="U159" t="s">
        <v>505</v>
      </c>
      <c r="V159" t="s">
        <v>383</v>
      </c>
      <c r="W159" t="s">
        <v>2385</v>
      </c>
      <c r="X159" t="s">
        <v>2386</v>
      </c>
      <c r="Z159" t="s">
        <v>378</v>
      </c>
      <c r="AA159" t="s">
        <v>90</v>
      </c>
      <c r="AB159" t="s">
        <v>859</v>
      </c>
      <c r="AC159" t="s">
        <v>1288</v>
      </c>
      <c r="AD159" t="s">
        <v>2387</v>
      </c>
      <c r="AE159" t="s">
        <v>1335</v>
      </c>
      <c r="AI159" t="s">
        <v>383</v>
      </c>
      <c r="AM159" t="s">
        <v>2388</v>
      </c>
      <c r="AN159" t="s">
        <v>2389</v>
      </c>
      <c r="AP159" t="s">
        <v>2390</v>
      </c>
      <c r="AQ159" t="s">
        <v>689</v>
      </c>
      <c r="AR159" t="s">
        <v>542</v>
      </c>
      <c r="AS159" t="s">
        <v>388</v>
      </c>
      <c r="AU159" t="s">
        <v>389</v>
      </c>
      <c r="AV159" t="s">
        <v>2391</v>
      </c>
      <c r="AW159" t="s">
        <v>2392</v>
      </c>
      <c r="AX159" t="s">
        <v>2393</v>
      </c>
      <c r="AY159" t="s">
        <v>547</v>
      </c>
      <c r="AZ159" t="s">
        <v>2394</v>
      </c>
      <c r="BA159" t="s">
        <v>533</v>
      </c>
      <c r="BB159" t="s">
        <v>542</v>
      </c>
      <c r="BC159" t="s">
        <v>549</v>
      </c>
      <c r="BD159" t="s">
        <v>383</v>
      </c>
      <c r="BE159" t="s">
        <v>2139</v>
      </c>
      <c r="BF159" t="s">
        <v>2395</v>
      </c>
      <c r="BG159" t="s">
        <v>2395</v>
      </c>
      <c r="BK159" t="s">
        <v>2395</v>
      </c>
      <c r="BL159" t="s">
        <v>869</v>
      </c>
      <c r="BM159" t="s">
        <v>2396</v>
      </c>
      <c r="BN159" t="s">
        <v>1288</v>
      </c>
      <c r="BO159" t="s">
        <v>614</v>
      </c>
      <c r="BR159" t="s">
        <v>1344</v>
      </c>
      <c r="BS159" t="s">
        <v>395</v>
      </c>
      <c r="BT159" t="s">
        <v>1906</v>
      </c>
      <c r="BZ159" t="s">
        <v>404</v>
      </c>
      <c r="CA159" t="s">
        <v>2397</v>
      </c>
      <c r="CC159" t="s">
        <v>406</v>
      </c>
      <c r="CD159" t="s">
        <v>395</v>
      </c>
      <c r="CF159" t="s">
        <v>2125</v>
      </c>
      <c r="CG159" t="s">
        <v>558</v>
      </c>
      <c r="CH159" t="s">
        <v>2398</v>
      </c>
      <c r="CI159" t="s">
        <v>430</v>
      </c>
      <c r="CJ159" t="s">
        <v>559</v>
      </c>
      <c r="CK159" t="s">
        <v>2399</v>
      </c>
      <c r="CO159" t="s">
        <v>2400</v>
      </c>
      <c r="CP159" t="s">
        <v>2401</v>
      </c>
      <c r="CQ159" t="s">
        <v>2402</v>
      </c>
      <c r="CR159" t="s">
        <v>2403</v>
      </c>
      <c r="CT159" t="s">
        <v>2404</v>
      </c>
      <c r="CU159" t="s">
        <v>2405</v>
      </c>
      <c r="CV159" t="s">
        <v>567</v>
      </c>
      <c r="CW159" t="s">
        <v>388</v>
      </c>
      <c r="CX159" t="s">
        <v>481</v>
      </c>
      <c r="CY159" t="s">
        <v>517</v>
      </c>
      <c r="CZ159" t="s">
        <v>569</v>
      </c>
      <c r="DA159" t="s">
        <v>1747</v>
      </c>
      <c r="DB159" t="s">
        <v>1748</v>
      </c>
      <c r="DC159" t="s">
        <v>419</v>
      </c>
      <c r="DD159" t="s">
        <v>571</v>
      </c>
      <c r="DE159" t="s">
        <v>2395</v>
      </c>
      <c r="DF159" t="s">
        <v>421</v>
      </c>
      <c r="DH159" t="s">
        <v>886</v>
      </c>
      <c r="DI159" t="s">
        <v>887</v>
      </c>
      <c r="DJ159" t="s">
        <v>888</v>
      </c>
      <c r="DK159" t="s">
        <v>889</v>
      </c>
      <c r="DL159" t="s">
        <v>426</v>
      </c>
      <c r="DN159" t="s">
        <v>395</v>
      </c>
      <c r="DO159" t="s">
        <v>2381</v>
      </c>
      <c r="DP159" t="s">
        <v>401</v>
      </c>
      <c r="DQ159" t="s">
        <v>395</v>
      </c>
      <c r="DR159" t="s">
        <v>395</v>
      </c>
      <c r="DS159" t="s">
        <v>2406</v>
      </c>
      <c r="DT159" t="s">
        <v>675</v>
      </c>
      <c r="DU159" t="s">
        <v>669</v>
      </c>
      <c r="DV159" t="s">
        <v>669</v>
      </c>
      <c r="DY159" t="s">
        <v>1288</v>
      </c>
      <c r="EA159" t="s">
        <v>1288</v>
      </c>
      <c r="EB159" t="s">
        <v>1288</v>
      </c>
      <c r="EC159" t="s">
        <v>395</v>
      </c>
      <c r="ED159" t="s">
        <v>1307</v>
      </c>
      <c r="EE159" t="s">
        <v>573</v>
      </c>
      <c r="EF159" t="s">
        <v>492</v>
      </c>
      <c r="EG159" t="s">
        <v>779</v>
      </c>
      <c r="EH159" t="s">
        <v>430</v>
      </c>
      <c r="EI159" t="s">
        <v>431</v>
      </c>
      <c r="EJ159" t="s">
        <v>780</v>
      </c>
      <c r="EK159" t="s">
        <v>779</v>
      </c>
      <c r="EL159" t="s">
        <v>430</v>
      </c>
      <c r="EM159" t="s">
        <v>431</v>
      </c>
      <c r="EQ159" t="s">
        <v>1382</v>
      </c>
      <c r="ET159" t="s">
        <v>1288</v>
      </c>
      <c r="EW159" t="s">
        <v>432</v>
      </c>
      <c r="FA159" t="s">
        <v>404</v>
      </c>
      <c r="FB159" t="s">
        <v>26</v>
      </c>
    </row>
    <row r="160" spans="1:158">
      <c r="A160">
        <v>154</v>
      </c>
      <c r="B160" t="s">
        <v>2407</v>
      </c>
      <c r="C160" t="s">
        <v>2408</v>
      </c>
      <c r="D160" t="s">
        <v>362</v>
      </c>
      <c r="E160">
        <v>1</v>
      </c>
      <c r="F160" t="s">
        <v>2409</v>
      </c>
      <c r="G160" t="s">
        <v>952</v>
      </c>
      <c r="H160" t="s">
        <v>743</v>
      </c>
      <c r="I160" t="s">
        <v>579</v>
      </c>
      <c r="J160">
        <v>154</v>
      </c>
      <c r="O160" t="s">
        <v>441</v>
      </c>
      <c r="R160" t="s">
        <v>503</v>
      </c>
      <c r="AA160" t="s">
        <v>2410</v>
      </c>
      <c r="CC160" t="s">
        <v>406</v>
      </c>
      <c r="CI160" t="s">
        <v>404</v>
      </c>
      <c r="EH160" t="s">
        <v>430</v>
      </c>
      <c r="EL160" t="s">
        <v>430</v>
      </c>
      <c r="FA160" t="s">
        <v>404</v>
      </c>
    </row>
    <row r="161" spans="1:158">
      <c r="A161">
        <v>11</v>
      </c>
      <c r="B161" t="s">
        <v>2411</v>
      </c>
      <c r="C161" t="s">
        <v>843</v>
      </c>
      <c r="D161" t="s">
        <v>842</v>
      </c>
      <c r="E161">
        <v>1</v>
      </c>
      <c r="F161" t="s">
        <v>978</v>
      </c>
      <c r="G161" t="s">
        <v>979</v>
      </c>
      <c r="H161" t="s">
        <v>846</v>
      </c>
      <c r="I161" t="s">
        <v>847</v>
      </c>
      <c r="J161">
        <v>11</v>
      </c>
      <c r="K161" t="s">
        <v>378</v>
      </c>
      <c r="L161" t="s">
        <v>367</v>
      </c>
      <c r="O161" t="s">
        <v>533</v>
      </c>
      <c r="R161" t="s">
        <v>370</v>
      </c>
      <c r="T161" t="s">
        <v>383</v>
      </c>
      <c r="V161" t="s">
        <v>1092</v>
      </c>
      <c r="X161" t="s">
        <v>2412</v>
      </c>
      <c r="Z161" t="s">
        <v>926</v>
      </c>
      <c r="AA161" t="s">
        <v>839</v>
      </c>
      <c r="AB161" t="s">
        <v>2413</v>
      </c>
      <c r="AF161" t="s">
        <v>653</v>
      </c>
      <c r="AG161" t="s">
        <v>654</v>
      </c>
      <c r="AH161" t="s">
        <v>1866</v>
      </c>
      <c r="AI161" t="s">
        <v>2414</v>
      </c>
      <c r="AJ161" t="s">
        <v>177</v>
      </c>
      <c r="AK161" t="s">
        <v>2415</v>
      </c>
      <c r="AL161" t="s">
        <v>1866</v>
      </c>
      <c r="AM161" t="s">
        <v>2416</v>
      </c>
      <c r="AN161" t="s">
        <v>2417</v>
      </c>
      <c r="AQ161" t="s">
        <v>689</v>
      </c>
      <c r="AS161" t="s">
        <v>388</v>
      </c>
      <c r="AT161" t="s">
        <v>660</v>
      </c>
      <c r="AU161" t="s">
        <v>825</v>
      </c>
      <c r="AW161" t="s">
        <v>2418</v>
      </c>
      <c r="AX161" t="s">
        <v>2419</v>
      </c>
      <c r="AY161" t="s">
        <v>2420</v>
      </c>
      <c r="AZ161" t="s">
        <v>395</v>
      </c>
      <c r="BB161" t="s">
        <v>533</v>
      </c>
      <c r="BC161" t="s">
        <v>2421</v>
      </c>
      <c r="BD161" t="s">
        <v>383</v>
      </c>
      <c r="BF161" t="s">
        <v>2422</v>
      </c>
      <c r="BG161" t="s">
        <v>395</v>
      </c>
      <c r="BH161" t="s">
        <v>666</v>
      </c>
      <c r="BI161" t="s">
        <v>2423</v>
      </c>
      <c r="BK161" t="s">
        <v>2422</v>
      </c>
      <c r="BM161" t="s">
        <v>2424</v>
      </c>
      <c r="BN161" t="s">
        <v>2425</v>
      </c>
      <c r="BR161" t="s">
        <v>2426</v>
      </c>
      <c r="BS161" t="s">
        <v>395</v>
      </c>
      <c r="BT161" t="s">
        <v>2426</v>
      </c>
      <c r="CA161" t="s">
        <v>2427</v>
      </c>
      <c r="CC161" t="s">
        <v>406</v>
      </c>
      <c r="CD161" t="s">
        <v>395</v>
      </c>
      <c r="CF161" t="s">
        <v>847</v>
      </c>
      <c r="CG161" t="s">
        <v>695</v>
      </c>
      <c r="CH161" t="s">
        <v>2428</v>
      </c>
      <c r="CI161" t="s">
        <v>430</v>
      </c>
      <c r="CJ161" t="s">
        <v>559</v>
      </c>
      <c r="CK161" t="s">
        <v>843</v>
      </c>
      <c r="CL161" t="s">
        <v>2421</v>
      </c>
      <c r="CM161" t="s">
        <v>2420</v>
      </c>
      <c r="CO161" t="s">
        <v>2429</v>
      </c>
      <c r="CP161" t="s">
        <v>2430</v>
      </c>
      <c r="CQ161" t="s">
        <v>2431</v>
      </c>
      <c r="CR161" t="s">
        <v>2432</v>
      </c>
      <c r="CT161" t="s">
        <v>2433</v>
      </c>
      <c r="CU161" t="s">
        <v>2434</v>
      </c>
      <c r="CV161" t="s">
        <v>416</v>
      </c>
      <c r="CW161" t="s">
        <v>388</v>
      </c>
      <c r="CX161" t="s">
        <v>840</v>
      </c>
      <c r="CY161" t="s">
        <v>26</v>
      </c>
      <c r="CZ161" t="s">
        <v>569</v>
      </c>
      <c r="DA161" t="s">
        <v>2093</v>
      </c>
      <c r="DB161" t="s">
        <v>2435</v>
      </c>
      <c r="DC161" t="s">
        <v>1029</v>
      </c>
      <c r="DL161" t="s">
        <v>2436</v>
      </c>
      <c r="DN161" t="s">
        <v>395</v>
      </c>
      <c r="DO161" t="s">
        <v>979</v>
      </c>
      <c r="DP161" t="s">
        <v>395</v>
      </c>
      <c r="DQ161" t="s">
        <v>395</v>
      </c>
      <c r="DR161" t="s">
        <v>395</v>
      </c>
      <c r="DS161" t="s">
        <v>2437</v>
      </c>
      <c r="DT161" t="s">
        <v>2438</v>
      </c>
      <c r="DU161" t="s">
        <v>2438</v>
      </c>
      <c r="DV161" t="s">
        <v>2438</v>
      </c>
      <c r="EB161" t="s">
        <v>395</v>
      </c>
      <c r="EC161" t="s">
        <v>395</v>
      </c>
      <c r="ED161" t="s">
        <v>2439</v>
      </c>
      <c r="EE161" t="s">
        <v>2421</v>
      </c>
      <c r="EF161" t="s">
        <v>492</v>
      </c>
      <c r="EG161" t="s">
        <v>492</v>
      </c>
      <c r="EH161" t="s">
        <v>430</v>
      </c>
      <c r="EI161" t="s">
        <v>431</v>
      </c>
      <c r="EJ161" t="s">
        <v>429</v>
      </c>
      <c r="EK161" t="s">
        <v>492</v>
      </c>
      <c r="EL161" t="s">
        <v>430</v>
      </c>
      <c r="EM161" t="s">
        <v>431</v>
      </c>
      <c r="EW161" t="s">
        <v>471</v>
      </c>
      <c r="FA161" t="s">
        <v>404</v>
      </c>
      <c r="FB161" t="s">
        <v>26</v>
      </c>
    </row>
    <row r="162" spans="1:158">
      <c r="A162">
        <v>111</v>
      </c>
      <c r="B162" t="s">
        <v>2440</v>
      </c>
      <c r="C162" t="s">
        <v>2441</v>
      </c>
      <c r="D162" t="s">
        <v>362</v>
      </c>
      <c r="E162">
        <v>0</v>
      </c>
      <c r="G162" t="s">
        <v>362</v>
      </c>
      <c r="H162" t="s">
        <v>362</v>
      </c>
      <c r="I162" t="s">
        <v>362</v>
      </c>
      <c r="J162">
        <v>111</v>
      </c>
      <c r="O162" t="s">
        <v>441</v>
      </c>
      <c r="R162" t="s">
        <v>1047</v>
      </c>
      <c r="AU162" t="s">
        <v>471</v>
      </c>
      <c r="BF162" t="s">
        <v>489</v>
      </c>
      <c r="CC162" t="s">
        <v>406</v>
      </c>
      <c r="CI162" t="s">
        <v>404</v>
      </c>
      <c r="CO162" t="s">
        <v>490</v>
      </c>
      <c r="DT162" t="s">
        <v>491</v>
      </c>
      <c r="EF162" t="s">
        <v>492</v>
      </c>
      <c r="EG162" t="s">
        <v>522</v>
      </c>
      <c r="EK162" t="s">
        <v>522</v>
      </c>
      <c r="FA162" t="s">
        <v>404</v>
      </c>
    </row>
    <row r="163" spans="1:158">
      <c r="A163">
        <v>54</v>
      </c>
      <c r="B163" t="s">
        <v>2442</v>
      </c>
      <c r="C163" t="s">
        <v>1215</v>
      </c>
      <c r="D163" t="s">
        <v>1299</v>
      </c>
      <c r="E163">
        <v>1</v>
      </c>
      <c r="F163" t="s">
        <v>1216</v>
      </c>
      <c r="G163" t="s">
        <v>1217</v>
      </c>
      <c r="H163" t="s">
        <v>1218</v>
      </c>
      <c r="I163" t="s">
        <v>1219</v>
      </c>
      <c r="J163">
        <v>54</v>
      </c>
      <c r="O163" t="s">
        <v>533</v>
      </c>
      <c r="R163" t="s">
        <v>370</v>
      </c>
      <c r="X163" t="s">
        <v>2443</v>
      </c>
      <c r="AA163" t="s">
        <v>1220</v>
      </c>
      <c r="AF163" t="s">
        <v>729</v>
      </c>
      <c r="AG163" t="s">
        <v>430</v>
      </c>
      <c r="AH163" t="s">
        <v>905</v>
      </c>
      <c r="AI163" t="s">
        <v>2444</v>
      </c>
      <c r="AJ163" t="s">
        <v>907</v>
      </c>
      <c r="AL163" t="s">
        <v>729</v>
      </c>
      <c r="AN163" t="s">
        <v>2445</v>
      </c>
      <c r="AU163" t="s">
        <v>444</v>
      </c>
      <c r="AW163" t="s">
        <v>1303</v>
      </c>
      <c r="AX163" t="s">
        <v>1304</v>
      </c>
      <c r="AY163" t="s">
        <v>663</v>
      </c>
      <c r="BB163" t="s">
        <v>664</v>
      </c>
      <c r="BF163" t="s">
        <v>1276</v>
      </c>
      <c r="BM163" t="s">
        <v>2446</v>
      </c>
      <c r="BN163" t="s">
        <v>554</v>
      </c>
      <c r="BT163" t="s">
        <v>2447</v>
      </c>
      <c r="CC163" t="s">
        <v>406</v>
      </c>
      <c r="CG163" t="s">
        <v>558</v>
      </c>
      <c r="CI163" t="s">
        <v>404</v>
      </c>
      <c r="CJ163" t="s">
        <v>1619</v>
      </c>
      <c r="CO163" t="s">
        <v>671</v>
      </c>
      <c r="CU163" t="s">
        <v>2448</v>
      </c>
      <c r="CX163" t="s">
        <v>673</v>
      </c>
      <c r="CZ163" t="s">
        <v>569</v>
      </c>
      <c r="DS163" t="s">
        <v>2449</v>
      </c>
      <c r="DT163" t="s">
        <v>634</v>
      </c>
      <c r="EF163" t="s">
        <v>492</v>
      </c>
      <c r="EG163" t="s">
        <v>492</v>
      </c>
      <c r="EH163" t="s">
        <v>430</v>
      </c>
      <c r="EK163" t="s">
        <v>492</v>
      </c>
      <c r="EL163" t="s">
        <v>430</v>
      </c>
      <c r="EW163" t="s">
        <v>444</v>
      </c>
      <c r="FA163" t="s">
        <v>404</v>
      </c>
      <c r="FB163" t="s">
        <v>1311</v>
      </c>
    </row>
    <row r="164" spans="1:158">
      <c r="A164">
        <v>91</v>
      </c>
      <c r="B164" t="s">
        <v>2450</v>
      </c>
      <c r="C164" t="s">
        <v>2451</v>
      </c>
      <c r="D164" t="s">
        <v>362</v>
      </c>
      <c r="E164">
        <v>0</v>
      </c>
      <c r="G164" t="s">
        <v>362</v>
      </c>
      <c r="H164" t="s">
        <v>362</v>
      </c>
      <c r="I164" t="s">
        <v>362</v>
      </c>
      <c r="J164">
        <v>91</v>
      </c>
      <c r="O164" t="s">
        <v>441</v>
      </c>
      <c r="R164" t="s">
        <v>370</v>
      </c>
      <c r="AU164" t="s">
        <v>471</v>
      </c>
      <c r="BF164" t="s">
        <v>399</v>
      </c>
      <c r="CC164" t="s">
        <v>406</v>
      </c>
      <c r="CO164" t="s">
        <v>2452</v>
      </c>
      <c r="DT164" t="s">
        <v>399</v>
      </c>
      <c r="EF164" t="s">
        <v>492</v>
      </c>
      <c r="EG164" t="s">
        <v>492</v>
      </c>
      <c r="EK164" t="s">
        <v>492</v>
      </c>
      <c r="FA164" t="s">
        <v>404</v>
      </c>
    </row>
    <row r="165" spans="1:158">
      <c r="A165">
        <v>197</v>
      </c>
      <c r="B165" t="s">
        <v>2453</v>
      </c>
      <c r="C165" t="s">
        <v>2454</v>
      </c>
      <c r="D165" t="s">
        <v>362</v>
      </c>
      <c r="E165">
        <v>0</v>
      </c>
      <c r="G165" t="s">
        <v>362</v>
      </c>
      <c r="H165" t="s">
        <v>362</v>
      </c>
      <c r="I165" t="s">
        <v>362</v>
      </c>
      <c r="J165">
        <v>197</v>
      </c>
      <c r="O165" t="s">
        <v>441</v>
      </c>
      <c r="R165" t="s">
        <v>480</v>
      </c>
      <c r="CC165" t="s">
        <v>406</v>
      </c>
      <c r="CI165" t="s">
        <v>404</v>
      </c>
      <c r="CX165" t="s">
        <v>26</v>
      </c>
      <c r="FA165" t="s">
        <v>404</v>
      </c>
    </row>
    <row r="166" spans="1:158">
      <c r="A166">
        <v>214</v>
      </c>
      <c r="B166" t="s">
        <v>175</v>
      </c>
      <c r="C166" t="s">
        <v>178</v>
      </c>
      <c r="D166" t="s">
        <v>2455</v>
      </c>
      <c r="E166">
        <v>1</v>
      </c>
      <c r="F166" t="s">
        <v>2456</v>
      </c>
      <c r="G166" t="s">
        <v>2457</v>
      </c>
      <c r="H166" t="s">
        <v>1549</v>
      </c>
      <c r="I166" t="s">
        <v>1550</v>
      </c>
      <c r="J166">
        <v>214</v>
      </c>
      <c r="K166" t="s">
        <v>531</v>
      </c>
      <c r="M166" t="s">
        <v>2458</v>
      </c>
      <c r="N166" t="s">
        <v>369</v>
      </c>
      <c r="O166" t="s">
        <v>533</v>
      </c>
      <c r="Q166" t="s">
        <v>395</v>
      </c>
      <c r="R166" t="s">
        <v>370</v>
      </c>
      <c r="S166" t="s">
        <v>395</v>
      </c>
      <c r="T166" t="s">
        <v>383</v>
      </c>
      <c r="V166" t="s">
        <v>383</v>
      </c>
      <c r="W166" t="s">
        <v>395</v>
      </c>
      <c r="X166" t="s">
        <v>2459</v>
      </c>
      <c r="Y166" t="s">
        <v>395</v>
      </c>
      <c r="Z166" t="s">
        <v>378</v>
      </c>
      <c r="AA166" t="s">
        <v>178</v>
      </c>
      <c r="AB166" t="s">
        <v>859</v>
      </c>
      <c r="AD166" t="s">
        <v>2460</v>
      </c>
      <c r="AE166" t="s">
        <v>1335</v>
      </c>
      <c r="AI166" t="s">
        <v>2461</v>
      </c>
      <c r="AM166" t="s">
        <v>2082</v>
      </c>
      <c r="AN166" t="s">
        <v>2462</v>
      </c>
      <c r="AQ166" t="s">
        <v>689</v>
      </c>
      <c r="AR166" t="s">
        <v>542</v>
      </c>
      <c r="AS166" t="s">
        <v>2092</v>
      </c>
      <c r="AU166" t="s">
        <v>389</v>
      </c>
      <c r="AV166" t="s">
        <v>2463</v>
      </c>
      <c r="AW166" t="s">
        <v>2464</v>
      </c>
      <c r="AX166" t="s">
        <v>2465</v>
      </c>
      <c r="AY166" t="s">
        <v>547</v>
      </c>
      <c r="AZ166" t="s">
        <v>2466</v>
      </c>
      <c r="BA166" t="s">
        <v>533</v>
      </c>
      <c r="BB166" t="s">
        <v>542</v>
      </c>
      <c r="BC166" t="s">
        <v>549</v>
      </c>
      <c r="BD166" t="s">
        <v>2467</v>
      </c>
      <c r="BE166" t="s">
        <v>1565</v>
      </c>
      <c r="BF166" t="s">
        <v>2468</v>
      </c>
      <c r="BG166" t="s">
        <v>2469</v>
      </c>
      <c r="BK166" t="s">
        <v>2468</v>
      </c>
      <c r="BL166" t="s">
        <v>869</v>
      </c>
      <c r="BM166" t="s">
        <v>2470</v>
      </c>
      <c r="BO166" t="s">
        <v>395</v>
      </c>
      <c r="BP166" t="s">
        <v>395</v>
      </c>
      <c r="BQ166" t="s">
        <v>395</v>
      </c>
      <c r="BR166" t="s">
        <v>1542</v>
      </c>
      <c r="BS166" t="s">
        <v>1393</v>
      </c>
      <c r="BU166" t="s">
        <v>401</v>
      </c>
      <c r="BV166" t="s">
        <v>1393</v>
      </c>
      <c r="BW166" t="s">
        <v>395</v>
      </c>
      <c r="BX166" t="s">
        <v>395</v>
      </c>
      <c r="BY166" t="s">
        <v>395</v>
      </c>
      <c r="BZ166" t="s">
        <v>404</v>
      </c>
      <c r="CA166" t="s">
        <v>2471</v>
      </c>
      <c r="CB166" t="s">
        <v>395</v>
      </c>
      <c r="CC166" t="s">
        <v>533</v>
      </c>
      <c r="CD166" t="s">
        <v>395</v>
      </c>
      <c r="CE166" t="s">
        <v>395</v>
      </c>
      <c r="CF166" t="s">
        <v>1550</v>
      </c>
      <c r="CG166" t="s">
        <v>558</v>
      </c>
      <c r="CH166" t="s">
        <v>2472</v>
      </c>
      <c r="CI166" t="s">
        <v>430</v>
      </c>
      <c r="CJ166" t="s">
        <v>559</v>
      </c>
      <c r="CK166" t="s">
        <v>2473</v>
      </c>
      <c r="CO166" t="s">
        <v>2474</v>
      </c>
      <c r="CP166" t="s">
        <v>2475</v>
      </c>
      <c r="CQ166" t="s">
        <v>2476</v>
      </c>
      <c r="CR166" t="s">
        <v>2477</v>
      </c>
      <c r="CT166" t="s">
        <v>2478</v>
      </c>
      <c r="CU166" t="s">
        <v>2405</v>
      </c>
      <c r="CV166" t="s">
        <v>2479</v>
      </c>
      <c r="CW166" t="s">
        <v>388</v>
      </c>
      <c r="CX166" t="s">
        <v>481</v>
      </c>
      <c r="CY166" t="s">
        <v>517</v>
      </c>
      <c r="CZ166" t="s">
        <v>1394</v>
      </c>
      <c r="DA166" t="s">
        <v>418</v>
      </c>
      <c r="DB166" t="s">
        <v>570</v>
      </c>
      <c r="DC166" t="s">
        <v>419</v>
      </c>
      <c r="DD166" t="s">
        <v>571</v>
      </c>
      <c r="DE166" t="s">
        <v>2468</v>
      </c>
      <c r="DF166" t="s">
        <v>421</v>
      </c>
      <c r="DG166" t="s">
        <v>395</v>
      </c>
      <c r="DH166" t="s">
        <v>1019</v>
      </c>
      <c r="DI166" t="s">
        <v>1019</v>
      </c>
      <c r="DJ166" t="s">
        <v>1019</v>
      </c>
      <c r="DK166" t="s">
        <v>1019</v>
      </c>
      <c r="DL166" t="s">
        <v>426</v>
      </c>
      <c r="DM166" t="s">
        <v>395</v>
      </c>
      <c r="DN166" t="s">
        <v>401</v>
      </c>
      <c r="DO166" t="s">
        <v>2457</v>
      </c>
      <c r="DP166" t="s">
        <v>395</v>
      </c>
      <c r="DQ166" t="s">
        <v>395</v>
      </c>
      <c r="DR166" t="s">
        <v>395</v>
      </c>
      <c r="DS166" t="s">
        <v>2480</v>
      </c>
      <c r="DT166" t="s">
        <v>1470</v>
      </c>
      <c r="DU166" t="s">
        <v>1415</v>
      </c>
      <c r="DV166" t="s">
        <v>1415</v>
      </c>
      <c r="DW166" t="s">
        <v>653</v>
      </c>
      <c r="DY166" t="s">
        <v>1393</v>
      </c>
      <c r="DZ166" t="s">
        <v>395</v>
      </c>
      <c r="EA166" t="s">
        <v>1393</v>
      </c>
      <c r="EB166" t="s">
        <v>1393</v>
      </c>
      <c r="EC166" t="s">
        <v>395</v>
      </c>
      <c r="ED166" t="s">
        <v>703</v>
      </c>
      <c r="EE166" t="s">
        <v>573</v>
      </c>
      <c r="EF166" t="s">
        <v>429</v>
      </c>
      <c r="EG166" t="s">
        <v>429</v>
      </c>
      <c r="EH166" t="s">
        <v>430</v>
      </c>
      <c r="EI166" t="s">
        <v>520</v>
      </c>
      <c r="EJ166" t="s">
        <v>429</v>
      </c>
      <c r="EK166" t="s">
        <v>2481</v>
      </c>
      <c r="EL166" t="s">
        <v>430</v>
      </c>
      <c r="EM166" t="s">
        <v>431</v>
      </c>
      <c r="EN166" t="s">
        <v>395</v>
      </c>
      <c r="EO166" t="s">
        <v>395</v>
      </c>
      <c r="EP166" t="s">
        <v>395</v>
      </c>
      <c r="EQ166" t="s">
        <v>891</v>
      </c>
      <c r="ER166" t="s">
        <v>395</v>
      </c>
      <c r="ES166" t="s">
        <v>891</v>
      </c>
      <c r="ET166" t="s">
        <v>891</v>
      </c>
      <c r="EU166" t="s">
        <v>395</v>
      </c>
      <c r="EV166" t="s">
        <v>395</v>
      </c>
      <c r="EW166" t="s">
        <v>432</v>
      </c>
      <c r="EX166" t="s">
        <v>395</v>
      </c>
      <c r="EY166" t="s">
        <v>395</v>
      </c>
      <c r="EZ166" t="s">
        <v>395</v>
      </c>
      <c r="FA166" t="s">
        <v>404</v>
      </c>
      <c r="FB166" t="s">
        <v>26</v>
      </c>
    </row>
    <row r="167" spans="1:158">
      <c r="A167">
        <v>237</v>
      </c>
      <c r="B167" t="s">
        <v>49</v>
      </c>
      <c r="C167" t="s">
        <v>50</v>
      </c>
      <c r="D167" t="s">
        <v>362</v>
      </c>
      <c r="E167">
        <v>1</v>
      </c>
      <c r="G167" t="s">
        <v>362</v>
      </c>
      <c r="H167" t="s">
        <v>362</v>
      </c>
      <c r="I167" t="s">
        <v>362</v>
      </c>
      <c r="J167">
        <v>237</v>
      </c>
      <c r="R167" t="s">
        <v>370</v>
      </c>
      <c r="CC167" t="s">
        <v>406</v>
      </c>
      <c r="CI167" t="s">
        <v>430</v>
      </c>
      <c r="CX167" t="s">
        <v>2482</v>
      </c>
      <c r="CY167" t="s">
        <v>26</v>
      </c>
      <c r="FA167" t="s">
        <v>404</v>
      </c>
    </row>
    <row r="168" spans="1:158">
      <c r="A168">
        <v>220</v>
      </c>
      <c r="B168" t="s">
        <v>2483</v>
      </c>
      <c r="C168" t="s">
        <v>190</v>
      </c>
      <c r="D168" t="s">
        <v>362</v>
      </c>
      <c r="E168">
        <v>0</v>
      </c>
      <c r="G168" t="s">
        <v>362</v>
      </c>
      <c r="H168" t="s">
        <v>362</v>
      </c>
      <c r="I168" t="s">
        <v>362</v>
      </c>
      <c r="J168">
        <v>220</v>
      </c>
      <c r="O168" t="s">
        <v>441</v>
      </c>
      <c r="R168" t="s">
        <v>480</v>
      </c>
      <c r="CC168" t="s">
        <v>406</v>
      </c>
      <c r="CI168" t="s">
        <v>430</v>
      </c>
      <c r="CX168" t="s">
        <v>840</v>
      </c>
      <c r="CY168" t="s">
        <v>568</v>
      </c>
      <c r="FA168" t="s">
        <v>404</v>
      </c>
    </row>
    <row r="169" spans="1:158">
      <c r="A169">
        <v>114</v>
      </c>
      <c r="B169" t="s">
        <v>2484</v>
      </c>
      <c r="C169" t="s">
        <v>2485</v>
      </c>
      <c r="D169" t="s">
        <v>362</v>
      </c>
      <c r="E169">
        <v>0</v>
      </c>
      <c r="G169" t="s">
        <v>362</v>
      </c>
      <c r="H169" t="s">
        <v>362</v>
      </c>
      <c r="I169" t="s">
        <v>362</v>
      </c>
      <c r="J169">
        <v>114</v>
      </c>
      <c r="O169" t="s">
        <v>441</v>
      </c>
      <c r="R169" t="s">
        <v>484</v>
      </c>
      <c r="AA169" t="s">
        <v>26</v>
      </c>
      <c r="AU169" t="s">
        <v>471</v>
      </c>
      <c r="BF169" t="s">
        <v>395</v>
      </c>
      <c r="CC169" t="s">
        <v>406</v>
      </c>
      <c r="CI169" t="s">
        <v>404</v>
      </c>
      <c r="CO169" t="s">
        <v>472</v>
      </c>
      <c r="DT169" t="s">
        <v>395</v>
      </c>
      <c r="EF169" t="s">
        <v>492</v>
      </c>
      <c r="EG169" t="s">
        <v>522</v>
      </c>
      <c r="EK169" t="s">
        <v>522</v>
      </c>
      <c r="EW169" t="s">
        <v>471</v>
      </c>
      <c r="FA169" t="s">
        <v>404</v>
      </c>
    </row>
    <row r="170" spans="1:158">
      <c r="A170">
        <v>68</v>
      </c>
      <c r="B170" t="s">
        <v>2486</v>
      </c>
      <c r="C170" t="s">
        <v>2487</v>
      </c>
      <c r="D170" t="s">
        <v>1418</v>
      </c>
      <c r="E170">
        <v>1</v>
      </c>
      <c r="F170" t="s">
        <v>1419</v>
      </c>
      <c r="G170" t="s">
        <v>1420</v>
      </c>
      <c r="H170" t="s">
        <v>1421</v>
      </c>
      <c r="I170" t="s">
        <v>1422</v>
      </c>
      <c r="J170">
        <v>68</v>
      </c>
      <c r="O170" t="s">
        <v>441</v>
      </c>
      <c r="R170" t="s">
        <v>442</v>
      </c>
      <c r="AA170" t="s">
        <v>1418</v>
      </c>
      <c r="AU170" t="s">
        <v>471</v>
      </c>
      <c r="CC170" t="s">
        <v>406</v>
      </c>
      <c r="CI170" t="s">
        <v>404</v>
      </c>
      <c r="CJ170" t="s">
        <v>448</v>
      </c>
      <c r="CX170" t="s">
        <v>26</v>
      </c>
      <c r="EH170" t="s">
        <v>430</v>
      </c>
      <c r="EL170" t="s">
        <v>430</v>
      </c>
      <c r="EW170" t="s">
        <v>471</v>
      </c>
      <c r="FA170" t="s">
        <v>404</v>
      </c>
    </row>
    <row r="171" spans="1:158">
      <c r="A171">
        <v>174</v>
      </c>
      <c r="B171" t="s">
        <v>2488</v>
      </c>
      <c r="C171" t="s">
        <v>2489</v>
      </c>
      <c r="D171" t="s">
        <v>362</v>
      </c>
      <c r="E171">
        <v>0</v>
      </c>
      <c r="G171" t="s">
        <v>362</v>
      </c>
      <c r="H171" t="s">
        <v>362</v>
      </c>
      <c r="I171" t="s">
        <v>362</v>
      </c>
      <c r="J171">
        <v>174</v>
      </c>
      <c r="O171" t="s">
        <v>441</v>
      </c>
      <c r="R171" t="s">
        <v>480</v>
      </c>
      <c r="AU171" t="s">
        <v>389</v>
      </c>
      <c r="CC171" t="s">
        <v>406</v>
      </c>
      <c r="CI171" t="s">
        <v>404</v>
      </c>
      <c r="CX171" t="s">
        <v>481</v>
      </c>
      <c r="EH171" t="s">
        <v>430</v>
      </c>
      <c r="EL171" t="s">
        <v>430</v>
      </c>
      <c r="FA171" t="s">
        <v>404</v>
      </c>
    </row>
    <row r="172" spans="1:158">
      <c r="A172">
        <v>74</v>
      </c>
      <c r="B172" t="s">
        <v>508</v>
      </c>
      <c r="C172" t="s">
        <v>2490</v>
      </c>
      <c r="D172" t="s">
        <v>362</v>
      </c>
      <c r="E172">
        <v>0</v>
      </c>
      <c r="F172" t="s">
        <v>2491</v>
      </c>
      <c r="G172" t="s">
        <v>2492</v>
      </c>
      <c r="H172" t="s">
        <v>2490</v>
      </c>
      <c r="I172" t="s">
        <v>2493</v>
      </c>
      <c r="J172">
        <v>74</v>
      </c>
      <c r="O172" t="s">
        <v>441</v>
      </c>
      <c r="R172" t="s">
        <v>370</v>
      </c>
      <c r="AA172" t="s">
        <v>2490</v>
      </c>
      <c r="AN172" t="s">
        <v>2494</v>
      </c>
      <c r="AU172" t="s">
        <v>825</v>
      </c>
      <c r="BF172" t="s">
        <v>768</v>
      </c>
      <c r="BM172" t="s">
        <v>2495</v>
      </c>
      <c r="BN172" t="s">
        <v>554</v>
      </c>
      <c r="BT172" t="s">
        <v>1361</v>
      </c>
      <c r="CC172" t="s">
        <v>406</v>
      </c>
      <c r="CO172" t="s">
        <v>2496</v>
      </c>
      <c r="CU172" t="s">
        <v>2308</v>
      </c>
      <c r="CZ172" t="s">
        <v>569</v>
      </c>
      <c r="DS172" t="s">
        <v>2494</v>
      </c>
      <c r="DT172" t="s">
        <v>1967</v>
      </c>
      <c r="EW172" t="s">
        <v>825</v>
      </c>
      <c r="FA172" t="s">
        <v>404</v>
      </c>
      <c r="FB172" t="s">
        <v>2497</v>
      </c>
    </row>
    <row r="173" spans="1:158">
      <c r="A173">
        <v>157</v>
      </c>
      <c r="B173" t="s">
        <v>2498</v>
      </c>
      <c r="C173" t="s">
        <v>197</v>
      </c>
      <c r="D173" t="s">
        <v>197</v>
      </c>
      <c r="E173">
        <v>1</v>
      </c>
      <c r="F173" t="s">
        <v>2499</v>
      </c>
      <c r="G173" t="s">
        <v>2500</v>
      </c>
      <c r="H173" t="s">
        <v>2295</v>
      </c>
      <c r="I173" t="s">
        <v>2501</v>
      </c>
      <c r="J173">
        <v>157</v>
      </c>
      <c r="K173" t="s">
        <v>531</v>
      </c>
      <c r="M173" t="s">
        <v>2502</v>
      </c>
      <c r="N173" t="s">
        <v>369</v>
      </c>
      <c r="O173" t="s">
        <v>533</v>
      </c>
      <c r="R173" t="s">
        <v>370</v>
      </c>
      <c r="T173" t="s">
        <v>2503</v>
      </c>
      <c r="U173" t="s">
        <v>177</v>
      </c>
      <c r="V173" t="s">
        <v>2503</v>
      </c>
      <c r="W173" t="s">
        <v>2504</v>
      </c>
      <c r="X173" t="s">
        <v>2505</v>
      </c>
      <c r="Z173" t="s">
        <v>378</v>
      </c>
      <c r="AA173" t="s">
        <v>197</v>
      </c>
      <c r="AB173" t="s">
        <v>2302</v>
      </c>
      <c r="AE173" t="s">
        <v>508</v>
      </c>
      <c r="AI173" t="s">
        <v>2506</v>
      </c>
      <c r="AM173" t="s">
        <v>1599</v>
      </c>
      <c r="AN173" t="s">
        <v>2507</v>
      </c>
      <c r="AP173" t="s">
        <v>2508</v>
      </c>
      <c r="AQ173" t="s">
        <v>387</v>
      </c>
      <c r="AS173" t="s">
        <v>543</v>
      </c>
      <c r="AU173" t="s">
        <v>471</v>
      </c>
      <c r="AV173" t="s">
        <v>1735</v>
      </c>
      <c r="AW173" t="s">
        <v>2509</v>
      </c>
      <c r="AX173" t="s">
        <v>1340</v>
      </c>
      <c r="AY173" t="s">
        <v>547</v>
      </c>
      <c r="AZ173" t="s">
        <v>395</v>
      </c>
      <c r="BB173" t="s">
        <v>542</v>
      </c>
      <c r="BC173" t="s">
        <v>549</v>
      </c>
      <c r="BD173" t="s">
        <v>2510</v>
      </c>
      <c r="BE173" t="s">
        <v>2309</v>
      </c>
      <c r="BF173" t="s">
        <v>2511</v>
      </c>
      <c r="BG173" t="s">
        <v>395</v>
      </c>
      <c r="BK173" t="s">
        <v>2511</v>
      </c>
      <c r="BL173" t="s">
        <v>2310</v>
      </c>
      <c r="BM173" t="s">
        <v>2512</v>
      </c>
      <c r="BN173" t="s">
        <v>554</v>
      </c>
      <c r="BR173" t="s">
        <v>441</v>
      </c>
      <c r="BS173" t="s">
        <v>395</v>
      </c>
      <c r="BT173" t="s">
        <v>1238</v>
      </c>
      <c r="BU173" t="s">
        <v>403</v>
      </c>
      <c r="BZ173" t="s">
        <v>404</v>
      </c>
      <c r="CA173" t="s">
        <v>2513</v>
      </c>
      <c r="CC173" t="s">
        <v>406</v>
      </c>
      <c r="CD173" t="s">
        <v>395</v>
      </c>
      <c r="CE173" t="s">
        <v>2514</v>
      </c>
      <c r="CF173" t="s">
        <v>2501</v>
      </c>
      <c r="CG173" t="s">
        <v>558</v>
      </c>
      <c r="CH173" t="s">
        <v>2515</v>
      </c>
      <c r="CI173" t="s">
        <v>430</v>
      </c>
      <c r="CJ173" t="s">
        <v>559</v>
      </c>
      <c r="CK173" t="s">
        <v>197</v>
      </c>
      <c r="CO173" t="s">
        <v>2516</v>
      </c>
      <c r="CP173" t="s">
        <v>2517</v>
      </c>
      <c r="CQ173" t="s">
        <v>2518</v>
      </c>
      <c r="CR173" t="s">
        <v>2519</v>
      </c>
      <c r="CS173" t="s">
        <v>2520</v>
      </c>
      <c r="CT173" t="s">
        <v>2521</v>
      </c>
      <c r="CU173" t="s">
        <v>2522</v>
      </c>
      <c r="CV173" t="s">
        <v>567</v>
      </c>
      <c r="CW173" t="s">
        <v>388</v>
      </c>
      <c r="CX173" t="s">
        <v>626</v>
      </c>
      <c r="CY173" t="s">
        <v>568</v>
      </c>
      <c r="CZ173" t="s">
        <v>569</v>
      </c>
      <c r="DA173" t="s">
        <v>418</v>
      </c>
      <c r="DB173" t="s">
        <v>570</v>
      </c>
      <c r="DC173" t="s">
        <v>419</v>
      </c>
      <c r="DF173" t="s">
        <v>421</v>
      </c>
      <c r="DH173" t="s">
        <v>886</v>
      </c>
      <c r="DI173" t="s">
        <v>887</v>
      </c>
      <c r="DJ173" t="s">
        <v>888</v>
      </c>
      <c r="DK173" t="s">
        <v>889</v>
      </c>
      <c r="DL173" t="s">
        <v>426</v>
      </c>
      <c r="DN173" t="s">
        <v>395</v>
      </c>
      <c r="DO173" t="s">
        <v>2500</v>
      </c>
      <c r="DP173" t="s">
        <v>395</v>
      </c>
      <c r="DQ173" t="s">
        <v>395</v>
      </c>
      <c r="DR173" t="s">
        <v>395</v>
      </c>
      <c r="DS173" t="s">
        <v>2523</v>
      </c>
      <c r="DT173" t="s">
        <v>1361</v>
      </c>
      <c r="DU173" t="s">
        <v>905</v>
      </c>
      <c r="DV173" t="s">
        <v>905</v>
      </c>
      <c r="DW173" t="s">
        <v>2524</v>
      </c>
      <c r="DY173" t="s">
        <v>718</v>
      </c>
      <c r="EA173" t="s">
        <v>718</v>
      </c>
      <c r="EB173" t="s">
        <v>718</v>
      </c>
      <c r="EC173" t="s">
        <v>399</v>
      </c>
      <c r="ED173" t="s">
        <v>1361</v>
      </c>
      <c r="EE173" t="s">
        <v>573</v>
      </c>
      <c r="EF173" t="s">
        <v>2525</v>
      </c>
      <c r="EG173" t="s">
        <v>429</v>
      </c>
      <c r="EH173" t="s">
        <v>430</v>
      </c>
      <c r="EI173" t="s">
        <v>639</v>
      </c>
      <c r="EJ173" t="s">
        <v>429</v>
      </c>
      <c r="EK173" t="s">
        <v>429</v>
      </c>
      <c r="EL173" t="s">
        <v>430</v>
      </c>
      <c r="EM173" t="s">
        <v>523</v>
      </c>
      <c r="EQ173" t="s">
        <v>873</v>
      </c>
      <c r="ER173" t="s">
        <v>401</v>
      </c>
      <c r="EW173" t="s">
        <v>1416</v>
      </c>
      <c r="FA173" t="s">
        <v>404</v>
      </c>
      <c r="FB173" t="s">
        <v>26</v>
      </c>
    </row>
    <row r="174" spans="1:158">
      <c r="A174">
        <v>137</v>
      </c>
      <c r="B174" t="s">
        <v>2526</v>
      </c>
      <c r="C174" t="s">
        <v>2527</v>
      </c>
      <c r="D174" t="s">
        <v>362</v>
      </c>
      <c r="E174">
        <v>1</v>
      </c>
      <c r="G174" t="s">
        <v>362</v>
      </c>
      <c r="H174" t="s">
        <v>362</v>
      </c>
      <c r="I174" t="s">
        <v>362</v>
      </c>
      <c r="J174">
        <v>137</v>
      </c>
      <c r="O174" t="s">
        <v>441</v>
      </c>
      <c r="CC174" t="s">
        <v>406</v>
      </c>
      <c r="CI174" t="s">
        <v>404</v>
      </c>
      <c r="FA174" t="s">
        <v>404</v>
      </c>
    </row>
    <row r="175" spans="1:158">
      <c r="A175">
        <v>51</v>
      </c>
      <c r="B175" t="s">
        <v>2528</v>
      </c>
      <c r="C175" t="s">
        <v>1941</v>
      </c>
      <c r="D175" t="s">
        <v>1941</v>
      </c>
      <c r="E175">
        <v>1</v>
      </c>
      <c r="F175" t="s">
        <v>1942</v>
      </c>
      <c r="G175" t="s">
        <v>1943</v>
      </c>
      <c r="H175" t="s">
        <v>650</v>
      </c>
      <c r="I175" t="s">
        <v>651</v>
      </c>
      <c r="J175">
        <v>51</v>
      </c>
      <c r="O175" t="s">
        <v>533</v>
      </c>
      <c r="R175" t="s">
        <v>370</v>
      </c>
      <c r="X175" t="s">
        <v>2529</v>
      </c>
      <c r="AA175" t="s">
        <v>1944</v>
      </c>
      <c r="AB175" t="s">
        <v>650</v>
      </c>
      <c r="AF175" t="s">
        <v>729</v>
      </c>
      <c r="AG175" t="s">
        <v>430</v>
      </c>
      <c r="AI175" t="s">
        <v>2530</v>
      </c>
      <c r="AJ175" t="s">
        <v>907</v>
      </c>
      <c r="AL175" t="s">
        <v>729</v>
      </c>
      <c r="AN175" t="s">
        <v>2531</v>
      </c>
      <c r="AU175" t="s">
        <v>444</v>
      </c>
      <c r="AW175" t="s">
        <v>1303</v>
      </c>
      <c r="AX175" t="s">
        <v>1304</v>
      </c>
      <c r="AY175" t="s">
        <v>663</v>
      </c>
      <c r="BB175" t="s">
        <v>664</v>
      </c>
      <c r="BF175" t="s">
        <v>665</v>
      </c>
      <c r="BM175" t="s">
        <v>2532</v>
      </c>
      <c r="BN175" t="s">
        <v>554</v>
      </c>
      <c r="BT175" t="s">
        <v>902</v>
      </c>
      <c r="CC175" t="s">
        <v>406</v>
      </c>
      <c r="CI175" t="s">
        <v>404</v>
      </c>
      <c r="CJ175" t="s">
        <v>448</v>
      </c>
      <c r="CO175" t="s">
        <v>671</v>
      </c>
      <c r="CU175" t="s">
        <v>2533</v>
      </c>
      <c r="CX175" t="s">
        <v>673</v>
      </c>
      <c r="CZ175" t="s">
        <v>569</v>
      </c>
      <c r="DS175" t="s">
        <v>2534</v>
      </c>
      <c r="DT175" t="s">
        <v>1906</v>
      </c>
      <c r="EF175" t="s">
        <v>492</v>
      </c>
      <c r="EG175" t="s">
        <v>522</v>
      </c>
      <c r="EH175" t="s">
        <v>430</v>
      </c>
      <c r="EK175" t="s">
        <v>522</v>
      </c>
      <c r="EL175" t="s">
        <v>430</v>
      </c>
      <c r="EW175" t="s">
        <v>444</v>
      </c>
      <c r="FA175" t="s">
        <v>404</v>
      </c>
      <c r="FB175" t="s">
        <v>2048</v>
      </c>
    </row>
    <row r="176" spans="1:158">
      <c r="A176">
        <v>151</v>
      </c>
      <c r="B176" t="s">
        <v>2535</v>
      </c>
      <c r="C176" t="s">
        <v>2225</v>
      </c>
      <c r="D176" t="s">
        <v>362</v>
      </c>
      <c r="E176">
        <v>0</v>
      </c>
      <c r="G176" t="s">
        <v>362</v>
      </c>
      <c r="H176" t="s">
        <v>362</v>
      </c>
      <c r="I176" t="s">
        <v>362</v>
      </c>
      <c r="J176">
        <v>151</v>
      </c>
      <c r="O176" t="s">
        <v>441</v>
      </c>
      <c r="CC176" t="s">
        <v>406</v>
      </c>
      <c r="FA176" t="s">
        <v>404</v>
      </c>
    </row>
    <row r="177" spans="1:158">
      <c r="A177">
        <v>194</v>
      </c>
      <c r="B177" t="s">
        <v>2536</v>
      </c>
      <c r="C177" t="s">
        <v>2537</v>
      </c>
      <c r="D177" t="s">
        <v>362</v>
      </c>
      <c r="E177">
        <v>0</v>
      </c>
      <c r="G177" t="s">
        <v>362</v>
      </c>
      <c r="H177" t="s">
        <v>362</v>
      </c>
      <c r="I177" t="s">
        <v>362</v>
      </c>
      <c r="J177">
        <v>194</v>
      </c>
      <c r="O177" t="s">
        <v>441</v>
      </c>
      <c r="R177" t="s">
        <v>480</v>
      </c>
      <c r="CC177" t="s">
        <v>406</v>
      </c>
      <c r="CI177" t="s">
        <v>430</v>
      </c>
      <c r="CX177" t="s">
        <v>840</v>
      </c>
      <c r="EH177" t="s">
        <v>430</v>
      </c>
      <c r="EL177" t="s">
        <v>430</v>
      </c>
      <c r="FA177" t="s">
        <v>404</v>
      </c>
    </row>
    <row r="178" spans="1:158">
      <c r="A178">
        <v>163</v>
      </c>
      <c r="B178" t="s">
        <v>2538</v>
      </c>
      <c r="C178" t="s">
        <v>2539</v>
      </c>
      <c r="D178" t="s">
        <v>2539</v>
      </c>
      <c r="E178">
        <v>1</v>
      </c>
      <c r="F178" t="s">
        <v>815</v>
      </c>
      <c r="G178" t="s">
        <v>816</v>
      </c>
      <c r="H178" t="s">
        <v>743</v>
      </c>
      <c r="I178" t="s">
        <v>579</v>
      </c>
      <c r="J178">
        <v>163</v>
      </c>
      <c r="O178" t="s">
        <v>441</v>
      </c>
      <c r="R178" t="s">
        <v>1316</v>
      </c>
      <c r="AA178" t="s">
        <v>2540</v>
      </c>
      <c r="CC178" t="s">
        <v>406</v>
      </c>
      <c r="CI178" t="s">
        <v>404</v>
      </c>
      <c r="EH178" t="s">
        <v>430</v>
      </c>
      <c r="EL178" t="s">
        <v>430</v>
      </c>
      <c r="FA178" t="s">
        <v>404</v>
      </c>
    </row>
    <row r="179" spans="1:158">
      <c r="A179">
        <v>186</v>
      </c>
      <c r="B179" t="s">
        <v>75</v>
      </c>
      <c r="C179" t="s">
        <v>76</v>
      </c>
      <c r="D179" t="s">
        <v>76</v>
      </c>
      <c r="E179">
        <v>1</v>
      </c>
      <c r="F179" t="s">
        <v>2541</v>
      </c>
      <c r="G179" t="s">
        <v>2542</v>
      </c>
      <c r="H179" t="s">
        <v>2543</v>
      </c>
      <c r="I179" t="s">
        <v>2544</v>
      </c>
      <c r="J179">
        <v>186</v>
      </c>
      <c r="K179" t="s">
        <v>531</v>
      </c>
      <c r="M179" t="s">
        <v>2545</v>
      </c>
      <c r="N179" t="s">
        <v>369</v>
      </c>
      <c r="O179" t="s">
        <v>533</v>
      </c>
      <c r="P179" t="s">
        <v>855</v>
      </c>
      <c r="Q179" t="s">
        <v>1149</v>
      </c>
      <c r="R179" t="s">
        <v>480</v>
      </c>
      <c r="T179" t="s">
        <v>2546</v>
      </c>
      <c r="U179" t="s">
        <v>505</v>
      </c>
      <c r="V179" t="s">
        <v>383</v>
      </c>
      <c r="W179" t="s">
        <v>2547</v>
      </c>
      <c r="X179" t="s">
        <v>2548</v>
      </c>
      <c r="Z179" t="s">
        <v>378</v>
      </c>
      <c r="AA179" t="s">
        <v>76</v>
      </c>
      <c r="AB179" t="s">
        <v>859</v>
      </c>
      <c r="AD179" t="s">
        <v>2549</v>
      </c>
      <c r="AE179" t="s">
        <v>1335</v>
      </c>
      <c r="AI179" t="s">
        <v>383</v>
      </c>
      <c r="AM179" t="s">
        <v>2160</v>
      </c>
      <c r="AN179" t="s">
        <v>2550</v>
      </c>
      <c r="AP179" t="s">
        <v>2551</v>
      </c>
      <c r="AQ179" t="s">
        <v>689</v>
      </c>
      <c r="AR179" t="s">
        <v>542</v>
      </c>
      <c r="AS179" t="s">
        <v>2552</v>
      </c>
      <c r="AU179" t="s">
        <v>389</v>
      </c>
      <c r="AV179" t="s">
        <v>2553</v>
      </c>
      <c r="AW179" t="s">
        <v>2554</v>
      </c>
      <c r="AX179" t="s">
        <v>2555</v>
      </c>
      <c r="AY179" t="s">
        <v>547</v>
      </c>
      <c r="AZ179" t="s">
        <v>2556</v>
      </c>
      <c r="BB179" t="s">
        <v>542</v>
      </c>
      <c r="BC179" t="s">
        <v>549</v>
      </c>
      <c r="BD179" t="s">
        <v>383</v>
      </c>
      <c r="BE179" t="s">
        <v>2557</v>
      </c>
      <c r="BF179" t="s">
        <v>1054</v>
      </c>
      <c r="BG179" t="s">
        <v>2558</v>
      </c>
      <c r="BK179" t="s">
        <v>1054</v>
      </c>
      <c r="BL179" t="s">
        <v>869</v>
      </c>
      <c r="BM179" t="s">
        <v>2559</v>
      </c>
      <c r="BO179" t="s">
        <v>614</v>
      </c>
      <c r="BR179" t="s">
        <v>491</v>
      </c>
      <c r="BS179" t="s">
        <v>1843</v>
      </c>
      <c r="BU179" t="s">
        <v>873</v>
      </c>
      <c r="BV179" t="s">
        <v>1843</v>
      </c>
      <c r="BZ179" t="s">
        <v>404</v>
      </c>
      <c r="CA179" t="s">
        <v>2560</v>
      </c>
      <c r="CC179" t="s">
        <v>406</v>
      </c>
      <c r="CD179" t="s">
        <v>395</v>
      </c>
      <c r="CE179" t="s">
        <v>2561</v>
      </c>
      <c r="CF179" t="s">
        <v>2544</v>
      </c>
      <c r="CG179" t="s">
        <v>558</v>
      </c>
      <c r="CH179" t="s">
        <v>2562</v>
      </c>
      <c r="CI179" t="s">
        <v>430</v>
      </c>
      <c r="CJ179" t="s">
        <v>559</v>
      </c>
      <c r="CK179" t="s">
        <v>2563</v>
      </c>
      <c r="CO179" t="s">
        <v>2564</v>
      </c>
      <c r="CP179" t="s">
        <v>2565</v>
      </c>
      <c r="CQ179" t="s">
        <v>2566</v>
      </c>
      <c r="CR179" t="s">
        <v>2567</v>
      </c>
      <c r="CT179" t="s">
        <v>2568</v>
      </c>
      <c r="CU179" t="s">
        <v>2569</v>
      </c>
      <c r="CV179" t="s">
        <v>2479</v>
      </c>
      <c r="CW179" t="s">
        <v>1582</v>
      </c>
      <c r="CX179" t="s">
        <v>481</v>
      </c>
      <c r="CY179" t="s">
        <v>517</v>
      </c>
      <c r="DA179" t="s">
        <v>418</v>
      </c>
      <c r="DB179" t="s">
        <v>570</v>
      </c>
      <c r="DC179" t="s">
        <v>419</v>
      </c>
      <c r="DD179" t="s">
        <v>571</v>
      </c>
      <c r="DE179" t="s">
        <v>2558</v>
      </c>
      <c r="DF179" t="s">
        <v>628</v>
      </c>
      <c r="DH179" t="s">
        <v>1160</v>
      </c>
      <c r="DI179" t="s">
        <v>2570</v>
      </c>
      <c r="DJ179" t="s">
        <v>2571</v>
      </c>
      <c r="DK179" t="s">
        <v>2572</v>
      </c>
      <c r="DL179" t="s">
        <v>426</v>
      </c>
      <c r="DN179" t="s">
        <v>1288</v>
      </c>
      <c r="DO179" t="s">
        <v>2542</v>
      </c>
      <c r="DP179" t="s">
        <v>401</v>
      </c>
      <c r="DQ179" t="s">
        <v>395</v>
      </c>
      <c r="DR179" t="s">
        <v>395</v>
      </c>
      <c r="DS179" t="s">
        <v>2573</v>
      </c>
      <c r="DT179" t="s">
        <v>2574</v>
      </c>
      <c r="DU179" t="s">
        <v>2575</v>
      </c>
      <c r="DV179" t="s">
        <v>2575</v>
      </c>
      <c r="DW179" t="s">
        <v>873</v>
      </c>
      <c r="DY179" t="s">
        <v>1967</v>
      </c>
      <c r="EA179" t="s">
        <v>1967</v>
      </c>
      <c r="EB179" t="s">
        <v>1967</v>
      </c>
      <c r="EC179" t="s">
        <v>395</v>
      </c>
      <c r="ED179" t="s">
        <v>1491</v>
      </c>
      <c r="EE179" t="s">
        <v>573</v>
      </c>
      <c r="EF179" t="s">
        <v>492</v>
      </c>
      <c r="EG179" t="s">
        <v>2481</v>
      </c>
      <c r="EH179" t="s">
        <v>430</v>
      </c>
      <c r="EI179" t="s">
        <v>520</v>
      </c>
      <c r="EJ179" t="s">
        <v>429</v>
      </c>
      <c r="EK179" t="s">
        <v>2576</v>
      </c>
      <c r="EL179" t="s">
        <v>430</v>
      </c>
      <c r="EM179" t="s">
        <v>431</v>
      </c>
      <c r="EQ179" t="s">
        <v>401</v>
      </c>
      <c r="ER179" t="s">
        <v>614</v>
      </c>
      <c r="ET179" t="s">
        <v>653</v>
      </c>
      <c r="EW179" t="s">
        <v>432</v>
      </c>
      <c r="FA179" t="s">
        <v>404</v>
      </c>
      <c r="FB179" t="s">
        <v>2577</v>
      </c>
    </row>
    <row r="180" spans="1:158">
      <c r="A180">
        <v>77</v>
      </c>
      <c r="B180" t="s">
        <v>2578</v>
      </c>
      <c r="C180" t="s">
        <v>2579</v>
      </c>
      <c r="D180" t="s">
        <v>362</v>
      </c>
      <c r="E180">
        <v>1</v>
      </c>
      <c r="F180" t="s">
        <v>2580</v>
      </c>
      <c r="G180" t="s">
        <v>2581</v>
      </c>
      <c r="H180" t="s">
        <v>1899</v>
      </c>
      <c r="I180" t="s">
        <v>1900</v>
      </c>
      <c r="J180">
        <v>77</v>
      </c>
      <c r="O180" t="s">
        <v>441</v>
      </c>
      <c r="R180" t="s">
        <v>370</v>
      </c>
      <c r="X180" t="s">
        <v>767</v>
      </c>
      <c r="AA180" t="s">
        <v>2582</v>
      </c>
      <c r="AF180" t="s">
        <v>653</v>
      </c>
      <c r="AG180" t="s">
        <v>1631</v>
      </c>
      <c r="AH180" t="s">
        <v>655</v>
      </c>
      <c r="AI180" t="s">
        <v>2583</v>
      </c>
      <c r="AJ180" t="s">
        <v>1903</v>
      </c>
      <c r="AL180" t="s">
        <v>655</v>
      </c>
      <c r="AN180" t="s">
        <v>2584</v>
      </c>
      <c r="AT180" t="s">
        <v>660</v>
      </c>
      <c r="AU180" t="s">
        <v>825</v>
      </c>
      <c r="BF180" t="s">
        <v>1342</v>
      </c>
      <c r="BH180" t="s">
        <v>666</v>
      </c>
      <c r="BI180" t="s">
        <v>2585</v>
      </c>
      <c r="BN180" t="s">
        <v>554</v>
      </c>
      <c r="BT180" t="s">
        <v>1382</v>
      </c>
      <c r="CC180" t="s">
        <v>406</v>
      </c>
      <c r="CG180" t="s">
        <v>1907</v>
      </c>
      <c r="CI180" t="s">
        <v>404</v>
      </c>
      <c r="CJ180" t="s">
        <v>408</v>
      </c>
      <c r="CO180" t="s">
        <v>1908</v>
      </c>
      <c r="CU180" t="s">
        <v>2586</v>
      </c>
      <c r="CZ180" t="s">
        <v>569</v>
      </c>
      <c r="DS180" t="s">
        <v>2587</v>
      </c>
      <c r="DT180" t="s">
        <v>872</v>
      </c>
      <c r="EW180" t="s">
        <v>825</v>
      </c>
      <c r="FA180" t="s">
        <v>404</v>
      </c>
      <c r="FB180" t="s">
        <v>1911</v>
      </c>
    </row>
    <row r="181" spans="1:158">
      <c r="A181">
        <v>223</v>
      </c>
      <c r="B181" t="s">
        <v>2588</v>
      </c>
      <c r="C181" t="s">
        <v>2589</v>
      </c>
      <c r="D181" t="s">
        <v>362</v>
      </c>
      <c r="E181">
        <v>1</v>
      </c>
      <c r="G181" t="s">
        <v>362</v>
      </c>
      <c r="H181" t="s">
        <v>362</v>
      </c>
      <c r="I181" t="s">
        <v>362</v>
      </c>
      <c r="J181">
        <v>223</v>
      </c>
      <c r="O181" t="s">
        <v>441</v>
      </c>
      <c r="R181" t="s">
        <v>480</v>
      </c>
      <c r="CC181" t="s">
        <v>406</v>
      </c>
      <c r="CI181" t="s">
        <v>404</v>
      </c>
      <c r="CX181" t="s">
        <v>26</v>
      </c>
      <c r="CY181" t="s">
        <v>568</v>
      </c>
      <c r="FA181" t="s">
        <v>404</v>
      </c>
    </row>
    <row r="182" spans="1:158">
      <c r="A182">
        <v>123</v>
      </c>
      <c r="B182" t="s">
        <v>2590</v>
      </c>
      <c r="C182" t="s">
        <v>2591</v>
      </c>
      <c r="D182" t="s">
        <v>2003</v>
      </c>
      <c r="E182">
        <v>1</v>
      </c>
      <c r="F182" t="s">
        <v>2004</v>
      </c>
      <c r="G182" t="s">
        <v>2005</v>
      </c>
      <c r="H182" t="s">
        <v>2006</v>
      </c>
      <c r="I182" t="s">
        <v>2007</v>
      </c>
      <c r="J182">
        <v>123</v>
      </c>
      <c r="O182" t="s">
        <v>533</v>
      </c>
      <c r="R182" t="s">
        <v>370</v>
      </c>
      <c r="X182" t="s">
        <v>2592</v>
      </c>
      <c r="AA182" t="s">
        <v>2009</v>
      </c>
      <c r="AF182" t="s">
        <v>653</v>
      </c>
      <c r="AG182" t="s">
        <v>654</v>
      </c>
      <c r="AH182" t="s">
        <v>655</v>
      </c>
      <c r="AI182" t="s">
        <v>2593</v>
      </c>
      <c r="AJ182" t="s">
        <v>657</v>
      </c>
      <c r="AK182" t="s">
        <v>658</v>
      </c>
      <c r="AL182" t="s">
        <v>655</v>
      </c>
      <c r="AN182" t="s">
        <v>2594</v>
      </c>
      <c r="AT182" t="s">
        <v>660</v>
      </c>
      <c r="AU182" t="s">
        <v>444</v>
      </c>
      <c r="AW182" t="s">
        <v>661</v>
      </c>
      <c r="AX182" t="s">
        <v>662</v>
      </c>
      <c r="AY182" t="s">
        <v>663</v>
      </c>
      <c r="BB182" t="s">
        <v>664</v>
      </c>
      <c r="BF182" t="s">
        <v>2595</v>
      </c>
      <c r="BH182" t="s">
        <v>666</v>
      </c>
      <c r="BI182" t="s">
        <v>667</v>
      </c>
      <c r="BM182" t="s">
        <v>2596</v>
      </c>
      <c r="BN182" t="s">
        <v>554</v>
      </c>
      <c r="BT182" t="s">
        <v>2013</v>
      </c>
      <c r="CA182" t="s">
        <v>2597</v>
      </c>
      <c r="CC182" t="s">
        <v>406</v>
      </c>
      <c r="CG182" t="s">
        <v>558</v>
      </c>
      <c r="CI182" t="s">
        <v>404</v>
      </c>
      <c r="CJ182" t="s">
        <v>408</v>
      </c>
      <c r="CO182" t="s">
        <v>671</v>
      </c>
      <c r="CU182" t="s">
        <v>2598</v>
      </c>
      <c r="CX182" t="s">
        <v>673</v>
      </c>
      <c r="CZ182" t="s">
        <v>569</v>
      </c>
      <c r="DS182" t="s">
        <v>2599</v>
      </c>
      <c r="DT182" t="s">
        <v>2016</v>
      </c>
      <c r="EF182" t="s">
        <v>492</v>
      </c>
      <c r="EG182" t="s">
        <v>429</v>
      </c>
      <c r="EH182" t="s">
        <v>404</v>
      </c>
      <c r="EK182" t="s">
        <v>522</v>
      </c>
      <c r="EL182" t="s">
        <v>430</v>
      </c>
      <c r="EW182" t="s">
        <v>444</v>
      </c>
      <c r="FA182" t="s">
        <v>404</v>
      </c>
      <c r="FB182" t="s">
        <v>2017</v>
      </c>
    </row>
    <row r="183" spans="1:158">
      <c r="A183">
        <v>60</v>
      </c>
      <c r="B183" t="s">
        <v>2600</v>
      </c>
      <c r="C183" t="s">
        <v>2601</v>
      </c>
      <c r="D183" t="s">
        <v>647</v>
      </c>
      <c r="E183">
        <v>1</v>
      </c>
      <c r="F183" t="s">
        <v>2602</v>
      </c>
      <c r="G183" t="s">
        <v>2603</v>
      </c>
      <c r="H183" t="s">
        <v>2604</v>
      </c>
      <c r="I183" t="s">
        <v>651</v>
      </c>
      <c r="J183">
        <v>60</v>
      </c>
      <c r="O183" t="s">
        <v>441</v>
      </c>
      <c r="R183" t="s">
        <v>442</v>
      </c>
      <c r="AA183" t="s">
        <v>107</v>
      </c>
      <c r="AU183" t="s">
        <v>444</v>
      </c>
      <c r="BN183" t="s">
        <v>554</v>
      </c>
      <c r="CC183" t="s">
        <v>406</v>
      </c>
      <c r="CI183" t="s">
        <v>404</v>
      </c>
      <c r="CJ183" t="s">
        <v>1619</v>
      </c>
      <c r="CO183" t="s">
        <v>671</v>
      </c>
      <c r="CX183" t="s">
        <v>673</v>
      </c>
      <c r="EH183" t="s">
        <v>430</v>
      </c>
      <c r="EL183" t="s">
        <v>430</v>
      </c>
      <c r="EW183" t="s">
        <v>444</v>
      </c>
      <c r="FA183" t="s">
        <v>404</v>
      </c>
    </row>
    <row r="184" spans="1:158">
      <c r="A184">
        <v>83</v>
      </c>
      <c r="B184" t="s">
        <v>2605</v>
      </c>
      <c r="C184" t="s">
        <v>2606</v>
      </c>
      <c r="D184" t="s">
        <v>2606</v>
      </c>
      <c r="E184">
        <v>0</v>
      </c>
      <c r="F184" t="s">
        <v>714</v>
      </c>
      <c r="G184" t="s">
        <v>715</v>
      </c>
      <c r="H184" t="s">
        <v>716</v>
      </c>
      <c r="I184" t="s">
        <v>717</v>
      </c>
      <c r="J184">
        <v>83</v>
      </c>
      <c r="O184" t="s">
        <v>441</v>
      </c>
      <c r="R184" t="s">
        <v>370</v>
      </c>
      <c r="AA184" t="s">
        <v>716</v>
      </c>
      <c r="AC184" t="s">
        <v>2607</v>
      </c>
      <c r="AF184" t="s">
        <v>2235</v>
      </c>
      <c r="AG184" t="s">
        <v>430</v>
      </c>
      <c r="AI184" t="s">
        <v>2608</v>
      </c>
      <c r="AJ184" t="s">
        <v>1825</v>
      </c>
      <c r="AK184" t="s">
        <v>2609</v>
      </c>
      <c r="AL184" t="s">
        <v>2236</v>
      </c>
      <c r="AN184" t="s">
        <v>2610</v>
      </c>
      <c r="AU184" t="s">
        <v>471</v>
      </c>
      <c r="BF184" t="s">
        <v>2098</v>
      </c>
      <c r="BN184" t="s">
        <v>406</v>
      </c>
      <c r="CC184" t="s">
        <v>406</v>
      </c>
      <c r="CG184" t="s">
        <v>2611</v>
      </c>
      <c r="CJ184" t="s">
        <v>2238</v>
      </c>
      <c r="CO184" t="s">
        <v>719</v>
      </c>
      <c r="CU184" t="s">
        <v>2612</v>
      </c>
      <c r="CZ184" t="s">
        <v>399</v>
      </c>
      <c r="DT184" t="s">
        <v>489</v>
      </c>
      <c r="EF184" t="s">
        <v>492</v>
      </c>
      <c r="EG184" t="s">
        <v>492</v>
      </c>
      <c r="EH184" t="s">
        <v>430</v>
      </c>
      <c r="EK184" t="s">
        <v>492</v>
      </c>
      <c r="EL184" t="s">
        <v>430</v>
      </c>
      <c r="EW184" t="s">
        <v>471</v>
      </c>
      <c r="FA184" t="s">
        <v>404</v>
      </c>
      <c r="FB184" t="s">
        <v>720</v>
      </c>
    </row>
    <row r="185" spans="1:158">
      <c r="A185">
        <v>203</v>
      </c>
      <c r="B185" t="s">
        <v>2613</v>
      </c>
      <c r="C185" t="s">
        <v>2614</v>
      </c>
      <c r="D185" t="s">
        <v>362</v>
      </c>
      <c r="E185">
        <v>0</v>
      </c>
      <c r="F185" t="s">
        <v>2615</v>
      </c>
      <c r="G185" t="s">
        <v>2616</v>
      </c>
      <c r="H185" t="s">
        <v>1937</v>
      </c>
      <c r="I185" t="s">
        <v>1938</v>
      </c>
      <c r="J185">
        <v>203</v>
      </c>
      <c r="O185" t="s">
        <v>441</v>
      </c>
      <c r="R185" t="s">
        <v>370</v>
      </c>
      <c r="CC185" t="s">
        <v>406</v>
      </c>
      <c r="CI185" t="s">
        <v>430</v>
      </c>
      <c r="CX185" t="s">
        <v>840</v>
      </c>
      <c r="FA185" t="s">
        <v>404</v>
      </c>
    </row>
    <row r="186" spans="1:158">
      <c r="A186">
        <v>34</v>
      </c>
      <c r="B186" t="s">
        <v>2617</v>
      </c>
      <c r="C186" t="s">
        <v>2618</v>
      </c>
      <c r="D186" t="s">
        <v>362</v>
      </c>
      <c r="E186">
        <v>1</v>
      </c>
      <c r="F186" t="s">
        <v>837</v>
      </c>
      <c r="G186" t="s">
        <v>751</v>
      </c>
      <c r="H186" t="s">
        <v>743</v>
      </c>
      <c r="I186" t="s">
        <v>579</v>
      </c>
      <c r="J186">
        <v>34</v>
      </c>
      <c r="O186" t="s">
        <v>533</v>
      </c>
      <c r="R186" t="s">
        <v>1316</v>
      </c>
      <c r="AA186" t="s">
        <v>1317</v>
      </c>
      <c r="CC186" t="s">
        <v>406</v>
      </c>
      <c r="CI186" t="s">
        <v>404</v>
      </c>
      <c r="FA186" t="s">
        <v>404</v>
      </c>
    </row>
    <row r="187" spans="1:158">
      <c r="A187">
        <v>183</v>
      </c>
      <c r="B187" t="s">
        <v>43</v>
      </c>
      <c r="C187" t="s">
        <v>2619</v>
      </c>
      <c r="D187" t="s">
        <v>2619</v>
      </c>
      <c r="E187">
        <v>1</v>
      </c>
      <c r="F187" t="s">
        <v>2615</v>
      </c>
      <c r="G187" t="s">
        <v>2616</v>
      </c>
      <c r="H187" t="s">
        <v>1937</v>
      </c>
      <c r="I187" t="s">
        <v>1938</v>
      </c>
      <c r="J187">
        <v>183</v>
      </c>
      <c r="K187" t="s">
        <v>884</v>
      </c>
      <c r="L187" t="s">
        <v>1124</v>
      </c>
      <c r="M187" t="s">
        <v>2620</v>
      </c>
      <c r="N187" t="s">
        <v>1126</v>
      </c>
      <c r="O187" t="s">
        <v>533</v>
      </c>
      <c r="P187" t="s">
        <v>2621</v>
      </c>
      <c r="R187" t="s">
        <v>370</v>
      </c>
      <c r="T187" t="s">
        <v>2622</v>
      </c>
      <c r="U187" t="s">
        <v>373</v>
      </c>
      <c r="V187" t="s">
        <v>2623</v>
      </c>
      <c r="W187" t="s">
        <v>2624</v>
      </c>
      <c r="X187" t="s">
        <v>2625</v>
      </c>
      <c r="Z187" t="s">
        <v>926</v>
      </c>
      <c r="AA187" t="s">
        <v>2626</v>
      </c>
      <c r="AB187" t="s">
        <v>1975</v>
      </c>
      <c r="AD187" t="s">
        <v>1557</v>
      </c>
      <c r="AE187" t="s">
        <v>508</v>
      </c>
      <c r="AI187" t="s">
        <v>2627</v>
      </c>
      <c r="AM187" t="s">
        <v>2628</v>
      </c>
      <c r="AN187" t="s">
        <v>2629</v>
      </c>
      <c r="AP187" t="s">
        <v>2630</v>
      </c>
      <c r="AQ187" t="s">
        <v>689</v>
      </c>
      <c r="AS187" t="s">
        <v>2631</v>
      </c>
      <c r="AU187" t="s">
        <v>1139</v>
      </c>
      <c r="AV187" t="s">
        <v>2632</v>
      </c>
      <c r="AW187" t="s">
        <v>2633</v>
      </c>
      <c r="AX187" t="s">
        <v>1142</v>
      </c>
      <c r="AY187" t="s">
        <v>547</v>
      </c>
      <c r="AZ187" t="s">
        <v>395</v>
      </c>
      <c r="BC187" t="s">
        <v>549</v>
      </c>
      <c r="BD187" t="s">
        <v>2634</v>
      </c>
      <c r="BE187" t="s">
        <v>1986</v>
      </c>
      <c r="BF187" t="s">
        <v>1271</v>
      </c>
      <c r="BG187" t="s">
        <v>395</v>
      </c>
      <c r="BK187" t="s">
        <v>1271</v>
      </c>
      <c r="BL187" t="s">
        <v>1987</v>
      </c>
      <c r="BM187" t="s">
        <v>2635</v>
      </c>
      <c r="BR187" t="s">
        <v>1967</v>
      </c>
      <c r="BS187" t="s">
        <v>395</v>
      </c>
      <c r="BZ187" t="s">
        <v>404</v>
      </c>
      <c r="CA187" t="s">
        <v>2636</v>
      </c>
      <c r="CC187" t="s">
        <v>406</v>
      </c>
      <c r="CD187" t="s">
        <v>395</v>
      </c>
      <c r="CF187" t="s">
        <v>1938</v>
      </c>
      <c r="CG187" t="s">
        <v>558</v>
      </c>
      <c r="CH187" t="s">
        <v>2637</v>
      </c>
      <c r="CI187" t="s">
        <v>430</v>
      </c>
      <c r="CJ187" t="s">
        <v>559</v>
      </c>
      <c r="CK187" t="s">
        <v>2638</v>
      </c>
      <c r="CO187" t="s">
        <v>1152</v>
      </c>
      <c r="CP187" t="s">
        <v>2639</v>
      </c>
      <c r="CQ187" t="s">
        <v>2640</v>
      </c>
      <c r="CR187" t="s">
        <v>2641</v>
      </c>
      <c r="CT187" t="s">
        <v>2642</v>
      </c>
      <c r="CU187" t="s">
        <v>2643</v>
      </c>
      <c r="CV187" t="s">
        <v>2644</v>
      </c>
      <c r="CW187" t="s">
        <v>2645</v>
      </c>
      <c r="CX187" t="s">
        <v>840</v>
      </c>
      <c r="CY187" t="s">
        <v>568</v>
      </c>
      <c r="DA187" t="s">
        <v>418</v>
      </c>
      <c r="DB187" t="s">
        <v>946</v>
      </c>
      <c r="DC187" t="s">
        <v>905</v>
      </c>
      <c r="DF187" t="s">
        <v>628</v>
      </c>
      <c r="DH187" t="s">
        <v>1160</v>
      </c>
      <c r="DI187" t="s">
        <v>1161</v>
      </c>
      <c r="DJ187" t="s">
        <v>1162</v>
      </c>
      <c r="DK187" t="s">
        <v>1163</v>
      </c>
      <c r="DL187" t="s">
        <v>1164</v>
      </c>
      <c r="DN187" t="s">
        <v>395</v>
      </c>
      <c r="DO187" t="s">
        <v>2616</v>
      </c>
      <c r="DP187" t="s">
        <v>395</v>
      </c>
      <c r="DQ187" t="s">
        <v>395</v>
      </c>
      <c r="DR187" t="s">
        <v>395</v>
      </c>
      <c r="DS187" t="s">
        <v>2646</v>
      </c>
      <c r="DT187" t="s">
        <v>693</v>
      </c>
      <c r="DU187" t="s">
        <v>693</v>
      </c>
      <c r="DW187" t="s">
        <v>401</v>
      </c>
      <c r="EC187" t="s">
        <v>395</v>
      </c>
      <c r="ED187" t="s">
        <v>693</v>
      </c>
      <c r="EE187" t="s">
        <v>573</v>
      </c>
      <c r="EF187" t="s">
        <v>492</v>
      </c>
      <c r="EG187" t="s">
        <v>429</v>
      </c>
      <c r="EH187" t="s">
        <v>430</v>
      </c>
      <c r="EI187" t="s">
        <v>431</v>
      </c>
      <c r="EJ187" t="s">
        <v>429</v>
      </c>
      <c r="EK187" t="s">
        <v>429</v>
      </c>
      <c r="EL187" t="s">
        <v>430</v>
      </c>
      <c r="EM187" t="s">
        <v>431</v>
      </c>
      <c r="EQ187" t="s">
        <v>401</v>
      </c>
      <c r="ER187" t="s">
        <v>401</v>
      </c>
      <c r="EW187" t="s">
        <v>1167</v>
      </c>
      <c r="FA187" t="s">
        <v>404</v>
      </c>
      <c r="FB187" t="s">
        <v>26</v>
      </c>
    </row>
    <row r="188" spans="1:158">
      <c r="A188">
        <v>160</v>
      </c>
      <c r="B188" t="s">
        <v>73</v>
      </c>
      <c r="C188" t="s">
        <v>74</v>
      </c>
      <c r="D188" t="s">
        <v>2647</v>
      </c>
      <c r="E188">
        <v>1</v>
      </c>
      <c r="F188" t="s">
        <v>2648</v>
      </c>
      <c r="G188" t="s">
        <v>2649</v>
      </c>
      <c r="H188" t="s">
        <v>2650</v>
      </c>
      <c r="I188" t="s">
        <v>2651</v>
      </c>
      <c r="J188">
        <v>160</v>
      </c>
      <c r="K188" t="s">
        <v>531</v>
      </c>
      <c r="M188" t="s">
        <v>2652</v>
      </c>
      <c r="N188" t="s">
        <v>1126</v>
      </c>
      <c r="O188" t="s">
        <v>533</v>
      </c>
      <c r="P188" t="s">
        <v>855</v>
      </c>
      <c r="R188" t="s">
        <v>370</v>
      </c>
      <c r="T188" t="s">
        <v>602</v>
      </c>
      <c r="U188" t="s">
        <v>505</v>
      </c>
      <c r="V188" t="s">
        <v>383</v>
      </c>
      <c r="W188" t="s">
        <v>618</v>
      </c>
      <c r="X188" t="s">
        <v>2653</v>
      </c>
      <c r="Y188" t="s">
        <v>610</v>
      </c>
      <c r="Z188" t="s">
        <v>378</v>
      </c>
      <c r="AA188" t="s">
        <v>74</v>
      </c>
      <c r="AB188" t="s">
        <v>2654</v>
      </c>
      <c r="AE188" t="s">
        <v>508</v>
      </c>
      <c r="AG188" t="s">
        <v>404</v>
      </c>
      <c r="AI188" t="s">
        <v>383</v>
      </c>
      <c r="AM188" t="s">
        <v>602</v>
      </c>
      <c r="AN188" t="s">
        <v>2655</v>
      </c>
      <c r="AP188" t="s">
        <v>2656</v>
      </c>
      <c r="AQ188" t="s">
        <v>387</v>
      </c>
      <c r="AR188" t="s">
        <v>542</v>
      </c>
      <c r="AS188" t="s">
        <v>543</v>
      </c>
      <c r="AU188" t="s">
        <v>389</v>
      </c>
      <c r="AV188" t="s">
        <v>2657</v>
      </c>
      <c r="AW188" t="s">
        <v>2658</v>
      </c>
      <c r="AX188" t="s">
        <v>2659</v>
      </c>
      <c r="AY188" t="s">
        <v>547</v>
      </c>
      <c r="AZ188" t="s">
        <v>906</v>
      </c>
      <c r="BB188" t="s">
        <v>542</v>
      </c>
      <c r="BC188" t="s">
        <v>549</v>
      </c>
      <c r="BD188" t="s">
        <v>383</v>
      </c>
      <c r="BE188" t="s">
        <v>2660</v>
      </c>
      <c r="BF188" t="s">
        <v>826</v>
      </c>
      <c r="BG188" t="s">
        <v>395</v>
      </c>
      <c r="BJ188" t="s">
        <v>2661</v>
      </c>
      <c r="BK188" t="s">
        <v>826</v>
      </c>
      <c r="BL188" t="s">
        <v>2662</v>
      </c>
      <c r="BM188" t="s">
        <v>2663</v>
      </c>
      <c r="BN188" t="s">
        <v>554</v>
      </c>
      <c r="BQ188" t="s">
        <v>401</v>
      </c>
      <c r="BR188" t="s">
        <v>491</v>
      </c>
      <c r="BS188" t="s">
        <v>395</v>
      </c>
      <c r="BT188" t="s">
        <v>1359</v>
      </c>
      <c r="BU188" t="s">
        <v>401</v>
      </c>
      <c r="BX188" t="s">
        <v>401</v>
      </c>
      <c r="BY188" t="s">
        <v>401</v>
      </c>
      <c r="BZ188" t="s">
        <v>404</v>
      </c>
      <c r="CA188" t="s">
        <v>2664</v>
      </c>
      <c r="CC188" t="s">
        <v>406</v>
      </c>
      <c r="CD188" t="s">
        <v>618</v>
      </c>
      <c r="CE188" t="s">
        <v>675</v>
      </c>
      <c r="CF188" t="s">
        <v>2651</v>
      </c>
      <c r="CG188" t="s">
        <v>558</v>
      </c>
      <c r="CH188" t="s">
        <v>383</v>
      </c>
      <c r="CI188" t="s">
        <v>430</v>
      </c>
      <c r="CJ188" t="s">
        <v>559</v>
      </c>
      <c r="CK188" t="s">
        <v>74</v>
      </c>
      <c r="CN188" t="s">
        <v>2665</v>
      </c>
      <c r="CO188" t="s">
        <v>560</v>
      </c>
      <c r="CP188" t="s">
        <v>2666</v>
      </c>
      <c r="CQ188" t="s">
        <v>2667</v>
      </c>
      <c r="CR188" t="s">
        <v>2668</v>
      </c>
      <c r="CS188" t="s">
        <v>2669</v>
      </c>
      <c r="CT188" t="s">
        <v>2670</v>
      </c>
      <c r="CU188" t="s">
        <v>2671</v>
      </c>
      <c r="CV188" t="s">
        <v>567</v>
      </c>
      <c r="CW188" t="s">
        <v>388</v>
      </c>
      <c r="CX188" t="s">
        <v>481</v>
      </c>
      <c r="CY188" t="s">
        <v>517</v>
      </c>
      <c r="CZ188" t="s">
        <v>569</v>
      </c>
      <c r="DA188" t="s">
        <v>418</v>
      </c>
      <c r="DB188" t="s">
        <v>570</v>
      </c>
      <c r="DC188" t="s">
        <v>419</v>
      </c>
      <c r="DD188" t="s">
        <v>571</v>
      </c>
      <c r="DF188" t="s">
        <v>421</v>
      </c>
      <c r="DG188" t="s">
        <v>2558</v>
      </c>
      <c r="DH188" t="s">
        <v>2672</v>
      </c>
      <c r="DI188" t="s">
        <v>2673</v>
      </c>
      <c r="DJ188" t="s">
        <v>2674</v>
      </c>
      <c r="DK188" t="s">
        <v>2675</v>
      </c>
      <c r="DL188" t="s">
        <v>426</v>
      </c>
      <c r="DN188" t="s">
        <v>395</v>
      </c>
      <c r="DO188" t="s">
        <v>2649</v>
      </c>
      <c r="DP188" t="s">
        <v>395</v>
      </c>
      <c r="DQ188" t="s">
        <v>395</v>
      </c>
      <c r="DR188" t="s">
        <v>401</v>
      </c>
      <c r="DS188" t="s">
        <v>2676</v>
      </c>
      <c r="DT188" t="s">
        <v>491</v>
      </c>
      <c r="DU188" t="s">
        <v>491</v>
      </c>
      <c r="DV188" t="s">
        <v>491</v>
      </c>
      <c r="DW188" t="s">
        <v>614</v>
      </c>
      <c r="EB188" t="s">
        <v>395</v>
      </c>
      <c r="EC188" t="s">
        <v>401</v>
      </c>
      <c r="ED188" t="s">
        <v>1381</v>
      </c>
      <c r="EE188" t="s">
        <v>573</v>
      </c>
      <c r="EF188" t="s">
        <v>492</v>
      </c>
      <c r="EG188" t="s">
        <v>429</v>
      </c>
      <c r="EH188" t="s">
        <v>430</v>
      </c>
      <c r="EI188" t="s">
        <v>520</v>
      </c>
      <c r="EJ188" t="s">
        <v>429</v>
      </c>
      <c r="EK188" t="s">
        <v>429</v>
      </c>
      <c r="EL188" t="s">
        <v>430</v>
      </c>
      <c r="EM188" t="s">
        <v>431</v>
      </c>
      <c r="EQ188" t="s">
        <v>401</v>
      </c>
      <c r="ER188" t="s">
        <v>401</v>
      </c>
      <c r="EW188" t="s">
        <v>432</v>
      </c>
      <c r="FA188" t="s">
        <v>404</v>
      </c>
      <c r="FB188" t="s">
        <v>26</v>
      </c>
    </row>
    <row r="189" spans="1:158">
      <c r="A189">
        <v>103</v>
      </c>
      <c r="B189" t="s">
        <v>2677</v>
      </c>
      <c r="C189" t="s">
        <v>2678</v>
      </c>
      <c r="D189" t="s">
        <v>362</v>
      </c>
      <c r="E189">
        <v>0</v>
      </c>
      <c r="G189" t="s">
        <v>362</v>
      </c>
      <c r="H189" t="s">
        <v>362</v>
      </c>
      <c r="I189" t="s">
        <v>362</v>
      </c>
      <c r="J189">
        <v>103</v>
      </c>
      <c r="O189" t="s">
        <v>441</v>
      </c>
      <c r="R189" t="s">
        <v>484</v>
      </c>
      <c r="AU189" t="s">
        <v>471</v>
      </c>
      <c r="BF189" t="s">
        <v>395</v>
      </c>
      <c r="CC189" t="s">
        <v>406</v>
      </c>
      <c r="CO189" t="s">
        <v>1325</v>
      </c>
      <c r="DT189" t="s">
        <v>917</v>
      </c>
      <c r="EF189" t="s">
        <v>492</v>
      </c>
      <c r="EG189" t="s">
        <v>522</v>
      </c>
      <c r="EK189" t="s">
        <v>522</v>
      </c>
      <c r="FA189" t="s">
        <v>404</v>
      </c>
    </row>
    <row r="190" spans="1:158">
      <c r="A190">
        <v>97</v>
      </c>
      <c r="B190" t="s">
        <v>2679</v>
      </c>
      <c r="C190" t="s">
        <v>2680</v>
      </c>
      <c r="D190" t="s">
        <v>362</v>
      </c>
      <c r="E190">
        <v>0</v>
      </c>
      <c r="F190" t="s">
        <v>1314</v>
      </c>
      <c r="G190" t="s">
        <v>1315</v>
      </c>
      <c r="H190" t="s">
        <v>743</v>
      </c>
      <c r="I190" t="s">
        <v>579</v>
      </c>
      <c r="J190">
        <v>97</v>
      </c>
      <c r="O190" t="s">
        <v>441</v>
      </c>
      <c r="R190" t="s">
        <v>484</v>
      </c>
      <c r="AU190" t="s">
        <v>471</v>
      </c>
      <c r="BF190" t="s">
        <v>395</v>
      </c>
      <c r="CC190" t="s">
        <v>406</v>
      </c>
      <c r="CO190" t="s">
        <v>2681</v>
      </c>
      <c r="DT190" t="s">
        <v>395</v>
      </c>
      <c r="EF190" t="s">
        <v>492</v>
      </c>
      <c r="EG190" t="s">
        <v>492</v>
      </c>
      <c r="EK190" t="s">
        <v>492</v>
      </c>
      <c r="FA190" t="s">
        <v>404</v>
      </c>
    </row>
    <row r="191" spans="1:158">
      <c r="A191">
        <v>143</v>
      </c>
      <c r="B191" t="s">
        <v>147</v>
      </c>
      <c r="C191" t="s">
        <v>2682</v>
      </c>
      <c r="D191" t="s">
        <v>2682</v>
      </c>
      <c r="E191">
        <v>1</v>
      </c>
      <c r="F191" t="s">
        <v>2683</v>
      </c>
      <c r="G191" t="s">
        <v>2684</v>
      </c>
      <c r="H191" t="s">
        <v>1100</v>
      </c>
      <c r="I191" t="s">
        <v>1086</v>
      </c>
      <c r="J191">
        <v>143</v>
      </c>
      <c r="K191" t="s">
        <v>531</v>
      </c>
      <c r="O191" t="s">
        <v>533</v>
      </c>
      <c r="R191" t="s">
        <v>370</v>
      </c>
      <c r="T191" t="s">
        <v>383</v>
      </c>
      <c r="V191" t="s">
        <v>764</v>
      </c>
      <c r="Z191" t="s">
        <v>378</v>
      </c>
      <c r="AA191" t="s">
        <v>2682</v>
      </c>
      <c r="AB191" t="s">
        <v>1805</v>
      </c>
      <c r="AG191" t="s">
        <v>654</v>
      </c>
      <c r="AI191" t="s">
        <v>2685</v>
      </c>
      <c r="AJ191" t="s">
        <v>1598</v>
      </c>
      <c r="AM191" t="s">
        <v>2116</v>
      </c>
      <c r="AN191" t="s">
        <v>2686</v>
      </c>
      <c r="AQ191" t="s">
        <v>689</v>
      </c>
      <c r="AR191" t="s">
        <v>542</v>
      </c>
      <c r="AS191" t="s">
        <v>388</v>
      </c>
      <c r="AT191" t="s">
        <v>2687</v>
      </c>
      <c r="AU191" t="s">
        <v>444</v>
      </c>
      <c r="AY191" t="s">
        <v>547</v>
      </c>
      <c r="AZ191" t="s">
        <v>395</v>
      </c>
      <c r="BB191" t="s">
        <v>542</v>
      </c>
      <c r="BC191" t="s">
        <v>549</v>
      </c>
      <c r="BD191" t="s">
        <v>1809</v>
      </c>
      <c r="BF191" t="s">
        <v>665</v>
      </c>
      <c r="BG191" t="s">
        <v>395</v>
      </c>
      <c r="BH191" t="s">
        <v>1810</v>
      </c>
      <c r="BK191" t="s">
        <v>665</v>
      </c>
      <c r="BN191" t="s">
        <v>554</v>
      </c>
      <c r="BR191" t="s">
        <v>664</v>
      </c>
      <c r="BS191" t="s">
        <v>395</v>
      </c>
      <c r="BT191" t="s">
        <v>664</v>
      </c>
      <c r="CA191" t="s">
        <v>2688</v>
      </c>
      <c r="CC191" t="s">
        <v>406</v>
      </c>
      <c r="CD191" t="s">
        <v>395</v>
      </c>
      <c r="CF191" t="s">
        <v>1086</v>
      </c>
      <c r="CG191" t="s">
        <v>695</v>
      </c>
      <c r="CH191" t="s">
        <v>2689</v>
      </c>
      <c r="CI191" t="s">
        <v>430</v>
      </c>
      <c r="CJ191" t="s">
        <v>559</v>
      </c>
      <c r="CK191" t="s">
        <v>2682</v>
      </c>
      <c r="CO191" t="s">
        <v>1813</v>
      </c>
      <c r="CP191" t="s">
        <v>2690</v>
      </c>
      <c r="CQ191" t="s">
        <v>2691</v>
      </c>
      <c r="CR191" t="s">
        <v>2692</v>
      </c>
      <c r="CT191" t="s">
        <v>2693</v>
      </c>
      <c r="CU191" t="s">
        <v>2694</v>
      </c>
      <c r="CV191" t="s">
        <v>416</v>
      </c>
      <c r="CW191" t="s">
        <v>388</v>
      </c>
      <c r="CX191" t="s">
        <v>777</v>
      </c>
      <c r="CY191" t="s">
        <v>568</v>
      </c>
      <c r="CZ191" t="s">
        <v>569</v>
      </c>
      <c r="DA191" t="s">
        <v>418</v>
      </c>
      <c r="DB191" t="s">
        <v>570</v>
      </c>
      <c r="DC191" t="s">
        <v>419</v>
      </c>
      <c r="DL191" t="s">
        <v>426</v>
      </c>
      <c r="DN191" t="s">
        <v>395</v>
      </c>
      <c r="DO191" t="s">
        <v>2684</v>
      </c>
      <c r="DP191" t="s">
        <v>395</v>
      </c>
      <c r="DQ191" t="s">
        <v>395</v>
      </c>
      <c r="DR191" t="s">
        <v>395</v>
      </c>
      <c r="DS191" t="s">
        <v>2695</v>
      </c>
      <c r="DT191" t="s">
        <v>871</v>
      </c>
      <c r="DU191" t="s">
        <v>871</v>
      </c>
      <c r="DV191" t="s">
        <v>871</v>
      </c>
      <c r="EB191" t="s">
        <v>395</v>
      </c>
      <c r="EC191" t="s">
        <v>395</v>
      </c>
      <c r="ED191" t="s">
        <v>871</v>
      </c>
      <c r="EE191" t="s">
        <v>573</v>
      </c>
      <c r="EF191" t="s">
        <v>492</v>
      </c>
      <c r="EG191" t="s">
        <v>492</v>
      </c>
      <c r="EH191" t="s">
        <v>430</v>
      </c>
      <c r="EI191" t="s">
        <v>431</v>
      </c>
      <c r="EJ191" t="s">
        <v>429</v>
      </c>
      <c r="EK191" t="s">
        <v>492</v>
      </c>
      <c r="EL191" t="s">
        <v>430</v>
      </c>
      <c r="EM191" t="s">
        <v>431</v>
      </c>
      <c r="EW191" t="s">
        <v>444</v>
      </c>
      <c r="FA191" t="s">
        <v>404</v>
      </c>
      <c r="FB191" t="s">
        <v>26</v>
      </c>
    </row>
    <row r="192" spans="1:158">
      <c r="A192">
        <v>166</v>
      </c>
      <c r="B192" t="s">
        <v>2696</v>
      </c>
      <c r="C192" t="s">
        <v>2697</v>
      </c>
      <c r="D192" t="s">
        <v>362</v>
      </c>
      <c r="E192">
        <v>0</v>
      </c>
      <c r="G192" t="s">
        <v>362</v>
      </c>
      <c r="H192" t="s">
        <v>362</v>
      </c>
      <c r="I192" t="s">
        <v>362</v>
      </c>
      <c r="J192">
        <v>166</v>
      </c>
      <c r="O192" t="s">
        <v>441</v>
      </c>
      <c r="R192" t="s">
        <v>480</v>
      </c>
      <c r="CC192" t="s">
        <v>406</v>
      </c>
      <c r="CI192" t="s">
        <v>404</v>
      </c>
      <c r="FA192" t="s">
        <v>404</v>
      </c>
    </row>
    <row r="193" spans="1:158">
      <c r="A193">
        <v>20</v>
      </c>
      <c r="B193" t="s">
        <v>2698</v>
      </c>
      <c r="C193" t="s">
        <v>2699</v>
      </c>
      <c r="D193" t="s">
        <v>362</v>
      </c>
      <c r="E193">
        <v>1</v>
      </c>
      <c r="F193" t="s">
        <v>2700</v>
      </c>
      <c r="G193" t="s">
        <v>2701</v>
      </c>
      <c r="H193" t="s">
        <v>2702</v>
      </c>
      <c r="I193" t="s">
        <v>2703</v>
      </c>
      <c r="J193">
        <v>20</v>
      </c>
      <c r="O193" t="s">
        <v>441</v>
      </c>
      <c r="CC193" t="s">
        <v>406</v>
      </c>
      <c r="CI193" t="s">
        <v>404</v>
      </c>
      <c r="FA193" t="s">
        <v>404</v>
      </c>
    </row>
    <row r="194" spans="1:158">
      <c r="A194">
        <v>80</v>
      </c>
      <c r="B194" t="s">
        <v>2704</v>
      </c>
      <c r="C194" t="s">
        <v>2705</v>
      </c>
      <c r="D194" t="s">
        <v>1022</v>
      </c>
      <c r="E194">
        <v>0</v>
      </c>
      <c r="F194" t="s">
        <v>1023</v>
      </c>
      <c r="G194" t="s">
        <v>1024</v>
      </c>
      <c r="H194" t="s">
        <v>1025</v>
      </c>
      <c r="I194" t="s">
        <v>1026</v>
      </c>
      <c r="J194">
        <v>80</v>
      </c>
      <c r="O194" t="s">
        <v>441</v>
      </c>
      <c r="R194" t="s">
        <v>370</v>
      </c>
      <c r="AA194" t="s">
        <v>158</v>
      </c>
      <c r="AF194" t="s">
        <v>2706</v>
      </c>
      <c r="AG194" t="s">
        <v>430</v>
      </c>
      <c r="AI194" t="s">
        <v>1451</v>
      </c>
      <c r="AJ194" t="s">
        <v>177</v>
      </c>
      <c r="AL194" t="s">
        <v>2706</v>
      </c>
      <c r="AN194" t="s">
        <v>2707</v>
      </c>
      <c r="AU194" t="s">
        <v>471</v>
      </c>
      <c r="BB194" t="s">
        <v>533</v>
      </c>
      <c r="BF194" t="s">
        <v>489</v>
      </c>
      <c r="BM194" t="s">
        <v>1034</v>
      </c>
      <c r="BN194" t="s">
        <v>554</v>
      </c>
      <c r="BT194" t="s">
        <v>441</v>
      </c>
      <c r="CC194" t="s">
        <v>406</v>
      </c>
      <c r="CG194" t="s">
        <v>558</v>
      </c>
      <c r="CI194" t="s">
        <v>404</v>
      </c>
      <c r="CO194" t="s">
        <v>490</v>
      </c>
      <c r="CU194" t="s">
        <v>2708</v>
      </c>
      <c r="CZ194" t="s">
        <v>569</v>
      </c>
      <c r="DS194" t="s">
        <v>2709</v>
      </c>
      <c r="DT194" t="s">
        <v>491</v>
      </c>
      <c r="EF194" t="s">
        <v>492</v>
      </c>
      <c r="EG194" t="s">
        <v>522</v>
      </c>
      <c r="EH194" t="s">
        <v>430</v>
      </c>
      <c r="EK194" t="s">
        <v>522</v>
      </c>
      <c r="EL194" t="s">
        <v>430</v>
      </c>
      <c r="EW194" t="s">
        <v>471</v>
      </c>
      <c r="FA194" t="s">
        <v>404</v>
      </c>
      <c r="FB194" t="s">
        <v>2710</v>
      </c>
    </row>
    <row r="195" spans="1:158">
      <c r="A195">
        <v>249</v>
      </c>
      <c r="B195" t="s">
        <v>115</v>
      </c>
      <c r="C195" t="s">
        <v>116</v>
      </c>
      <c r="D195" t="s">
        <v>116</v>
      </c>
      <c r="E195">
        <v>1</v>
      </c>
      <c r="F195" t="s">
        <v>2711</v>
      </c>
      <c r="G195" t="s">
        <v>2712</v>
      </c>
      <c r="H195" t="s">
        <v>1399</v>
      </c>
      <c r="I195" t="s">
        <v>2713</v>
      </c>
      <c r="J195">
        <v>249</v>
      </c>
      <c r="M195" t="s">
        <v>2714</v>
      </c>
      <c r="N195" t="s">
        <v>369</v>
      </c>
      <c r="R195" t="s">
        <v>480</v>
      </c>
      <c r="T195" t="s">
        <v>395</v>
      </c>
      <c r="V195" t="s">
        <v>395</v>
      </c>
      <c r="X195" t="s">
        <v>2715</v>
      </c>
      <c r="AA195" t="s">
        <v>116</v>
      </c>
      <c r="AB195" t="s">
        <v>1402</v>
      </c>
      <c r="AE195" t="s">
        <v>508</v>
      </c>
      <c r="AQ195" t="s">
        <v>689</v>
      </c>
      <c r="AU195" t="s">
        <v>509</v>
      </c>
      <c r="BE195" t="s">
        <v>2716</v>
      </c>
      <c r="BF195" t="s">
        <v>2717</v>
      </c>
      <c r="BK195" t="s">
        <v>1570</v>
      </c>
      <c r="BL195" t="s">
        <v>2718</v>
      </c>
      <c r="BZ195" t="s">
        <v>404</v>
      </c>
      <c r="CA195" t="s">
        <v>2719</v>
      </c>
      <c r="CC195" t="s">
        <v>406</v>
      </c>
      <c r="CF195" t="s">
        <v>2713</v>
      </c>
      <c r="CI195" t="s">
        <v>430</v>
      </c>
      <c r="CK195" t="s">
        <v>116</v>
      </c>
      <c r="CO195" t="s">
        <v>1210</v>
      </c>
      <c r="CU195" t="s">
        <v>2720</v>
      </c>
      <c r="CX195" t="s">
        <v>481</v>
      </c>
      <c r="CY195" t="s">
        <v>517</v>
      </c>
      <c r="DH195" t="s">
        <v>404</v>
      </c>
      <c r="DI195" t="s">
        <v>430</v>
      </c>
      <c r="DJ195" t="s">
        <v>2712</v>
      </c>
      <c r="DL195" t="s">
        <v>426</v>
      </c>
      <c r="DO195" t="s">
        <v>2712</v>
      </c>
      <c r="DT195" t="s">
        <v>2721</v>
      </c>
      <c r="EF195" t="s">
        <v>492</v>
      </c>
      <c r="EG195" t="s">
        <v>429</v>
      </c>
      <c r="EI195" t="s">
        <v>639</v>
      </c>
      <c r="EJ195" t="s">
        <v>429</v>
      </c>
      <c r="EK195" t="s">
        <v>429</v>
      </c>
      <c r="EM195" t="s">
        <v>431</v>
      </c>
      <c r="EW195" t="s">
        <v>524</v>
      </c>
      <c r="FA195" t="s">
        <v>404</v>
      </c>
    </row>
    <row r="196" spans="1:158">
      <c r="A196">
        <v>57</v>
      </c>
      <c r="B196" t="s">
        <v>2722</v>
      </c>
      <c r="C196" t="s">
        <v>2723</v>
      </c>
      <c r="D196" t="s">
        <v>2003</v>
      </c>
      <c r="E196">
        <v>1</v>
      </c>
      <c r="F196" t="s">
        <v>2004</v>
      </c>
      <c r="G196" t="s">
        <v>2005</v>
      </c>
      <c r="H196" t="s">
        <v>2006</v>
      </c>
      <c r="I196" t="s">
        <v>2007</v>
      </c>
      <c r="J196">
        <v>57</v>
      </c>
      <c r="O196" t="s">
        <v>441</v>
      </c>
      <c r="AA196" t="s">
        <v>2009</v>
      </c>
      <c r="CC196" t="s">
        <v>406</v>
      </c>
      <c r="CI196" t="s">
        <v>404</v>
      </c>
      <c r="CJ196" t="s">
        <v>448</v>
      </c>
      <c r="CX196" t="s">
        <v>673</v>
      </c>
      <c r="EH196" t="s">
        <v>430</v>
      </c>
      <c r="EL196" t="s">
        <v>430</v>
      </c>
      <c r="EW196" t="s">
        <v>444</v>
      </c>
      <c r="FA196" t="s">
        <v>404</v>
      </c>
    </row>
    <row r="197" spans="1:158">
      <c r="A197">
        <v>206</v>
      </c>
      <c r="B197" t="s">
        <v>2724</v>
      </c>
      <c r="C197" t="s">
        <v>2725</v>
      </c>
      <c r="D197" t="s">
        <v>362</v>
      </c>
      <c r="E197">
        <v>1</v>
      </c>
      <c r="F197" t="s">
        <v>2541</v>
      </c>
      <c r="G197" t="s">
        <v>2542</v>
      </c>
      <c r="H197" t="s">
        <v>2543</v>
      </c>
      <c r="I197" t="s">
        <v>2544</v>
      </c>
      <c r="J197">
        <v>206</v>
      </c>
      <c r="O197" t="s">
        <v>441</v>
      </c>
      <c r="R197" t="s">
        <v>370</v>
      </c>
      <c r="AA197" t="s">
        <v>76</v>
      </c>
      <c r="AB197" t="s">
        <v>859</v>
      </c>
      <c r="AU197" t="s">
        <v>389</v>
      </c>
      <c r="CC197" t="s">
        <v>406</v>
      </c>
      <c r="CI197" t="s">
        <v>404</v>
      </c>
      <c r="CO197" t="s">
        <v>2564</v>
      </c>
      <c r="CU197" t="s">
        <v>2308</v>
      </c>
      <c r="CX197" t="s">
        <v>481</v>
      </c>
      <c r="DS197" t="s">
        <v>2726</v>
      </c>
      <c r="EW197" t="s">
        <v>1850</v>
      </c>
      <c r="FA197" t="s">
        <v>404</v>
      </c>
    </row>
    <row r="198" spans="1:158">
      <c r="A198">
        <v>37</v>
      </c>
      <c r="B198" t="s">
        <v>2727</v>
      </c>
      <c r="C198" t="s">
        <v>2728</v>
      </c>
      <c r="D198" t="s">
        <v>362</v>
      </c>
      <c r="E198">
        <v>1</v>
      </c>
      <c r="F198" t="s">
        <v>751</v>
      </c>
      <c r="G198" t="s">
        <v>752</v>
      </c>
      <c r="H198" t="s">
        <v>362</v>
      </c>
      <c r="I198" t="s">
        <v>753</v>
      </c>
      <c r="J198">
        <v>37</v>
      </c>
      <c r="O198" t="s">
        <v>441</v>
      </c>
      <c r="CC198" t="s">
        <v>406</v>
      </c>
      <c r="CI198" t="s">
        <v>404</v>
      </c>
      <c r="FA198" t="s">
        <v>404</v>
      </c>
    </row>
    <row r="199" spans="1:158">
      <c r="A199">
        <v>100</v>
      </c>
      <c r="B199" t="s">
        <v>2729</v>
      </c>
      <c r="C199" t="s">
        <v>2730</v>
      </c>
      <c r="D199" t="s">
        <v>362</v>
      </c>
      <c r="E199">
        <v>0</v>
      </c>
      <c r="F199" t="s">
        <v>837</v>
      </c>
      <c r="G199" t="s">
        <v>751</v>
      </c>
      <c r="H199" t="s">
        <v>743</v>
      </c>
      <c r="I199" t="s">
        <v>579</v>
      </c>
      <c r="J199">
        <v>100</v>
      </c>
      <c r="O199" t="s">
        <v>441</v>
      </c>
      <c r="R199" t="s">
        <v>1316</v>
      </c>
      <c r="AU199" t="s">
        <v>471</v>
      </c>
      <c r="BF199" t="s">
        <v>395</v>
      </c>
      <c r="CC199" t="s">
        <v>406</v>
      </c>
      <c r="CO199" t="s">
        <v>2731</v>
      </c>
      <c r="DT199" t="s">
        <v>395</v>
      </c>
      <c r="EF199" t="s">
        <v>492</v>
      </c>
      <c r="EG199" t="s">
        <v>492</v>
      </c>
      <c r="EK199" t="s">
        <v>492</v>
      </c>
      <c r="FA199" t="s">
        <v>404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DC7CC9F-B30E-46E7-94D2-1A01146CD432}"/>
</file>

<file path=customXml/itemProps2.xml><?xml version="1.0" encoding="utf-8"?>
<ds:datastoreItem xmlns:ds="http://schemas.openxmlformats.org/officeDocument/2006/customXml" ds:itemID="{714E8AA0-E684-4B85-B491-238A0A809C86}"/>
</file>

<file path=customXml/itemProps3.xml><?xml version="1.0" encoding="utf-8"?>
<ds:datastoreItem xmlns:ds="http://schemas.openxmlformats.org/officeDocument/2006/customXml" ds:itemID="{AA4ABB91-6F44-48FB-9763-DB408E238605}"/>
</file>

<file path=customXml/itemProps4.xml><?xml version="1.0" encoding="utf-8"?>
<ds:datastoreItem xmlns:ds="http://schemas.openxmlformats.org/officeDocument/2006/customXml" ds:itemID="{E1974B24-88F3-4076-979C-29B24242C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Maria Lapitan</dc:creator>
  <cp:keywords/>
  <dc:description/>
  <cp:lastModifiedBy>Moe Mehmood</cp:lastModifiedBy>
  <cp:revision/>
  <dcterms:created xsi:type="dcterms:W3CDTF">2025-01-17T15:57:59Z</dcterms:created>
  <dcterms:modified xsi:type="dcterms:W3CDTF">2026-03-19T10:56:16Z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0x010100E233F35BBD7BE847B1FE9D41E83E62E1</vt:lpwstr>
  </property>
</Properties>
</file>