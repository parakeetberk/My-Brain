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akeetcommunities.sharepoint.com/sites/main/Shared Documents/Accounting &amp; Finance/Monthly Close/MASTER Files/"/>
    </mc:Choice>
  </mc:AlternateContent>
  <xr:revisionPtr revIDLastSave="23" documentId="13_ncr:1_{AFEE49FB-4EE4-461C-984A-0F391C010764}" xr6:coauthVersionLast="47" xr6:coauthVersionMax="47" xr10:uidLastSave="{91275EC5-5F08-486A-8509-0A65F6D2686A}"/>
  <bookViews>
    <workbookView xWindow="-98" yWindow="-98" windowWidth="19396" windowHeight="11475" xr2:uid="{3DC314E5-2897-496D-BB1B-64ECB05605DB}"/>
  </bookViews>
  <sheets>
    <sheet name="SUMMARY" sheetId="55" r:id="rId1"/>
    <sheet name="AMERICAN" sheetId="1" r:id="rId2"/>
    <sheet name="APPLECREEK" sheetId="2" r:id="rId3"/>
    <sheet name="APPLEGATE" sheetId="3" r:id="rId4"/>
    <sheet name="AUBURN RIDGE" sheetId="58" r:id="rId5"/>
    <sheet name="BELLE HAVEN" sheetId="49" r:id="rId6"/>
    <sheet name="BRUNSWICK" sheetId="50" r:id="rId7"/>
    <sheet name="BOVI&amp;II" sheetId="4" r:id="rId8"/>
    <sheet name="CAMBRIDGE" sheetId="5" r:id="rId9"/>
    <sheet name="CARLEY's" sheetId="7" r:id="rId10"/>
    <sheet name="CENTRAL" sheetId="8" r:id="rId11"/>
    <sheet name="CONGRESS" sheetId="9" r:id="rId12"/>
    <sheet name="COUNTRYSIDE" sheetId="10" r:id="rId13"/>
    <sheet name="CRYSTAL ACRES" sheetId="11" r:id="rId14"/>
    <sheet name="DRUID OAKS" sheetId="53" r:id="rId15"/>
    <sheet name="GEIGER KEY" sheetId="12" r:id="rId16"/>
    <sheet name="GREENE POINTE" sheetId="59" r:id="rId17"/>
    <sheet name="GULF BREEZE" sheetId="13" r:id="rId18"/>
    <sheet name="HARBOUR" sheetId="21" r:id="rId19"/>
    <sheet name="HERSHEY PARK" sheetId="61" r:id="rId20"/>
    <sheet name="HUNTER SPRINGS" sheetId="15" r:id="rId21"/>
    <sheet name="JBARJ" sheetId="16" r:id="rId22"/>
    <sheet name="LAKE SAUNDERS" sheetId="18" r:id="rId23"/>
    <sheet name="LAKE WALES" sheetId="17" r:id="rId24"/>
    <sheet name="LAMBERTON LAKE" sheetId="19" r:id="rId25"/>
    <sheet name="LUCKY CLOVER" sheetId="20" r:id="rId26"/>
    <sheet name="MAYFLOWER" sheetId="22" r:id="rId27"/>
    <sheet name="MEADOW" sheetId="23" r:id="rId28"/>
    <sheet name="MIAMI" sheetId="24" r:id="rId29"/>
    <sheet name="MONSON" sheetId="25" r:id="rId30"/>
    <sheet name="NDC" sheetId="26" r:id="rId31"/>
    <sheet name="OCEANAIRE" sheetId="27" r:id="rId32"/>
    <sheet name="OBO" sheetId="28" r:id="rId33"/>
    <sheet name="OAKSIDE" sheetId="60" r:id="rId34"/>
    <sheet name="PALM HAVEN" sheetId="29" r:id="rId35"/>
    <sheet name="PARADISE PALMS" sheetId="57" r:id="rId36"/>
    <sheet name="PALM SPRING" sheetId="30" r:id="rId37"/>
    <sheet name="PARADISE LAKES" sheetId="31" r:id="rId38"/>
    <sheet name="PARKTOWN" sheetId="32" r:id="rId39"/>
    <sheet name="PARKWOOD" sheetId="56" r:id="rId40"/>
    <sheet name="REDLANDS" sheetId="52" r:id="rId41"/>
    <sheet name="RIVER OAKS" sheetId="33" r:id="rId42"/>
    <sheet name="RIVIERA PARK" sheetId="34" r:id="rId43"/>
    <sheet name="ROYAL OAKS" sheetId="35" r:id="rId44"/>
    <sheet name="ROYAL PALM" sheetId="36" r:id="rId45"/>
    <sheet name="SEA SHELLS" sheetId="37" r:id="rId46"/>
    <sheet name="SHADY ACRES" sheetId="54" r:id="rId47"/>
    <sheet name="SHADY OAKS" sheetId="38" r:id="rId48"/>
    <sheet name="SILVER BREEZE" sheetId="39" r:id="rId49"/>
    <sheet name="SOUTHGATE" sheetId="40" r:id="rId50"/>
    <sheet name="SU-RENE" sheetId="51" r:id="rId51"/>
    <sheet name="TOWN&amp;COUNTRY" sheetId="41" r:id="rId52"/>
    <sheet name="TRADEWINDS" sheetId="42" r:id="rId53"/>
    <sheet name="TRIPLE S" sheetId="43" r:id="rId54"/>
    <sheet name="VANTAGE OAKS" sheetId="44" r:id="rId55"/>
    <sheet name="WESTWOOD" sheetId="45" r:id="rId56"/>
    <sheet name="WPMH" sheetId="46" r:id="rId57"/>
    <sheet name="WPMA" sheetId="47" r:id="rId58"/>
    <sheet name="WOLF BAY" sheetId="48" r:id="rId59"/>
  </sheets>
  <definedNames>
    <definedName name="_xlnm._FilterDatabase" localSheetId="41" hidden="1">'RIVER OAKS'!$G$1:$G$56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55" l="1"/>
  <c r="C67" i="55"/>
  <c r="C66" i="55"/>
  <c r="C65" i="55"/>
  <c r="C64" i="55"/>
  <c r="C63" i="55"/>
  <c r="C62" i="55"/>
  <c r="C61" i="55"/>
  <c r="C60" i="55"/>
  <c r="C59" i="55"/>
  <c r="C58" i="55"/>
  <c r="C57" i="55"/>
  <c r="C56" i="55"/>
  <c r="C55" i="55"/>
  <c r="C54" i="55"/>
  <c r="C53" i="55"/>
  <c r="C52" i="55"/>
  <c r="C51" i="55"/>
  <c r="C50" i="55"/>
  <c r="C49" i="55"/>
  <c r="C48" i="55"/>
  <c r="C47" i="55"/>
  <c r="C46" i="55"/>
  <c r="C45" i="55"/>
  <c r="C44" i="55"/>
  <c r="C43" i="55"/>
  <c r="C42" i="55"/>
  <c r="C41" i="55"/>
  <c r="C40" i="55"/>
  <c r="C39" i="55"/>
  <c r="C38" i="55"/>
  <c r="C37" i="55"/>
  <c r="C36" i="55"/>
  <c r="C35" i="55"/>
  <c r="C34" i="55"/>
  <c r="C33" i="55"/>
  <c r="C32" i="55"/>
  <c r="C31" i="55"/>
  <c r="C30" i="55"/>
  <c r="C29" i="55"/>
  <c r="C28" i="55"/>
  <c r="C27" i="55"/>
  <c r="C26" i="55"/>
  <c r="C25" i="55"/>
  <c r="C24" i="55"/>
  <c r="C23" i="55"/>
  <c r="C22" i="55"/>
  <c r="C21" i="55"/>
  <c r="C20" i="55"/>
  <c r="C19" i="55"/>
  <c r="C18" i="55"/>
  <c r="C17" i="55"/>
  <c r="C16" i="55"/>
  <c r="C15" i="55"/>
  <c r="C14" i="55"/>
  <c r="C13" i="55"/>
  <c r="C12" i="55"/>
  <c r="C11" i="55"/>
  <c r="C10" i="55"/>
  <c r="C9" i="55"/>
  <c r="C8" i="55"/>
  <c r="C7" i="55"/>
  <c r="C6" i="55"/>
  <c r="G73" i="55"/>
  <c r="D74" i="55"/>
  <c r="F68" i="55" l="1"/>
  <c r="E68" i="55"/>
  <c r="E67" i="55"/>
  <c r="F67" i="55" s="1"/>
  <c r="E66" i="55"/>
  <c r="F66" i="55" s="1"/>
  <c r="E65" i="55"/>
  <c r="E64" i="55"/>
  <c r="E63" i="55"/>
  <c r="F63" i="55" s="1"/>
  <c r="E62" i="55"/>
  <c r="F62" i="55" s="1"/>
  <c r="E61" i="55"/>
  <c r="F61" i="55" s="1"/>
  <c r="E60" i="55"/>
  <c r="E59" i="55"/>
  <c r="E58" i="55"/>
  <c r="E57" i="55"/>
  <c r="F57" i="55" s="1"/>
  <c r="E56" i="55"/>
  <c r="E55" i="55"/>
  <c r="E54" i="55"/>
  <c r="F54" i="55" s="1"/>
  <c r="E53" i="55"/>
  <c r="F64" i="55"/>
  <c r="F60" i="55"/>
  <c r="F56" i="55"/>
  <c r="F65" i="55" l="1"/>
  <c r="F55" i="55"/>
  <c r="F53" i="55"/>
  <c r="F59" i="55"/>
  <c r="F58" i="55"/>
  <c r="E52" i="55"/>
  <c r="F52" i="55"/>
  <c r="E51" i="55"/>
  <c r="F51" i="55"/>
  <c r="E50" i="55"/>
  <c r="F50" i="55" s="1"/>
  <c r="E49" i="55"/>
  <c r="F49" i="55"/>
  <c r="E48" i="55"/>
  <c r="F48" i="55"/>
  <c r="E47" i="55"/>
  <c r="E46" i="55"/>
  <c r="E45" i="55"/>
  <c r="F45" i="55"/>
  <c r="E44" i="55"/>
  <c r="F44" i="55"/>
  <c r="E43" i="55"/>
  <c r="F43" i="55" s="1"/>
  <c r="E42" i="55"/>
  <c r="F42" i="55"/>
  <c r="E41" i="55"/>
  <c r="F41" i="55"/>
  <c r="E40" i="55"/>
  <c r="F40" i="55"/>
  <c r="E39" i="55"/>
  <c r="E38" i="55"/>
  <c r="F38" i="55"/>
  <c r="E37" i="55"/>
  <c r="F37" i="55"/>
  <c r="F36" i="55"/>
  <c r="E36" i="55"/>
  <c r="E35" i="55"/>
  <c r="E34" i="55"/>
  <c r="F34" i="55"/>
  <c r="E33" i="55"/>
  <c r="F33" i="55"/>
  <c r="E32" i="55"/>
  <c r="F32" i="55" s="1"/>
  <c r="F31" i="55"/>
  <c r="E31" i="55"/>
  <c r="E30" i="55"/>
  <c r="F30" i="55"/>
  <c r="E29" i="55"/>
  <c r="F29" i="55"/>
  <c r="E28" i="55"/>
  <c r="F28" i="55"/>
  <c r="E27" i="55"/>
  <c r="F27" i="55"/>
  <c r="E26" i="55"/>
  <c r="F26" i="55"/>
  <c r="E25" i="55"/>
  <c r="F25" i="55"/>
  <c r="E24" i="55"/>
  <c r="E23" i="55"/>
  <c r="F23" i="55" s="1"/>
  <c r="E22" i="55"/>
  <c r="F22" i="55"/>
  <c r="E21" i="55"/>
  <c r="E20" i="55"/>
  <c r="F20" i="55" s="1"/>
  <c r="E19" i="55"/>
  <c r="F19" i="55"/>
  <c r="E18" i="55"/>
  <c r="F18" i="55"/>
  <c r="E17" i="55"/>
  <c r="E16" i="55"/>
  <c r="F16" i="55"/>
  <c r="F15" i="55"/>
  <c r="E15" i="55"/>
  <c r="E14" i="55"/>
  <c r="E13" i="55"/>
  <c r="F13" i="55"/>
  <c r="E12" i="55"/>
  <c r="F12" i="55" s="1"/>
  <c r="E11" i="55"/>
  <c r="F11" i="55"/>
  <c r="E10" i="55"/>
  <c r="F10" i="55"/>
  <c r="E9" i="55"/>
  <c r="E8" i="55"/>
  <c r="F8" i="55"/>
  <c r="F7" i="55"/>
  <c r="E7" i="55"/>
  <c r="E6" i="55"/>
  <c r="F6" i="55" s="1"/>
  <c r="F89" i="44"/>
  <c r="F88" i="44"/>
  <c r="F84" i="44"/>
  <c r="F80" i="44"/>
  <c r="F79" i="44"/>
  <c r="F77" i="44"/>
  <c r="F76" i="44"/>
  <c r="F73" i="44"/>
  <c r="F68" i="44"/>
  <c r="F67" i="44"/>
  <c r="F66" i="44"/>
  <c r="F60" i="44"/>
  <c r="F58" i="44"/>
  <c r="F55" i="44"/>
  <c r="F54" i="44"/>
  <c r="F50" i="44"/>
  <c r="F44" i="44"/>
  <c r="F43" i="44"/>
  <c r="F36" i="44"/>
  <c r="F32" i="44"/>
  <c r="L86" i="44"/>
  <c r="J86" i="44"/>
  <c r="F39" i="55" l="1"/>
  <c r="F47" i="55"/>
  <c r="F9" i="55"/>
  <c r="F24" i="55"/>
  <c r="F17" i="55"/>
  <c r="F35" i="55"/>
  <c r="F46" i="55"/>
  <c r="F14" i="55"/>
  <c r="F21" i="55"/>
  <c r="K88" i="44"/>
</calcChain>
</file>

<file path=xl/sharedStrings.xml><?xml version="1.0" encoding="utf-8"?>
<sst xmlns="http://schemas.openxmlformats.org/spreadsheetml/2006/main" count="3661" uniqueCount="1430">
  <si>
    <t>PROPERTY</t>
  </si>
  <si>
    <t>UTILITY and OTHERS</t>
  </si>
  <si>
    <r>
      <t xml:space="preserve">Highlighted in </t>
    </r>
    <r>
      <rPr>
        <b/>
        <sz val="11"/>
        <color rgb="FF00B0F0"/>
        <rFont val="Calibri"/>
        <family val="2"/>
      </rPr>
      <t>Light Blue</t>
    </r>
    <r>
      <rPr>
        <sz val="11"/>
        <color rgb="FF000000"/>
        <rFont val="Calibri"/>
        <family val="2"/>
      </rPr>
      <t xml:space="preserve"> no access to site, invoices before access from Avid</t>
    </r>
  </si>
  <si>
    <t> </t>
  </si>
  <si>
    <r>
      <t xml:space="preserve">Highlighted in </t>
    </r>
    <r>
      <rPr>
        <b/>
        <sz val="11"/>
        <color rgb="FF00B050"/>
        <rFont val="Calibri"/>
        <family val="2"/>
      </rPr>
      <t>Green</t>
    </r>
    <r>
      <rPr>
        <sz val="11"/>
        <color rgb="FF000000"/>
        <rFont val="Calibri"/>
        <family val="2"/>
      </rPr>
      <t xml:space="preserve"> vendor site can be accessed; no. of accounts checked&amp;updated</t>
    </r>
  </si>
  <si>
    <r>
      <t xml:space="preserve">Highlighted in </t>
    </r>
    <r>
      <rPr>
        <b/>
        <sz val="11"/>
        <color rgb="FFFF0000"/>
        <rFont val="Calibri"/>
        <family val="2"/>
      </rPr>
      <t>Red</t>
    </r>
    <r>
      <rPr>
        <sz val="11"/>
        <color rgb="FF000000"/>
        <rFont val="Calibri"/>
        <family val="2"/>
      </rPr>
      <t xml:space="preserve"> no log in details/ site CANNOT accessed</t>
    </r>
  </si>
  <si>
    <t>WATER</t>
  </si>
  <si>
    <t>ELECTRIC</t>
  </si>
  <si>
    <t>SEWER</t>
  </si>
  <si>
    <t>GARBAGE</t>
  </si>
  <si>
    <t>INTERNET/TELEPHONE/CABLE</t>
  </si>
  <si>
    <t>PROPANE/GAS</t>
  </si>
  <si>
    <t xml:space="preserve">LANDSCAPING </t>
  </si>
  <si>
    <t>OTHERS</t>
  </si>
  <si>
    <t>AMERICAN</t>
  </si>
  <si>
    <t>AUBURN Water District</t>
  </si>
  <si>
    <t>National Grid</t>
  </si>
  <si>
    <t>Service Plus Disposal</t>
  </si>
  <si>
    <t>Spectrum</t>
  </si>
  <si>
    <t>APPLECREEK</t>
  </si>
  <si>
    <t>South Central Regional Water</t>
  </si>
  <si>
    <t>Capital Electric</t>
  </si>
  <si>
    <t>City of Lincoln</t>
  </si>
  <si>
    <t>Midco</t>
  </si>
  <si>
    <t>APPLEGATE</t>
  </si>
  <si>
    <t>Duke Energy</t>
  </si>
  <si>
    <t>Waste Pro</t>
  </si>
  <si>
    <t>BAY OAKS 1</t>
  </si>
  <si>
    <t>FPL</t>
  </si>
  <si>
    <t>BAY OAKS II</t>
  </si>
  <si>
    <t>Coastal Waste &amp; Recycling</t>
  </si>
  <si>
    <t>CAMBRIDGE</t>
  </si>
  <si>
    <t>First Energy</t>
  </si>
  <si>
    <t>Waste Management</t>
  </si>
  <si>
    <t>CARLEY's</t>
  </si>
  <si>
    <t>City of Hialeah</t>
  </si>
  <si>
    <t>Waste Connections</t>
  </si>
  <si>
    <t>Comcast</t>
  </si>
  <si>
    <t>CENTRAL</t>
  </si>
  <si>
    <t>City of Cocoa</t>
  </si>
  <si>
    <t>Florida City Gas</t>
  </si>
  <si>
    <t>CONGRESS</t>
  </si>
  <si>
    <t>Palm Beach Country Water</t>
  </si>
  <si>
    <t>COUNTRYSIDE</t>
  </si>
  <si>
    <t>City of Mandan</t>
  </si>
  <si>
    <t>Montana-Dakota Utilities</t>
  </si>
  <si>
    <t>CRYSTAL ACRES</t>
  </si>
  <si>
    <t>IB at UR Service Utility Ur Water</t>
  </si>
  <si>
    <t>Withlacoochee River Utilities</t>
  </si>
  <si>
    <t>GEIGER KEY</t>
  </si>
  <si>
    <t>Florida Keys Aqueduct Authority</t>
  </si>
  <si>
    <t>Keys Energy</t>
  </si>
  <si>
    <t>AT&amp;T / Comcast (Xfinity)</t>
  </si>
  <si>
    <t>Amerigas/Air Gas</t>
  </si>
  <si>
    <t>GULF BREEZE</t>
  </si>
  <si>
    <t>Hudson Water Works, Inc</t>
  </si>
  <si>
    <t>Republic Services</t>
  </si>
  <si>
    <t>HARBOUR</t>
  </si>
  <si>
    <t>HUNTER SPRINGS</t>
  </si>
  <si>
    <t>City of Crystal River</t>
  </si>
  <si>
    <t>J BAR J</t>
  </si>
  <si>
    <t>Miami-Dade Water and Sewer</t>
  </si>
  <si>
    <t>LAKE SAUNDERS</t>
  </si>
  <si>
    <t>City of Mount Dora</t>
  </si>
  <si>
    <t>GFL</t>
  </si>
  <si>
    <t>LAKE WALES</t>
  </si>
  <si>
    <t>City of Lake Wales</t>
  </si>
  <si>
    <t>LAMBERTON LAKE</t>
  </si>
  <si>
    <t>City of Grand Rapids</t>
  </si>
  <si>
    <t>Consumers Energy</t>
  </si>
  <si>
    <t>LUCKY CLOVER</t>
  </si>
  <si>
    <t>City of Melbourne</t>
  </si>
  <si>
    <t>Suburban Propane</t>
  </si>
  <si>
    <t>MAYFLOWER HILLS</t>
  </si>
  <si>
    <t>Town of Plymouth</t>
  </si>
  <si>
    <t>Eversource</t>
  </si>
  <si>
    <t>MEADOW WOODS</t>
  </si>
  <si>
    <t>Lunenburg Water District</t>
  </si>
  <si>
    <t>UNITIL</t>
  </si>
  <si>
    <t>Town of Lunenburg</t>
  </si>
  <si>
    <t>MIAMI AND POTOMAC OFFICES</t>
  </si>
  <si>
    <t>MONSON</t>
  </si>
  <si>
    <t>Town of Monson</t>
  </si>
  <si>
    <t>Casella Waste Services</t>
  </si>
  <si>
    <t>ND COMMUNITIES</t>
  </si>
  <si>
    <t>OCEANAIRE</t>
  </si>
  <si>
    <t>Utilities Commission of New Smyrna</t>
  </si>
  <si>
    <t>ORMOND BEACH</t>
  </si>
  <si>
    <t>City of Ormond Beach</t>
  </si>
  <si>
    <t>PALM HAVEN ESTATE</t>
  </si>
  <si>
    <t>City of Callaway</t>
  </si>
  <si>
    <t>AT&amp;T</t>
  </si>
  <si>
    <t>PALM SPRING ESTATE</t>
  </si>
  <si>
    <t>City of Tarpon Springs</t>
  </si>
  <si>
    <t>PARADISE LAKES</t>
  </si>
  <si>
    <t>Container Rental</t>
  </si>
  <si>
    <t>Discount Propane</t>
  </si>
  <si>
    <t>PARKTOWN</t>
  </si>
  <si>
    <t>RIVER OAKS</t>
  </si>
  <si>
    <t>TECO</t>
  </si>
  <si>
    <t>FCC Environmental Services</t>
  </si>
  <si>
    <t>Amerigas</t>
  </si>
  <si>
    <t>RIVIERA PARK</t>
  </si>
  <si>
    <t>Comcast (Xfinity)</t>
  </si>
  <si>
    <t>ROYAL OAKS</t>
  </si>
  <si>
    <t>Indian River County Water</t>
  </si>
  <si>
    <t>ROYAL PALM</t>
  </si>
  <si>
    <t>City of Clewiston</t>
  </si>
  <si>
    <t xml:space="preserve">SEA SHELLS </t>
  </si>
  <si>
    <t>SHADY OAKS</t>
  </si>
  <si>
    <t>City of North Miami</t>
  </si>
  <si>
    <t>Miami-Dade Stormwater Utilities</t>
  </si>
  <si>
    <t>SILVER BREEZE</t>
  </si>
  <si>
    <t>City of Titusville</t>
  </si>
  <si>
    <t>SOUTHGATE</t>
  </si>
  <si>
    <t>TOWN AND COUNTRY</t>
  </si>
  <si>
    <t>JEA</t>
  </si>
  <si>
    <t>TRADEWINDS</t>
  </si>
  <si>
    <t>TRIPLE S</t>
  </si>
  <si>
    <t>Town of Atlantic Beach</t>
  </si>
  <si>
    <t>VANTAGE OAKS</t>
  </si>
  <si>
    <t>OUA</t>
  </si>
  <si>
    <t>Florida Public Utilities</t>
  </si>
  <si>
    <t>WESTWOOD</t>
  </si>
  <si>
    <t>City of Daytona Beach</t>
  </si>
  <si>
    <r>
      <t>AT&amp;T</t>
    </r>
    <r>
      <rPr>
        <sz val="10"/>
        <color rgb="FF000000"/>
        <rFont val="Calibri"/>
        <family val="2"/>
      </rPr>
      <t xml:space="preserve"> / </t>
    </r>
    <r>
      <rPr>
        <b/>
        <sz val="10"/>
        <color rgb="FF00B050"/>
        <rFont val="Calibri"/>
        <family val="2"/>
      </rPr>
      <t>Spectrum</t>
    </r>
  </si>
  <si>
    <t>WHISPERING PINES MA</t>
  </si>
  <si>
    <t>Auburn Water District</t>
  </si>
  <si>
    <t>Town of Auburn</t>
  </si>
  <si>
    <t>WOLF BAY</t>
  </si>
  <si>
    <t>Riviera Utilities</t>
  </si>
  <si>
    <t>Baldwin EMC</t>
  </si>
  <si>
    <t>City of Orange Beach</t>
  </si>
  <si>
    <t>VENDOR</t>
  </si>
  <si>
    <t>UTILITY TYPE</t>
  </si>
  <si>
    <t>Account Number</t>
  </si>
  <si>
    <t>Service Address</t>
  </si>
  <si>
    <t>Managed by Cass</t>
  </si>
  <si>
    <t>Garbage</t>
  </si>
  <si>
    <t>751 Washington St., Auburn MA 01501</t>
  </si>
  <si>
    <t>Y</t>
  </si>
  <si>
    <t>Electric</t>
  </si>
  <si>
    <t>52928-96028</t>
  </si>
  <si>
    <t>32460-0026</t>
  </si>
  <si>
    <t>751 Washington St, POLE 93-8, Auburn MA 01501</t>
  </si>
  <si>
    <t>Internet</t>
  </si>
  <si>
    <t>8141400200128929..</t>
  </si>
  <si>
    <t>Water</t>
  </si>
  <si>
    <t>2922-0</t>
  </si>
  <si>
    <t>Charlton Oil and Propane</t>
  </si>
  <si>
    <t>INACTIVE/CLOSED ACCOUNTS</t>
  </si>
  <si>
    <t>751 Washington St, BSMT</t>
  </si>
  <si>
    <t>N</t>
  </si>
  <si>
    <t>Closed</t>
  </si>
  <si>
    <t>Internet/Telephone</t>
  </si>
  <si>
    <t>8350120020298316..</t>
  </si>
  <si>
    <t>APPLE CREEK</t>
  </si>
  <si>
    <t>319 Hawk Street</t>
  </si>
  <si>
    <t>Lncoln Meadows Laundry</t>
  </si>
  <si>
    <t>Sewer/Garbage</t>
  </si>
  <si>
    <t>0300010087007</t>
  </si>
  <si>
    <t>111 ALBATROSS DRIVE</t>
  </si>
  <si>
    <t>119 Bluejay Ave, Bismarck</t>
  </si>
  <si>
    <t>we do not managed ACMHC anymore</t>
  </si>
  <si>
    <t>279 Partridge Lane, Bismarck</t>
  </si>
  <si>
    <t>MIDCO</t>
  </si>
  <si>
    <t>111 Albatross Drive, Lincoln ND</t>
  </si>
  <si>
    <t>06791402-00</t>
  </si>
  <si>
    <t>Lincoln Meadows</t>
  </si>
  <si>
    <t>DUKE ENERGY</t>
  </si>
  <si>
    <t>292 Circle Dr Deland, Florida 32724-1579</t>
  </si>
  <si>
    <t>Circle Dr, Deland, Florida 32724</t>
  </si>
  <si>
    <t>WASTE PRO</t>
  </si>
  <si>
    <t>299 Circle Drive Deland Florida 32724</t>
  </si>
  <si>
    <t>BIOMETRIC UTILITY CONSULTANTS</t>
  </si>
  <si>
    <t>WWTP Maintenance</t>
  </si>
  <si>
    <t>WWTP Service Call</t>
  </si>
  <si>
    <t>HAWKINS</t>
  </si>
  <si>
    <t>Chlorine</t>
  </si>
  <si>
    <t>AUBURN RIDGE</t>
  </si>
  <si>
    <t>Jackson EMC</t>
  </si>
  <si>
    <t>275 CARTER RD LOT 3 AUBURN GA</t>
  </si>
  <si>
    <t>Lastpass</t>
  </si>
  <si>
    <t>275 CARTER RD PUMP AUBURN GA</t>
  </si>
  <si>
    <t>328 CARTER RD, AUBURN GA</t>
  </si>
  <si>
    <t>316 CARTER RD LOT 30 AUBURN GA</t>
  </si>
  <si>
    <t>275 CARTER RD LOT 2 AUBURN GA</t>
  </si>
  <si>
    <t>City of Auburn, Georgia</t>
  </si>
  <si>
    <t>020707-001 PIN 83E24A41</t>
  </si>
  <si>
    <t xml:space="preserve">316 CARTER RD. AUBURN GA </t>
  </si>
  <si>
    <t>020706-001 PIN 83E24A41</t>
  </si>
  <si>
    <t>Comcast Business</t>
  </si>
  <si>
    <t>Internet &amp; Phone</t>
  </si>
  <si>
    <t>8220220910302180 .</t>
  </si>
  <si>
    <t>BELLE HAVEN</t>
  </si>
  <si>
    <t>DUKE Energy</t>
  </si>
  <si>
    <t>27554 US HIGHWAY 19 N,  Lot 23,  CLEARWATER FL 33761</t>
  </si>
  <si>
    <t>Business account</t>
  </si>
  <si>
    <t>27554 US HIGHWAY 19 N,  Lot 49,  CLEARWATER FL 33761</t>
  </si>
  <si>
    <t>27554 US HIGHWAY 19 N, CLEARWATER FL 33761 (Non Demand)</t>
  </si>
  <si>
    <t>27554 US HIGHWAY 19 N,  Lot 3,  CLEARWATER FL 33761</t>
  </si>
  <si>
    <t>Waste Connections of Florida</t>
  </si>
  <si>
    <t>6416-075343</t>
  </si>
  <si>
    <t>27554 US Highway 19 N  Clearwater, FL 33761</t>
  </si>
  <si>
    <t>Pinellas County Utilities</t>
  </si>
  <si>
    <t>Water and Sewer</t>
  </si>
  <si>
    <t>Trash</t>
  </si>
  <si>
    <t>27554 US Highway 19 N  Clearwater</t>
  </si>
  <si>
    <t>NOT MANAGED BY CASS</t>
  </si>
  <si>
    <t>8337130152317501</t>
  </si>
  <si>
    <t>27554 US HIGHWAY 19 N CLEARWATER FL 33761-4928</t>
  </si>
  <si>
    <t xml:space="preserve">City of ClearWater Utility </t>
  </si>
  <si>
    <t>Gas</t>
  </si>
  <si>
    <t>27554 US Highway 19 N Lot 12A Clearwater FL  33761-4910</t>
  </si>
  <si>
    <t>new account</t>
  </si>
  <si>
    <t>CLOSED/INACTIVE ACCOUNTS</t>
  </si>
  <si>
    <t>27554 US HIGHWAY 19 N,  Lot 43,  CLEARWATER FL 33761</t>
  </si>
  <si>
    <t>27554 US HIGHWAY 19 N,  Lot 5,  CLEARWATER FL 33761</t>
  </si>
  <si>
    <t>27554 US HIGHWAY 19 N,  Lot 14,  CLEARWATER FL 33761</t>
  </si>
  <si>
    <t>27554 US HIGHWAY 19 N,  Lot 80,  CLEARWATER FL 33761</t>
  </si>
  <si>
    <t>No</t>
  </si>
  <si>
    <t>BRUNSWICK ESTATES</t>
  </si>
  <si>
    <t>GEORGIA POWER</t>
  </si>
  <si>
    <t>54566-20022</t>
  </si>
  <si>
    <t>709 Robarts Rd - PUMP</t>
  </si>
  <si>
    <t>50786-19267</t>
  </si>
  <si>
    <t>51 Fairview Rd</t>
  </si>
  <si>
    <t>47636-19123</t>
  </si>
  <si>
    <t>21 Gressel Cir</t>
  </si>
  <si>
    <t>46166-19093</t>
  </si>
  <si>
    <t>11 Rachel Rd</t>
  </si>
  <si>
    <t>*</t>
  </si>
  <si>
    <t>49736-19111</t>
  </si>
  <si>
    <t>305 Robarts Rd</t>
  </si>
  <si>
    <t>02042-78062</t>
  </si>
  <si>
    <t>205 Robarts Rd</t>
  </si>
  <si>
    <t>91626-20232</t>
  </si>
  <si>
    <t>705 Robarts Rd</t>
  </si>
  <si>
    <t>11176-19245</t>
  </si>
  <si>
    <t>34 Gressel Cir</t>
  </si>
  <si>
    <t xml:space="preserve">Please exclude this account as this is an occupied unit. </t>
  </si>
  <si>
    <t>59396-20386</t>
  </si>
  <si>
    <t>708 ROBARTS RD</t>
  </si>
  <si>
    <t>21166-23095</t>
  </si>
  <si>
    <t>37 GRESSEL CIR</t>
  </si>
  <si>
    <t>3-0728-0095086</t>
  </si>
  <si>
    <t>Brunswick-Glynn Joint Water and Sewer Commission</t>
  </si>
  <si>
    <t xml:space="preserve">Water </t>
  </si>
  <si>
    <t>18 Gressel Cir</t>
  </si>
  <si>
    <t>37 Gressel Cir</t>
  </si>
  <si>
    <t>708 Robarts Rd</t>
  </si>
  <si>
    <t>INACTIVE</t>
  </si>
  <si>
    <t>REPUBLIC SERVICES</t>
  </si>
  <si>
    <t>Garbage / Trash</t>
  </si>
  <si>
    <t>Active</t>
  </si>
  <si>
    <t>Inactive</t>
  </si>
  <si>
    <t>BOVI</t>
  </si>
  <si>
    <t>21107-15394</t>
  </si>
  <si>
    <t>409 School Avenue, Panama City FL 32401</t>
  </si>
  <si>
    <t>21107-97350</t>
  </si>
  <si>
    <t>409 School Avenue, Lot F6, Panama City, FL 32401</t>
  </si>
  <si>
    <t>21140-60763</t>
  </si>
  <si>
    <t>409 School Avenue Lot G2, Panama City Fl 32401</t>
  </si>
  <si>
    <t>CLOSED</t>
  </si>
  <si>
    <t>BOVII</t>
  </si>
  <si>
    <t>21107-15428</t>
  </si>
  <si>
    <t>420 N Kimbrel Avenue, Panama City FL 32404</t>
  </si>
  <si>
    <t>420 Kimbrel Avenue, Panama City FL 32404</t>
  </si>
  <si>
    <t>110125689247</t>
  </si>
  <si>
    <t>11 MANCHESTER DR</t>
  </si>
  <si>
    <t>110125691250</t>
  </si>
  <si>
    <t>11 CAMBRIDGE DR</t>
  </si>
  <si>
    <t>110146013575</t>
  </si>
  <si>
    <t>71 CAMBRIDGE DR</t>
  </si>
  <si>
    <t>Service ended on 08/19/2024</t>
  </si>
  <si>
    <t>110148859512</t>
  </si>
  <si>
    <t>23 CAMBRIDGE DR</t>
  </si>
  <si>
    <t>Service ended on 08/25/2024</t>
  </si>
  <si>
    <t>110150214176</t>
  </si>
  <si>
    <t>CAMBRIDGE DR</t>
  </si>
  <si>
    <t>110159773719</t>
  </si>
  <si>
    <t>119 CAMBRIDGE DR</t>
  </si>
  <si>
    <t>Service ended on 08/06/2024</t>
  </si>
  <si>
    <t>110159587994</t>
  </si>
  <si>
    <t>95 CAMBRIDGE DR</t>
  </si>
  <si>
    <t>account does not exist in vendor site</t>
  </si>
  <si>
    <t>110159335410</t>
  </si>
  <si>
    <t>38 SHERWOOD LN</t>
  </si>
  <si>
    <t>110159335469</t>
  </si>
  <si>
    <t>53 SHERWOOD LN</t>
  </si>
  <si>
    <t>110159587986</t>
  </si>
  <si>
    <t>18 MANCHESTER DR</t>
  </si>
  <si>
    <t>33 Cambridge Dr, Charles Town, WV</t>
  </si>
  <si>
    <t>account was active last 11/22/2023</t>
  </si>
  <si>
    <t>79 MANCHESTER DR CHARLES TOWN WV </t>
  </si>
  <si>
    <t>account was active last 09/28/2023</t>
  </si>
  <si>
    <t>161 CAMBRIDGE DR</t>
  </si>
  <si>
    <t>11 Manchester Dr, Charles Town, WV</t>
  </si>
  <si>
    <t>Discontinued Feb 2024</t>
  </si>
  <si>
    <t>Start Feb 2024</t>
  </si>
  <si>
    <t>4111 NW 37th Ave, Miami</t>
  </si>
  <si>
    <t>4111 NW 37th Ave Lot D409, Miami</t>
  </si>
  <si>
    <t>4111 NW 37 AVE, Miami</t>
  </si>
  <si>
    <t>235032-000</t>
  </si>
  <si>
    <t>4110 NW 36 Ave Mtr 1</t>
  </si>
  <si>
    <t>235033-000</t>
  </si>
  <si>
    <t>WASTE CONNECTIONS OF FLORIDA</t>
  </si>
  <si>
    <t>6440-077608</t>
  </si>
  <si>
    <t>4111 NW 37th AVE, Miami FL</t>
  </si>
  <si>
    <t>8495600710882608</t>
  </si>
  <si>
    <t>4111 NW 37TH AVE LOT J508 UNIT HMOFC, MIAMI, FL 33142</t>
  </si>
  <si>
    <t>Autopay with Bank Account: 1222</t>
  </si>
  <si>
    <t>INACTIVE/DISCONNECTED ACCOUNTS</t>
  </si>
  <si>
    <t>8495 60 071 0676364</t>
  </si>
  <si>
    <t>4111 NW 37TH AVE OFC MAIN, MIAMI, FL 33142</t>
  </si>
  <si>
    <t>disconnected ao 09/05/2024</t>
  </si>
  <si>
    <t>810 Peachtree St # Laundry RM, Cocoa, FL</t>
  </si>
  <si>
    <t>810 Peachtree St # Shop, Cocoa, FL</t>
  </si>
  <si>
    <t>0794834069</t>
  </si>
  <si>
    <t>821 PEACHTREE ST LOT D3</t>
  </si>
  <si>
    <t>810 PEACHTREE ST LOT C15</t>
  </si>
  <si>
    <t>Water, Sewer and Garbage</t>
  </si>
  <si>
    <t>489721-11978</t>
  </si>
  <si>
    <t>810 Peachtree St, LND, Cocoa, FL 32922</t>
  </si>
  <si>
    <t>821 Peachtree St, Bldg. 1, Cocoa, FL</t>
  </si>
  <si>
    <t>1960N Congress Avenue</t>
  </si>
  <si>
    <t>Sewer</t>
  </si>
  <si>
    <t>1960 N Congress Ave, # OL's West Palm Beach, FL</t>
  </si>
  <si>
    <t>Water, Sewer, and Garbage</t>
  </si>
  <si>
    <t>Countryside MHP</t>
  </si>
  <si>
    <t>ND Communities LLC, Countryside LN, Mandan, ND 58554</t>
  </si>
  <si>
    <t>ND Communities LLC, 102 Countryside LN, Mandan, ND 58554-4613</t>
  </si>
  <si>
    <t>2850 N Crede Ave., Lot Back, Crystal River, FL</t>
  </si>
  <si>
    <t>2850 N Crede Ave., Frnt, Crystal River, FL</t>
  </si>
  <si>
    <t>2850 N Crede Ave., Lot 33, Crystal River, FL</t>
  </si>
  <si>
    <t>2850 N Crede Ave., Lot 27, Crystal River, FL</t>
  </si>
  <si>
    <t>2850 N Crede Ave., MIDDLE, Crystal River, FL</t>
  </si>
  <si>
    <t>2850 N Crede Ave., Crystal River, FL</t>
  </si>
  <si>
    <t>Apt 12</t>
  </si>
  <si>
    <t>Vacancy Electric</t>
  </si>
  <si>
    <t>Apt 32</t>
  </si>
  <si>
    <t>Apt 37</t>
  </si>
  <si>
    <t>2850 N Crede Ave., Lot 32, Crystal River, FL</t>
  </si>
  <si>
    <t>Waste Management (WM Services Inc.)</t>
  </si>
  <si>
    <t>2850 N Crede Ave., Lot 12, Crystal River, FL</t>
  </si>
  <si>
    <t>DRUID OAKS</t>
  </si>
  <si>
    <t>27666-20028</t>
  </si>
  <si>
    <t>US Highway 17 N</t>
  </si>
  <si>
    <t>closed account</t>
  </si>
  <si>
    <t>31446-20069</t>
  </si>
  <si>
    <t>US Highway 17 N *LOT 151</t>
  </si>
  <si>
    <t>21656-20032</t>
  </si>
  <si>
    <t>US Highway 17 N, PUMP</t>
  </si>
  <si>
    <t>Autopay</t>
  </si>
  <si>
    <t>37326-20033</t>
  </si>
  <si>
    <t>US Highway 17 N *LOT 102</t>
  </si>
  <si>
    <t>37536-20051</t>
  </si>
  <si>
    <t>US Highway 17 N *LOT 104</t>
  </si>
  <si>
    <t>38166-20062</t>
  </si>
  <si>
    <t>US Highway 17 N *LOT 105</t>
  </si>
  <si>
    <t>27666-20037</t>
  </si>
  <si>
    <t>4240 US Highway 17N Cust Owned lights</t>
  </si>
  <si>
    <t>31446-20078</t>
  </si>
  <si>
    <t>Lot 151</t>
  </si>
  <si>
    <t>37326-20042</t>
  </si>
  <si>
    <t>Lot 102</t>
  </si>
  <si>
    <t>37536-20060</t>
  </si>
  <si>
    <t>Lot 104</t>
  </si>
  <si>
    <t>38166-20071</t>
  </si>
  <si>
    <t>Lot 105</t>
  </si>
  <si>
    <t>29976-20061</t>
  </si>
  <si>
    <t>4240 US HIGHWAY 17 N, Lot 158</t>
  </si>
  <si>
    <t>27876-20251</t>
  </si>
  <si>
    <t>4240 US HIGHWAY 17 N LOT 55</t>
  </si>
  <si>
    <t>28926-20050</t>
  </si>
  <si>
    <t>4240 US HIGHWAY 17 N, Lot 162</t>
  </si>
  <si>
    <t>29556-20052</t>
  </si>
  <si>
    <t>4240 US HIGHWAY 17 N, Lot 133</t>
  </si>
  <si>
    <t>39426-20030</t>
  </si>
  <si>
    <t>4240 US HIGHWAY 17 N, Lot 111</t>
  </si>
  <si>
    <t>New</t>
  </si>
  <si>
    <t>40476-20079</t>
  </si>
  <si>
    <t>4240 US HIGHWAY 17 N, Lot 115</t>
  </si>
  <si>
    <t>39006-20147</t>
  </si>
  <si>
    <t>4240 US HIGHWAY 17 N, Lot 119</t>
  </si>
  <si>
    <t>43846-20084</t>
  </si>
  <si>
    <t>4240 US HIGHWAY 17 N LOT 12</t>
  </si>
  <si>
    <t>36276-20154</t>
  </si>
  <si>
    <t>4240 US HIGHWAY 17 N, Lot 130</t>
  </si>
  <si>
    <t>32706-20028</t>
  </si>
  <si>
    <t>4240 US HIGHWAY 17 N, Lot 144</t>
  </si>
  <si>
    <t>81636-21161</t>
  </si>
  <si>
    <t>4240 US HIGHWAY 17 N, Lot 150</t>
  </si>
  <si>
    <t>82896-21038</t>
  </si>
  <si>
    <t>4240 US HIGHWAY 17 N, Lot 170</t>
  </si>
  <si>
    <t>44466-21052</t>
  </si>
  <si>
    <t>4240 US HIGHWAY 17 N LOT 33</t>
  </si>
  <si>
    <t>41946-20181</t>
  </si>
  <si>
    <t>4240 US HIGHWAY 17 N ,LOT 42</t>
  </si>
  <si>
    <t>42156-20110</t>
  </si>
  <si>
    <t>4240 US HIGHWAY 17 N LOT 46</t>
  </si>
  <si>
    <t>47616-21134</t>
  </si>
  <si>
    <t>4240 US HIGHWAY 17 N LOT 56</t>
  </si>
  <si>
    <t>29766-20034</t>
  </si>
  <si>
    <t>4240 US HIGHWAY 17 N, Lot 160</t>
  </si>
  <si>
    <t>32916-20028</t>
  </si>
  <si>
    <t>4240 US HIGHWAY 17 N, Lot 143</t>
  </si>
  <si>
    <t>43416-21069</t>
  </si>
  <si>
    <t>4240 US HIGHWAY 17 N LOT 37</t>
  </si>
  <si>
    <t>49296-21012</t>
  </si>
  <si>
    <t>4240 US HIGHWAY 17 N LOT 47</t>
  </si>
  <si>
    <t>50556-21063</t>
  </si>
  <si>
    <t>4240 US HIGHWAY 17 N LOT 5</t>
  </si>
  <si>
    <t>77226-21059</t>
  </si>
  <si>
    <t>4240 US HIGHWAY 17 N, Lot 164</t>
  </si>
  <si>
    <t>ROWE TRUCKING &amp; SEPTIC</t>
  </si>
  <si>
    <t>N/A</t>
  </si>
  <si>
    <t>3-0728-0009282</t>
  </si>
  <si>
    <t>4240 US Highway 17 N</t>
  </si>
  <si>
    <t>can not transfer - need to go through county permits</t>
  </si>
  <si>
    <t>Landfill</t>
  </si>
  <si>
    <t xml:space="preserve"> 4-3641-0333414</t>
  </si>
  <si>
    <t>Keys Energy Services</t>
  </si>
  <si>
    <t>5 Geiger Road, Big Coppit Key, FL</t>
  </si>
  <si>
    <t>5 Geiger RD Key West FL</t>
  </si>
  <si>
    <t>3 GEIGER RD, BIG COPPITT KEY, FL</t>
  </si>
  <si>
    <t>625824-016545</t>
  </si>
  <si>
    <t>625824-020815</t>
  </si>
  <si>
    <t>625824-021397</t>
  </si>
  <si>
    <t>625824- 017798</t>
  </si>
  <si>
    <t>3 Geiger Road, Lot 3 &amp; 4</t>
  </si>
  <si>
    <t>Propane</t>
  </si>
  <si>
    <t>Air Gas</t>
  </si>
  <si>
    <t>AT &amp; T</t>
  </si>
  <si>
    <t>Internet and Telephone</t>
  </si>
  <si>
    <t>Phone /Internet Service</t>
  </si>
  <si>
    <t>8310013725894.</t>
  </si>
  <si>
    <t>Internet, Phone and TV</t>
  </si>
  <si>
    <t>8495600810028850</t>
  </si>
  <si>
    <t>5 Geiger RD LOUNGE,  Key West FL</t>
  </si>
  <si>
    <t>GREENE POINTE</t>
  </si>
  <si>
    <t>Berkeley Electric Cooperative</t>
  </si>
  <si>
    <t>660335400-1</t>
  </si>
  <si>
    <t xml:space="preserve">143 GREENPOINT DR. </t>
  </si>
  <si>
    <t>660335400-3</t>
  </si>
  <si>
    <t>660335400-2</t>
  </si>
  <si>
    <t>Berkeley Water &amp; Sanitation</t>
  </si>
  <si>
    <t>650720-115121</t>
  </si>
  <si>
    <t>143 GREENPOINT DR.</t>
  </si>
  <si>
    <t>Carolina Waste &amp; Recycling</t>
  </si>
  <si>
    <t>Quarterly Billing</t>
  </si>
  <si>
    <t>Phone/Internet</t>
  </si>
  <si>
    <t>8396 20 021 0500618</t>
  </si>
  <si>
    <t>143 GREENPOINT DR HMOFC</t>
  </si>
  <si>
    <t>7530 Maryland Avenue, Hudson, FL</t>
  </si>
  <si>
    <t>17530Maryland</t>
  </si>
  <si>
    <t>207530matyland</t>
  </si>
  <si>
    <t>30762-0065705</t>
  </si>
  <si>
    <t>6425-140147</t>
  </si>
  <si>
    <t>7530 Maryland Ct, Hudson, FL</t>
  </si>
  <si>
    <t>Ni-Florida /SouthWest Water</t>
  </si>
  <si>
    <t>7531 Maryland Ct, Hudson, FL</t>
  </si>
  <si>
    <t>AN 0050949168-01</t>
  </si>
  <si>
    <t>7530 Maryland Avenue, Lot 25, Hudson, FL</t>
  </si>
  <si>
    <t>Old</t>
  </si>
  <si>
    <t>8337 13 063 1331438</t>
  </si>
  <si>
    <t>7531 Maryland Avenue, Lot 25, Hudson, FL</t>
  </si>
  <si>
    <t>1968-09</t>
  </si>
  <si>
    <t xml:space="preserve">7530 Maryland Ave., </t>
  </si>
  <si>
    <t>821 PEACHTREE ST, Cocoa, FL</t>
  </si>
  <si>
    <t>821 PEACHTREE ST LOT B12, Cocoa, FL</t>
  </si>
  <si>
    <t>821 PEACHTREE ST LOT D3, Cocoa, FL</t>
  </si>
  <si>
    <t>821 PEACHTREE ST LOT B9, Cocoa, FL</t>
  </si>
  <si>
    <t>821 PEACHTREE ST LOT A12, Cocoa, FL</t>
  </si>
  <si>
    <t>821 PEACHTREE ST # OL, Cocoa, FL</t>
  </si>
  <si>
    <t>489719-11848</t>
  </si>
  <si>
    <t>821 PEACHTREE ST, Bldg. 1 Cocoa, FL</t>
  </si>
  <si>
    <t>HERSHEY PARK</t>
  </si>
  <si>
    <t>Dominion Energy</t>
  </si>
  <si>
    <t>6-2101-4313-6455</t>
  </si>
  <si>
    <t>HERSHEY CIR SUMMERVILLE, SC 29483</t>
  </si>
  <si>
    <t xml:space="preserve">Republic Services </t>
  </si>
  <si>
    <t>3-0692-0840002</t>
  </si>
  <si>
    <t>864 Orangeburg Road, Summerville SC 29483</t>
  </si>
  <si>
    <t>Dorchester Water &amp; Sewer</t>
  </si>
  <si>
    <t>Provided with first bill</t>
  </si>
  <si>
    <t>90 HErshey Circle, Summerville SC 29483</t>
  </si>
  <si>
    <t>316 NE 2nd St #9, Crystal River, FL 34429</t>
  </si>
  <si>
    <t>WASTE MANAGEMENT</t>
  </si>
  <si>
    <t>00025-67922-43003</t>
  </si>
  <si>
    <t>316 Ne 2nd St, Crystal River, FL 34429-4205 US</t>
  </si>
  <si>
    <t>YES</t>
  </si>
  <si>
    <t>316 2nd Street</t>
  </si>
  <si>
    <t>316 2nd Street, Lot 11</t>
  </si>
  <si>
    <t>1316NE2ND</t>
  </si>
  <si>
    <t>316 NE 2nd</t>
  </si>
  <si>
    <t>Vacancy Sewer</t>
  </si>
  <si>
    <t>INACTIVE/CLOSED</t>
  </si>
  <si>
    <t>Final bill-march</t>
  </si>
  <si>
    <t>AUTO PAY</t>
  </si>
  <si>
    <t>0127934321</t>
  </si>
  <si>
    <t>2980 NW 79TH ST, Miami, FL</t>
  </si>
  <si>
    <t>0475397279</t>
  </si>
  <si>
    <t>2980 NW 79TH ST # OL, Miami, FL</t>
  </si>
  <si>
    <t>STREET LIGHTS # 2980 NW 79 ST, Miami, FL</t>
  </si>
  <si>
    <t>00025-35991-83007</t>
  </si>
  <si>
    <t>2980 Nw 79th St, Miami, FL 33147-5400 US</t>
  </si>
  <si>
    <t>00025-35906-93009</t>
  </si>
  <si>
    <t>29980 NW 79th Street, Miami, FL 33147-5400</t>
  </si>
  <si>
    <t>COMCAST</t>
  </si>
  <si>
    <t>8495600710714454</t>
  </si>
  <si>
    <t>2980 NW 79TH ST UNIT OFC, MIAMI, FL 33147</t>
  </si>
  <si>
    <t>New Bank</t>
  </si>
  <si>
    <t>910088555291</t>
  </si>
  <si>
    <t>LAKE SAUNDERS MHC LLC
4301 N HIGHWAY 19A MOUNT DORA Florida 32757-2012</t>
  </si>
  <si>
    <t>910088555407</t>
  </si>
  <si>
    <t>910088555548</t>
  </si>
  <si>
    <t>910088555796</t>
  </si>
  <si>
    <t>LAKE SAUNDERS MHC LLC
4301 STATE ROAD 19A N MOUNT DORA Florida 32757</t>
  </si>
  <si>
    <t>910088555663</t>
  </si>
  <si>
    <t>4301 N State Road, 19A Lot 104</t>
  </si>
  <si>
    <t>CITY OF MOUNT DORA</t>
  </si>
  <si>
    <t>Water &amp; Sewer</t>
  </si>
  <si>
    <t>000000-069798</t>
  </si>
  <si>
    <t>LAKE SAUNDERS MHC, LLC
4301 HIGHWAY 19A MOUNT DORA, FL 32757</t>
  </si>
  <si>
    <t>A80004139-000000</t>
  </si>
  <si>
    <t>4301 HIGHWAY 19A MOUNT DORA, FL 32757</t>
  </si>
  <si>
    <t>A80004139-000001</t>
  </si>
  <si>
    <t>new account- April</t>
  </si>
  <si>
    <t>910086272534</t>
  </si>
  <si>
    <t>LAKE WALES MHC LLC
705 N SCENIC HWY Lake Wales Florida 33853-2600</t>
  </si>
  <si>
    <t>910086272328</t>
  </si>
  <si>
    <t>LAKE WALES MHC LLC
705 N SCENIC HWY Lake Wales Florida 33853-3210</t>
  </si>
  <si>
    <t>910086272691</t>
  </si>
  <si>
    <t>LAKE WALES MHC LLC
705 N SCENIC HWY LAKE WALES Florida 33853-3210</t>
  </si>
  <si>
    <t>705 N SCENIC HWY Lake Wales Florida 33853-3210</t>
  </si>
  <si>
    <t>30654-0004301</t>
  </si>
  <si>
    <t>8535100790184225</t>
  </si>
  <si>
    <t>705 N SCENIC HWY OFC LEASING, LAKE WALES, FL 33853</t>
  </si>
  <si>
    <t>1525 Lamberton Lake Dr NE Resale, Grand Rapids, MI 49525</t>
  </si>
  <si>
    <t>1561 Sheryn Drive NE</t>
  </si>
  <si>
    <t>WS2159433</t>
  </si>
  <si>
    <t>KR0063919406/KR6756</t>
  </si>
  <si>
    <t>1585 Sherin Dr NE, Grand Rapids, MI</t>
  </si>
  <si>
    <t>0168651461</t>
  </si>
  <si>
    <t>80 BLUE BIRD BLVD, Indn Hbr Bch, FL</t>
  </si>
  <si>
    <t>0183390038</t>
  </si>
  <si>
    <t>48 RAINBOW RD, Indn Hbr Bch, FL</t>
  </si>
  <si>
    <t>0496599028</t>
  </si>
  <si>
    <t>36 RAINBOW RD, Indn Hbr Bch, FL</t>
  </si>
  <si>
    <t>0564532588</t>
  </si>
  <si>
    <t>27 RAINBOW RD, Indn Hbr Bch, FL</t>
  </si>
  <si>
    <t>0686759564</t>
  </si>
  <si>
    <t>103 BLUE BIRD BLVD, Indn Hbr Bch, FL</t>
  </si>
  <si>
    <t>0735149247</t>
  </si>
  <si>
    <t>16 SUNSHINE ST, Indn Hbr Bch, FL</t>
  </si>
  <si>
    <t>0864904008</t>
  </si>
  <si>
    <t>66 BLUE BIRD BLVD, Indn Hbr Bch, FL</t>
  </si>
  <si>
    <t>0953881497</t>
  </si>
  <si>
    <t>37 RAINBOW RD, Indn Hbr Bch, FL</t>
  </si>
  <si>
    <t>26 RAINBOW RD, Indn Hbr Bch, FL</t>
  </si>
  <si>
    <t>8 SUNSHINE ST, Indn Hbr Bch, FL</t>
  </si>
  <si>
    <t>109 JOY WAY # B, Indn Hbr Bch, FL</t>
  </si>
  <si>
    <t>29 RAINBOW RD, Indn Hbr Bch, FL</t>
  </si>
  <si>
    <t>42 RAINBOW RD, Indn Hbr Bch, FL</t>
  </si>
  <si>
    <t>67 BLUE BIRD BLVD, Indn Hbr Bch, FL</t>
  </si>
  <si>
    <t>64 BLUE BIRD BLVD, Indn Hbr Bch, FL</t>
  </si>
  <si>
    <t>84 BLUE BIRD BLVD, Indn Hbr Bch, FL</t>
  </si>
  <si>
    <t>59 RAINBOW RD, Indn Hbr Bch, FL</t>
  </si>
  <si>
    <t>99 BLUE BIRD BLVD, Indn Hbr Bch, FL</t>
  </si>
  <si>
    <t>98 BLUE BIRD BLVD, Indn Hbr Bch, FL</t>
  </si>
  <si>
    <t>95 BLUE BIRD BLVD, Indn Hbr Bch, FL</t>
  </si>
  <si>
    <t>78 BLUE BIRD BLVD, Indn Hbr Bch, FL</t>
  </si>
  <si>
    <t>58 RAINBOW RD, Indn Hbr Bch, FL</t>
  </si>
  <si>
    <t>40 RAINBOW RD, Indn Hbr Bch, FL</t>
  </si>
  <si>
    <t>55 RAINBOW RD # A, Indn Hbr Bch, FL</t>
  </si>
  <si>
    <t>43 RAINBOW RD, Indn Hbr Bch, FL</t>
  </si>
  <si>
    <t>47 RAINBOW RD, Indn Hbr Bch, FL</t>
  </si>
  <si>
    <t>83 BLUE BIRD BLVD, Indn Hbr Bch, FL</t>
  </si>
  <si>
    <t>54 RAINBOW RD, Indn Hbr Bch, FL</t>
  </si>
  <si>
    <t>105 BLUE BIRD BLVD, Indn Hbr Bch, FL</t>
  </si>
  <si>
    <t>53 RAINBOW RD, Indn Hbr Bch, FL</t>
  </si>
  <si>
    <t>41 RAINBOW RD, Indn Hbr Bch, FL</t>
  </si>
  <si>
    <t>76 BLUE BIRD BLVD, Indn Hbr Bch, FL</t>
  </si>
  <si>
    <t>11 SUNSHINE ST, Indn Hbr Bch, FL</t>
  </si>
  <si>
    <t>1 SUNSHINE ST, Indn Hbr Bch, FL</t>
  </si>
  <si>
    <t>635 E EAU GALLIE BLVD # OL, Indn Hbr Bch, FL</t>
  </si>
  <si>
    <t>96 BLUE BIRD BLVD, Indn Hbr Bch, FL</t>
  </si>
  <si>
    <t>74 BLUE BIRD BLVD, Indn Hbr Bch, FL</t>
  </si>
  <si>
    <t>55 RAINBOW RD APT C, Indn Hbr Bch, FL</t>
  </si>
  <si>
    <t>97 BLUE BIRD BLVD, Indn Hbr Bch, FL</t>
  </si>
  <si>
    <t>39 RAINBOW RD, Indn Hbr Bch, FL</t>
  </si>
  <si>
    <t>44 RAINBOW RD, Indn Hbr Bch, FL</t>
  </si>
  <si>
    <t>48 RAINBOW RD # A, Indn Hbr Bch, FL</t>
  </si>
  <si>
    <t>635 E EAU GALLIE BLVD, Indn Hbr Bch, FL</t>
  </si>
  <si>
    <t>111 JOY WAY # B, Indn Hbr Bch, FL</t>
  </si>
  <si>
    <t>22 SUNSHINE ST, Indn Hbr Bch, FL</t>
  </si>
  <si>
    <t>25 RAINBOW RD # A, Indn Hbr Bch, FL</t>
  </si>
  <si>
    <t>93 BLUE BIRD BLVD, Indn Hbr Bch, FL</t>
  </si>
  <si>
    <t>1 SUNSHINE ST # B, Indn Hbr Bch, FL</t>
  </si>
  <si>
    <t>9 SUNSHINE ST, Indn Hbr Bch, FL</t>
  </si>
  <si>
    <t>72 BLUE BIRD BLVD # A, Indn Hbr Bch, FL</t>
  </si>
  <si>
    <t>23 SUNSHINE ST, Indn Hbr Bch, FL</t>
  </si>
  <si>
    <t>87 BLUE BIRD BLVD, Indn Hbr Bch, FL</t>
  </si>
  <si>
    <t>68 BLUE BIRD BLVD # A, Indn Hbr Bch, FL</t>
  </si>
  <si>
    <t>46 RAINBOW RD, Indn Hbr Bch, FL</t>
  </si>
  <si>
    <t>111 JOY WAY # A, Indn Hbr Bch, FL</t>
  </si>
  <si>
    <t>4 SUNSHINE ST, Indn Hbr Bch, FL</t>
  </si>
  <si>
    <t>101 BLUE BIRD BLVD, Indn Hbr Bch, FL</t>
  </si>
  <si>
    <t>81 BLUE BIRD BLVD, Indn Hbr Bch, FL</t>
  </si>
  <si>
    <t>20 SUNSHINE ST, Indn Hbr Bch, FL</t>
  </si>
  <si>
    <t>6 SUNSHINE ST, Indn Hbr Bch, FL</t>
  </si>
  <si>
    <t>5 SUNSHINE ST, Indn Hbr Bch, FL</t>
  </si>
  <si>
    <t>55 RAINBOW RD, Indn Hbr Bch, FL</t>
  </si>
  <si>
    <t>61 RAINBOW RD, Indn Hbr Bch, FL</t>
  </si>
  <si>
    <t>107 BLUE BIRD BLVD, Indn Hbr Bch, FL</t>
  </si>
  <si>
    <t>102 BLUE BIRD BLVD, Indn Hbr Bch, FL</t>
  </si>
  <si>
    <t>38 RAINBOW RD, Indn Hbr Bch, FL</t>
  </si>
  <si>
    <t>82 BLUE BIRD BLVD, Indn Hbr Bch, FL</t>
  </si>
  <si>
    <t>18 SUNSHINE ST, Indn Hbr Bch, FL</t>
  </si>
  <si>
    <t>51 RAINBOW RD, Indn Hbr Bch, FL</t>
  </si>
  <si>
    <t>30 RAINBOW RD, Indn Hbr Bch, FL</t>
  </si>
  <si>
    <t>108 JOY WAY, Indn Hbr Bch, FL</t>
  </si>
  <si>
    <t>635 E EAU GALLIE BLVD # LDY, Indn Hbr Bch, FL</t>
  </si>
  <si>
    <t>112 JOY WAY, Indn Hbr Bch, FL</t>
  </si>
  <si>
    <t>106 BLUE BIRD BLVD, Indn Hbr Bch, FL</t>
  </si>
  <si>
    <t>88 BLUE BIRD BLVD</t>
  </si>
  <si>
    <t>88BLUEBIRD</t>
  </si>
  <si>
    <t>00026-32354-03000</t>
  </si>
  <si>
    <t>635 e Eau Gallie Blvd, Indian Harbour Beach, FL 32937-4242 US</t>
  </si>
  <si>
    <t>00026-32239-83004</t>
  </si>
  <si>
    <t>107182-412433</t>
  </si>
  <si>
    <t>1155-037954</t>
  </si>
  <si>
    <t>10221 RIVER RD SUITE 59831</t>
  </si>
  <si>
    <t>8337 11 001 1203324</t>
  </si>
  <si>
    <t>25 RAINBOW RD # A SB SATELLITE BEACH FL 32937-4272</t>
  </si>
  <si>
    <t>Autopay with Bank Account: 1289</t>
  </si>
  <si>
    <t>77 BLUE BIRD BLVD, Indn Hbr Bch, FL</t>
  </si>
  <si>
    <t>635 E EAU GALLIE BLVD # 1, Indn Hbr Bch, FL</t>
  </si>
  <si>
    <t>NO</t>
  </si>
  <si>
    <t>72 BLUE BIRD BLVD APT B, Indn Hbr Bch, FL</t>
  </si>
  <si>
    <t>72 BLUE BIRD BLVD, Indn Hbr Bch, FL</t>
  </si>
  <si>
    <t>104 BLUE BIRD BLVD, Indn Hbr Bch, FL</t>
  </si>
  <si>
    <t>13 SUNSHINE ST, Indn Hbr Bch, FL</t>
  </si>
  <si>
    <t>1762-320391</t>
  </si>
  <si>
    <t>635 E EAU GALLIE BLVD_x000D_</t>
  </si>
  <si>
    <t>New A/N</t>
  </si>
  <si>
    <t>EVERSOURCE</t>
  </si>
  <si>
    <t>Off Beaver-Dam Road, Plymouth MA 02360</t>
  </si>
  <si>
    <t>47 Minuteman LN pump, Plymouth MA 02360</t>
  </si>
  <si>
    <t>00023-16383-83008</t>
  </si>
  <si>
    <t>235 Beaver Dam Rd, Plymouth, MA 02360-1535 US</t>
  </si>
  <si>
    <t>TOWN OF PLYMOUTH</t>
  </si>
  <si>
    <t>Patriot Circle, Plymouth</t>
  </si>
  <si>
    <t xml:space="preserve">1790 Massachusetts Avenue, Lunenburg, MA </t>
  </si>
  <si>
    <t>00028-50327-03002</t>
  </si>
  <si>
    <t>1790 Massachusetts Ave, Lunenburg, MA 01462-1830 US</t>
  </si>
  <si>
    <t>1790 LT 2 Massachusetts Avenue</t>
  </si>
  <si>
    <t>1790 LT 11 Massachusetts Avenue</t>
  </si>
  <si>
    <t>1790 LT 18 Massachusetts Avenue</t>
  </si>
  <si>
    <t>Lunenburg Sewer Department</t>
  </si>
  <si>
    <t>1790 Massachusetts Ave</t>
  </si>
  <si>
    <t>Town of Lunenburg/Not Manage by CASS</t>
  </si>
  <si>
    <t>1790 LT 34 Massachusetts Avenue</t>
  </si>
  <si>
    <t>1790 LT Y Massachusetts Avenue</t>
  </si>
  <si>
    <t>1791 LT V Massachusetts Avenue</t>
  </si>
  <si>
    <t>1791 LT W Massachusetts Avenue</t>
  </si>
  <si>
    <t>1792 LT V Massachusetts Avenue</t>
  </si>
  <si>
    <t>1792 LT Y Massachusetts Avenue</t>
  </si>
  <si>
    <t>1793 LT V Massachusetts Avenue</t>
  </si>
  <si>
    <t>1794 LT V Massachusetts Avenue</t>
  </si>
  <si>
    <t>1794 LT W Massachusetts Avenue</t>
  </si>
  <si>
    <t>1795 LT V Massachusetts Avenue</t>
  </si>
  <si>
    <t>1795 LT W Massachusetts Avenue</t>
  </si>
  <si>
    <t>1796 LT W Massachusetts Avenue</t>
  </si>
  <si>
    <t>1796 LT Y Massachusetts Avenue</t>
  </si>
  <si>
    <t>1797 LT W Massachusetts Avenue</t>
  </si>
  <si>
    <t>1797 LT Y Massachusetts Avenue</t>
  </si>
  <si>
    <t>INACTIVE ACCOUNTS</t>
  </si>
  <si>
    <t>1790 LT 9 Massachusetts Avenue</t>
  </si>
  <si>
    <t>1790 LT 22 Massachusetts Avenue</t>
  </si>
  <si>
    <t>1790 LT G Massachusetts Avenue</t>
  </si>
  <si>
    <t>1790 LT N Massachusetts Avenue</t>
  </si>
  <si>
    <t>1790 LT V Massachusetts Avenue</t>
  </si>
  <si>
    <t>1792 LT W Massachusetts Avenue</t>
  </si>
  <si>
    <t>1793 LT W Massachusetts Avenue</t>
  </si>
  <si>
    <t>1793 LT Y Massachusetts Avenue</t>
  </si>
  <si>
    <t>1797 LT V Massachusetts Avenue</t>
  </si>
  <si>
    <t>1798 LT V Massachusetts Avenue</t>
  </si>
  <si>
    <t>1790 LT 25 Massachusetts Avenue</t>
  </si>
  <si>
    <t>1790 LT 27 Massachusetts Avenue</t>
  </si>
  <si>
    <t>1790 LT 28 Massachusetts Avenue</t>
  </si>
  <si>
    <t>1790 LT 29 Massachusetts Avenue</t>
  </si>
  <si>
    <t>1790 LT 35 Massachusetts Avenue</t>
  </si>
  <si>
    <t>1790 LT 38 Massachusetts Avenue</t>
  </si>
  <si>
    <t>1790 LT B Massachusetts Avenue</t>
  </si>
  <si>
    <t>1790 LT O Massachusetts Avenue</t>
  </si>
  <si>
    <t>1790 LT W Massachusetts Avenue</t>
  </si>
  <si>
    <t>1791 LT Y Massachusetts Avenue</t>
  </si>
  <si>
    <t>1794 LT Y Massachusetts Avenue</t>
  </si>
  <si>
    <t>1795 LT Y Massachusetts Avenue</t>
  </si>
  <si>
    <t>1796 LT V Massachusetts Avenue</t>
  </si>
  <si>
    <t>2829 BIRD AVE # U-4, Miami, FL</t>
  </si>
  <si>
    <t>2829 Bird AVE # U-OFF3, Miami, FL</t>
  </si>
  <si>
    <t>acct ending in 7076</t>
  </si>
  <si>
    <t>2829 Bird Ave Ste 9</t>
  </si>
  <si>
    <t>HS043646</t>
  </si>
  <si>
    <t>268 Palmer Rd, Monson, MA 01057</t>
  </si>
  <si>
    <t>268 Palmer Road</t>
  </si>
  <si>
    <t>269 Palmer Road</t>
  </si>
  <si>
    <t>Montana-Dakota</t>
  </si>
  <si>
    <t>0300010087005</t>
  </si>
  <si>
    <t>109 ALBATROSS DRIVE LINCOLN ND</t>
  </si>
  <si>
    <t>City of New Smyrna Beach</t>
  </si>
  <si>
    <t>Electricity</t>
  </si>
  <si>
    <t>188061-511112</t>
  </si>
  <si>
    <t>1311 TURNBULL ST, NEW SMYRNA BEACH, FL 32168-6077</t>
  </si>
  <si>
    <t>y</t>
  </si>
  <si>
    <t>188061-511132</t>
  </si>
  <si>
    <t>1311 TURNBULL ST APT 95, NEW SMYRNA BEACH, FL 32168-6059</t>
  </si>
  <si>
    <t>955 S NOVA RD # OL, Ormond Beach, FL</t>
  </si>
  <si>
    <t>855 S NOVA RD APT 3, Ormond Beach, FL</t>
  </si>
  <si>
    <t>855 S NOVA RD # OL, Ormond Beach, FL</t>
  </si>
  <si>
    <t>855 S NOVA RD # LS, Ormond Beach, FL</t>
  </si>
  <si>
    <t>955 S NOVA RD LOT 43, Ormond Beach, FL</t>
  </si>
  <si>
    <t>855 S NOVA RD, Ormond Beach, FL</t>
  </si>
  <si>
    <t>124770 (803898)</t>
  </si>
  <si>
    <t>955 Nova Rd, Ormond Beach, FL</t>
  </si>
  <si>
    <t>124080 (803898)</t>
  </si>
  <si>
    <t>Sewer and Garbage</t>
  </si>
  <si>
    <t>1311 TURNBULL St</t>
  </si>
  <si>
    <t>8337 11 020 0296873</t>
  </si>
  <si>
    <t>855 S NOVA RD # SB ORMOND BEACH, FL 32174-7368</t>
  </si>
  <si>
    <t>0387530231</t>
  </si>
  <si>
    <t>855 S NOVA RD APT 11, Ormond Beach, FL</t>
  </si>
  <si>
    <t>0559420138</t>
  </si>
  <si>
    <t>955 S NOVA RD # A2, Ormond Beach, FL</t>
  </si>
  <si>
    <t>955 S NOVA RD LOT A1, Ormond Beach, FL</t>
  </si>
  <si>
    <t>OAKSIDE RIDGE</t>
  </si>
  <si>
    <t>Berkeley County Water and Sanitation</t>
  </si>
  <si>
    <t>512821-136076</t>
  </si>
  <si>
    <t>134 OAKSIDE DR</t>
  </si>
  <si>
    <t>Carolina Waste and Recycling</t>
  </si>
  <si>
    <t>6126-420699-001</t>
  </si>
  <si>
    <t>Charlestone Water System</t>
  </si>
  <si>
    <t>073475-00-6</t>
  </si>
  <si>
    <t>250 NELLE AVE LOT 0 PANAMA CITY FL 32404</t>
  </si>
  <si>
    <t>250 NELLE AVE, PANAMA CITY, FL 32404</t>
  </si>
  <si>
    <t>268 NELLE AVE SHED, PANAMA CITY, FL 32404</t>
  </si>
  <si>
    <t>268 NELLE AVE, PANAMA CITY, FL 32404</t>
  </si>
  <si>
    <t>Coastal Waste and Recycling</t>
  </si>
  <si>
    <t>250 Nelle Street, Panama City FL</t>
  </si>
  <si>
    <t>268 Nelle Street, Panama City, FL</t>
  </si>
  <si>
    <t>06086-000</t>
  </si>
  <si>
    <t>250 Nelle St 0 Callaway, FL 32404</t>
  </si>
  <si>
    <t>250 Nelle Ave Lot 0, Panama City</t>
  </si>
  <si>
    <t>250 NELLE ST LOT 19 1/2, PANAMA CITY, FL 32404</t>
  </si>
  <si>
    <t>CLOSED -268 NELLE AVE, PANAMA CITY, FL 32404</t>
  </si>
  <si>
    <t>CLOSED -268 NELLE AVE LOT G, PANAMA CITY, FL 32404</t>
  </si>
  <si>
    <t>PARADISE PALMS</t>
  </si>
  <si>
    <t>City of Lakeland Utilities</t>
  </si>
  <si>
    <t>3710 OLD TAMPA HY # REC LAKELAND FL 33811</t>
  </si>
  <si>
    <t>3710 OLD TAMPA HY # 24 LAKELAND FL 33811</t>
  </si>
  <si>
    <t>City of Lakeland Utilities/Lakeland Electric</t>
  </si>
  <si>
    <t>3710 OLD TAMPA HY # 35 LAKELAND FL 33811</t>
  </si>
  <si>
    <t>3710 OLD TAMPA HY # 37 LAKELAND FL 33811</t>
  </si>
  <si>
    <t>3710 OLD TAMPA HY # SWP LAKELAND FL 33811</t>
  </si>
  <si>
    <t>Recycling Services of Florida</t>
  </si>
  <si>
    <t>3710 OLD TAMPA HWY LAKELAND FL 33811</t>
  </si>
  <si>
    <t>40110 US Highway 19 N Tarpon Springs, FL 34689-8330</t>
  </si>
  <si>
    <t>40110 US Highway 19 N Unit 1B Tarpon Springs, FL 34689-8330</t>
  </si>
  <si>
    <t>76929-271809492</t>
  </si>
  <si>
    <t>40110 US Highway 19 N</t>
  </si>
  <si>
    <t>8337130400220879</t>
  </si>
  <si>
    <t>40110 Us Highway 19 N Tarpon Springs, FL 34689</t>
  </si>
  <si>
    <t>40110 US Highway 19 N Lot 7</t>
  </si>
  <si>
    <t>910131199848</t>
  </si>
  <si>
    <t>PARADISE LAKES RV PARK LLC
1571 DOYLE RD DELTONA Florida 32725-8536</t>
  </si>
  <si>
    <t>910131202094</t>
  </si>
  <si>
    <t>910131203524</t>
  </si>
  <si>
    <t>910131203566</t>
  </si>
  <si>
    <t>910131204096</t>
  </si>
  <si>
    <t>910131206105</t>
  </si>
  <si>
    <t>1571 Doyle Road, Deltona</t>
  </si>
  <si>
    <t>450 South Shell Road</t>
  </si>
  <si>
    <t>1571 Doyle Rd, Deltona, FL</t>
  </si>
  <si>
    <t>1571 DOYLE RD (DELTONA, FL)</t>
  </si>
  <si>
    <t>10221 River Road Unit 59831</t>
  </si>
  <si>
    <t>8337 11 028 0613278</t>
  </si>
  <si>
    <t>1571 DOYLE RD BLDG SMB DELTONA FL 32725-8536</t>
  </si>
  <si>
    <t>Hawkins</t>
  </si>
  <si>
    <t>703 se 6TH Ave Yard Lights</t>
  </si>
  <si>
    <t>CITY OF MANDAN</t>
  </si>
  <si>
    <t>PARKTOWN PROPERTIES
10221 RIVER RD #59831</t>
  </si>
  <si>
    <t>PARKWOOD MHC</t>
  </si>
  <si>
    <t>City of West Columbia</t>
  </si>
  <si>
    <t>86-078520-05</t>
  </si>
  <si>
    <t>3118 Dudley Road</t>
  </si>
  <si>
    <t>City of Cayce</t>
  </si>
  <si>
    <t>26202860-5</t>
  </si>
  <si>
    <t>Dominion Electric</t>
  </si>
  <si>
    <t>210128101506..</t>
  </si>
  <si>
    <t>Local Waste Service</t>
  </si>
  <si>
    <t>Garbage Base</t>
  </si>
  <si>
    <t>202-727</t>
  </si>
  <si>
    <t xml:space="preserve">3-2101-4258-3200 </t>
  </si>
  <si>
    <t>3118 DUDLEY RD LIGHTING WEST COLUMBIA SC 29170</t>
  </si>
  <si>
    <t xml:space="preserve">3-2101-4258-3107 </t>
  </si>
  <si>
    <t>3118 DUDLEY RD STORAGE WEST COLUMBIA SC 29170</t>
  </si>
  <si>
    <t>REDLANDS</t>
  </si>
  <si>
    <t>73540-46539</t>
  </si>
  <si>
    <t>17360 SW 232ND ST #OL GOULDS FL</t>
  </si>
  <si>
    <t>29170-17002</t>
  </si>
  <si>
    <t>17360 SW 232 ST GOULDS FL</t>
  </si>
  <si>
    <t>93347-59579</t>
  </si>
  <si>
    <t>17360 SW 232ND ST #OL1 GOULDS FL</t>
  </si>
  <si>
    <t>45642-46314</t>
  </si>
  <si>
    <t>17360 SW 232ND ST #OL3 GOULDS FL</t>
  </si>
  <si>
    <t>96534-96340</t>
  </si>
  <si>
    <t>17360 SW 232ND ST LOT 26 GOULDS FL</t>
  </si>
  <si>
    <t xml:space="preserve"> 62046-82246</t>
  </si>
  <si>
    <t>17360 SW 232 ST GOULDS, FL 33031</t>
  </si>
  <si>
    <t xml:space="preserve"> 09991-35437</t>
  </si>
  <si>
    <t>17360 SW 232ND ST LOT 26 GOULDS, FL 33170_x000D_</t>
  </si>
  <si>
    <t>14-49007-03001</t>
  </si>
  <si>
    <t>17360 SW 232nd ST., Miami, FL</t>
  </si>
  <si>
    <t>00031-92384-73003</t>
  </si>
  <si>
    <t>using Temporary JPM Account</t>
  </si>
  <si>
    <t>00031-92498-03001</t>
  </si>
  <si>
    <t>17361 SW 232nd ST., Miami, FL</t>
  </si>
  <si>
    <t>- not active</t>
  </si>
  <si>
    <t>Phone</t>
  </si>
  <si>
    <t>227 N. 28TH AVE HOLLYWOOD FL 33020</t>
  </si>
  <si>
    <t>12435 PARK POTOMAC AVE STE 325</t>
  </si>
  <si>
    <t>Blossman Gas &amp; Appliance</t>
  </si>
  <si>
    <t>US Water</t>
  </si>
  <si>
    <t>WWTP</t>
  </si>
  <si>
    <t>211024099445</t>
  </si>
  <si>
    <t>2724 MUDDY CREEK LN RUSKIN FL 33570-6220</t>
  </si>
  <si>
    <t>211024099452</t>
  </si>
  <si>
    <t>153 WHITE SQUIRREL CIR SHED RUSKIN FL 33570-6219</t>
  </si>
  <si>
    <t>211024099460</t>
  </si>
  <si>
    <t>111 WHITE SQUIRREL CIR RUSKIN FL 33570-6219</t>
  </si>
  <si>
    <t>211024099494</t>
  </si>
  <si>
    <t>222 WHITE SQUIRREL CIR RUSKIN FL 33570-6218</t>
  </si>
  <si>
    <t>211024099510</t>
  </si>
  <si>
    <t>226 WHITE SQUIRREL CIR RUSKIN FL 33570-6218</t>
  </si>
  <si>
    <t>211024099601</t>
  </si>
  <si>
    <t>2756 SAGE HAVEN LN RUSKIN FL 33570-6212</t>
  </si>
  <si>
    <t>211024099718</t>
  </si>
  <si>
    <t>2715 WASH DAY PL RUSKIN FL 33570-6217</t>
  </si>
  <si>
    <t>211024099726</t>
  </si>
  <si>
    <t>201 STEPHENS RD 2 RUSKIN FL 33570-6201</t>
  </si>
  <si>
    <t>211024099734</t>
  </si>
  <si>
    <t>128 WHITE SQUIRREL CIR RUSKIN FL 33570-6219</t>
  </si>
  <si>
    <t>211024099791</t>
  </si>
  <si>
    <t>2714 WASH DAY PL RUSKIN FL 33570-6217</t>
  </si>
  <si>
    <t>211024099817</t>
  </si>
  <si>
    <t>2707 MUDDY CREEK LN RUSKIN FL 33570-6220</t>
  </si>
  <si>
    <t>211024099825</t>
  </si>
  <si>
    <t>2709 MUDDY CREEK LN RUSKIN FL 33570-6220</t>
  </si>
  <si>
    <t>211024099833</t>
  </si>
  <si>
    <t>127 WHITE SQUIRREL CIR RUSKIN FL 33570-6219</t>
  </si>
  <si>
    <t>211024099841</t>
  </si>
  <si>
    <t>125 WHITE SQUIRREL CIR RUSKIN FL 33570-6219</t>
  </si>
  <si>
    <t>211024099924</t>
  </si>
  <si>
    <t>108 WHITE SQUIRREL CIR RUSKIN FL 33570-6219</t>
  </si>
  <si>
    <t>211024099932</t>
  </si>
  <si>
    <t>104 WHITE SQUIRREL CIR RUSKIN FL 33570-6219</t>
  </si>
  <si>
    <t>211024099940</t>
  </si>
  <si>
    <t>2713 DANCING MULLET DR RUSKIN FL 33570-6215</t>
  </si>
  <si>
    <t>211024099957</t>
  </si>
  <si>
    <t>2717 DANCING MULLET DR RUSKIN FL 33570-6215</t>
  </si>
  <si>
    <t>211024099965</t>
  </si>
  <si>
    <t>2721 DANCING MULLET DR RUSKIN FL 33570-6215</t>
  </si>
  <si>
    <t>211024099981</t>
  </si>
  <si>
    <t>2720 DANCING MULLET DR RUSKIN FL 33570-6215</t>
  </si>
  <si>
    <t>211024160015</t>
  </si>
  <si>
    <t>2714 DANCING MULLET DR RUSKIN FL 33570-6215</t>
  </si>
  <si>
    <t>211024160031</t>
  </si>
  <si>
    <t>2717 WASH DAY PL RUSKIN FL 33570-6217</t>
  </si>
  <si>
    <t>211024160049</t>
  </si>
  <si>
    <t>2719 WASH DAY PL RUSKIN FL 33570-6217</t>
  </si>
  <si>
    <t>211024160056</t>
  </si>
  <si>
    <t>116 WHITE SQUIRREL CIR RUSKIN FL 33570-6219</t>
  </si>
  <si>
    <t>211024160064</t>
  </si>
  <si>
    <t>131 WHITE SQUIRREL CIR RUSKIN FL 33570-6219</t>
  </si>
  <si>
    <t>211024160072</t>
  </si>
  <si>
    <t>129 WHITE SQUIRREL CIR RUSKIN FL 33570-6219</t>
  </si>
  <si>
    <t>211024160080</t>
  </si>
  <si>
    <t>2705 MUDDY CREEK LN RUSKIN FL 33570-6220</t>
  </si>
  <si>
    <t>211024160098</t>
  </si>
  <si>
    <t>2761 SAGE HAVEN LN RUSKIN FL 33570-6212</t>
  </si>
  <si>
    <t>211024160114</t>
  </si>
  <si>
    <t>2757 SAGE HAVEN LN RUSKIN FL 33570-6212</t>
  </si>
  <si>
    <t>211024160122</t>
  </si>
  <si>
    <t>2755 SAGE HAVEN LN RUSKIN FL 33570-6212</t>
  </si>
  <si>
    <t>211024160130</t>
  </si>
  <si>
    <t>2753 SAGE HAVEN LN RUSKIN FL 33570-6212</t>
  </si>
  <si>
    <t>211024160197</t>
  </si>
  <si>
    <t>150 WHITE SQUIRREL CIR RUSKIN FL 33570-6219</t>
  </si>
  <si>
    <t>211024160205</t>
  </si>
  <si>
    <t>2703 DANCING MULLET DR RUSKIN FL 33570-6215</t>
  </si>
  <si>
    <t>211024160213</t>
  </si>
  <si>
    <t>2705 DANCING MULLET DR RUSKIN FL 33570-6215</t>
  </si>
  <si>
    <t>211024160221</t>
  </si>
  <si>
    <t>2711 DANCING MULLET DR RUSKIN FL 33570-6215</t>
  </si>
  <si>
    <t>211024160262</t>
  </si>
  <si>
    <t>2728 DANCING MULLET DR RUSKIN FL 33570-6215</t>
  </si>
  <si>
    <t>211024160296</t>
  </si>
  <si>
    <t>2712 DANCING MULLET DR RUSKIN FL 33570-6215</t>
  </si>
  <si>
    <t>211024160304</t>
  </si>
  <si>
    <t>2710 DANCING MULLET DR RUSKIN FL 33570-6215</t>
  </si>
  <si>
    <t>211024160346</t>
  </si>
  <si>
    <t>2702 DANCING MULLET DR RUSKIN FL 33570-6215</t>
  </si>
  <si>
    <t>211024160429</t>
  </si>
  <si>
    <t>112 WHITE SQUIRREL CIR RUSKIN FL 33570-6219</t>
  </si>
  <si>
    <t>221008452320</t>
  </si>
  <si>
    <t>211024099882</t>
  </si>
  <si>
    <t>208 White Squirrel Circle</t>
  </si>
  <si>
    <t>211024610072</t>
  </si>
  <si>
    <t>129 white squirrel circle</t>
  </si>
  <si>
    <t>should be 211024160072</t>
  </si>
  <si>
    <t>911024099940</t>
  </si>
  <si>
    <t>2713 Dancing Mullet Drive</t>
  </si>
  <si>
    <t>211024099684</t>
  </si>
  <si>
    <t>207 White Squirrel</t>
  </si>
  <si>
    <t>211024099866</t>
  </si>
  <si>
    <t>204 White Squirrel</t>
  </si>
  <si>
    <t>New Payment not in masterlist before</t>
  </si>
  <si>
    <t>211024160437</t>
  </si>
  <si>
    <t>AMERIGAS</t>
  </si>
  <si>
    <t>0203982069</t>
  </si>
  <si>
    <t>201 STEPHENS ROAD RUSKIN, FL 33570</t>
  </si>
  <si>
    <t>RIVER OAKS RV RESORT</t>
  </si>
  <si>
    <t>Autopay with new bank</t>
  </si>
  <si>
    <t xml:space="preserve">
IB AT UR SERVICE Utility, LLC</t>
  </si>
  <si>
    <t xml:space="preserve">
FCC Environmental Services</t>
  </si>
  <si>
    <t>HIL1674</t>
  </si>
  <si>
    <t>10221 River RD</t>
  </si>
  <si>
    <t>TS00147126</t>
  </si>
  <si>
    <t>211024160395</t>
  </si>
  <si>
    <t>2711 WASH DAY PL RUSKIN FL 33570-6217</t>
  </si>
  <si>
    <t>19900 NW 37TH AVE # R, Miami Gardens, FL</t>
  </si>
  <si>
    <t>53987-28393</t>
  </si>
  <si>
    <t>19900 NW 37TH AVE, MIAMI GARDENS, FL 33056</t>
  </si>
  <si>
    <t>00028-76679-23007</t>
  </si>
  <si>
    <t>19900 Nw 37th Ave, Miami Gardens, FL 33056-1756 US</t>
  </si>
  <si>
    <t>00028-76702-93003</t>
  </si>
  <si>
    <t>Water / Sewer</t>
  </si>
  <si>
    <t>Florida City GAS</t>
  </si>
  <si>
    <t>19900 NW 37th Avenue</t>
  </si>
  <si>
    <t>8495600081467906..</t>
  </si>
  <si>
    <t>Autopay with Bank Account:  1321</t>
  </si>
  <si>
    <t>19900 NW 37TH AVE LOT B65, Miami Gardens, FL</t>
  </si>
  <si>
    <t>0578926115</t>
  </si>
  <si>
    <t>8125 US HIGHWAY 1 # OL, Vero Beach, FL</t>
  </si>
  <si>
    <t>8125 US HIGHWAY 1 # PUMP, Vero Beach, FL</t>
  </si>
  <si>
    <t>8125 US HIGHWAY 1 LOT 3 SEWAGE, Vero Beach, FL</t>
  </si>
  <si>
    <t>68323 38468</t>
  </si>
  <si>
    <t>LOT 6, 8125 US HIGHWAY 1, VERO BEACH</t>
  </si>
  <si>
    <t>96829 38460</t>
  </si>
  <si>
    <t>LOT 7, 8125 US HIGHWAY 1, VERO BEACH</t>
  </si>
  <si>
    <t>46553 48466</t>
  </si>
  <si>
    <t>LOT 11, 8125 US HIGHWAY 1, VERO BEACH</t>
  </si>
  <si>
    <t>16613 61202</t>
  </si>
  <si>
    <t>LOT 14, 8125 US HIGHWAY 1, VERO BEACH</t>
  </si>
  <si>
    <t>00397 48462</t>
  </si>
  <si>
    <t>LOT 22, 8125 US HIGHWAY 1, VERO BEACH</t>
  </si>
  <si>
    <t>76488 61206</t>
  </si>
  <si>
    <t>LOT 25, 8125 US HIGHWAY 1, VERO BEACH</t>
  </si>
  <si>
    <t>01273 71201</t>
  </si>
  <si>
    <t>LOT 28, 8125 US HIGHWAY 1, VERO BEACH</t>
  </si>
  <si>
    <t>87597 71200</t>
  </si>
  <si>
    <t>LOT 35, 8125 US HIGHWAY 1, VERO BEACH</t>
  </si>
  <si>
    <t>78470 29480</t>
  </si>
  <si>
    <t>LOT 37, 8125 US HIGHWAY 1, VERO BEACH</t>
  </si>
  <si>
    <t>00023-53752-93002</t>
  </si>
  <si>
    <t>8125 Us Highway 1, Vero Beach, FL 32967-5695 US</t>
  </si>
  <si>
    <t>1046927-083328</t>
  </si>
  <si>
    <t>8125 US HIGHWAY 1 APT B, Vero Beach, FL</t>
  </si>
  <si>
    <t>8446 102ND AVE, Vero Beach, FL</t>
  </si>
  <si>
    <t>8095 US HIGHWAY 1, Vero Beach, FL</t>
  </si>
  <si>
    <t>20-10795-02</t>
  </si>
  <si>
    <t>700 E Ventura Ave #4</t>
  </si>
  <si>
    <t>SEA SHELLS</t>
  </si>
  <si>
    <t>264 HITCHING POST RD, Cape Canaveral, FL</t>
  </si>
  <si>
    <t>Active in vendor site</t>
  </si>
  <si>
    <t>263 HITCHING POST RD, Cape Canaveral, FL</t>
  </si>
  <si>
    <t>171 RICHIE AVE, Cape Canaveral, FL</t>
  </si>
  <si>
    <t>321 RICHIE AVE, Cape Canaveral, FL</t>
  </si>
  <si>
    <t>231 RICHIE AVE, Cape Canaveral, FL</t>
  </si>
  <si>
    <t>371 RICHIE AVE, Cape Canaveral, FL</t>
  </si>
  <si>
    <t>304 HITCHING POST RD, Cape Canaveral, FL</t>
  </si>
  <si>
    <t>311 RICHIE AVE, Cape Canaveral, FL</t>
  </si>
  <si>
    <t>103 HITCHING POST RD # LAUNDRY ROOM, Cape Canaveral, FL</t>
  </si>
  <si>
    <t>103 HITCHING POST RD, Cape Canaveral, FL</t>
  </si>
  <si>
    <t>113 HITCHING POST RD, Cape Canaveral, FL</t>
  </si>
  <si>
    <t>263 Hitching Post Rd, laundry</t>
  </si>
  <si>
    <t>Lot 115 (115 Arno Ave)</t>
  </si>
  <si>
    <t>FPL has lot 115 listed as 115 Riverside Dr in their system</t>
  </si>
  <si>
    <t>0203823072</t>
  </si>
  <si>
    <t>51 HITCHING POST ROAD
CAPE CANAVERAL, FL 32920-3739</t>
  </si>
  <si>
    <t>490561-79806</t>
  </si>
  <si>
    <t>101 Richie Avenue 100 U, Cape Canaveral, FL</t>
  </si>
  <si>
    <t>SHADY ACRES</t>
  </si>
  <si>
    <t>Okefenoke Rural Electric Membership Corp</t>
  </si>
  <si>
    <t>150 SHADY LANE DR.</t>
  </si>
  <si>
    <t>AUTOPAY</t>
  </si>
  <si>
    <t>SPARROW LN @ 124</t>
  </si>
  <si>
    <t>54 HOLTZ RD</t>
  </si>
  <si>
    <t>54 HOLTZ RD - LAUNDROMAT</t>
  </si>
  <si>
    <t>SECURITY LIGHTS</t>
  </si>
  <si>
    <t>19 DOVE ST.</t>
  </si>
  <si>
    <t>AN 8495744041708999</t>
  </si>
  <si>
    <t>14701 NE 6TH AVE # LDY, North Miami, FL</t>
  </si>
  <si>
    <t>00025-34800-83001</t>
  </si>
  <si>
    <t>14721 Ne 6th Ave, Miami, FL 33161-2283 US</t>
  </si>
  <si>
    <t>14721 NE 6 AVE</t>
  </si>
  <si>
    <t>0342701307</t>
  </si>
  <si>
    <t>925 CHENEY HWY LOT 3, Titusville, FL</t>
  </si>
  <si>
    <t>0596005330</t>
  </si>
  <si>
    <t>925 CHENEY HWY # A18, Titusville, FL</t>
  </si>
  <si>
    <t>0806523445</t>
  </si>
  <si>
    <t>925 CHENEY HWY LOT 2, Titusville, FL</t>
  </si>
  <si>
    <t>0939310322</t>
  </si>
  <si>
    <t>925 CHENEY HWY LOT 4, Titusville, FL</t>
  </si>
  <si>
    <t>925 CHENEY HWY LOT 18, Titusville, FL</t>
  </si>
  <si>
    <t>925 CHENEY HWY LOT 34, Titusville, FL</t>
  </si>
  <si>
    <t>925 CHENEY HWY LOT 16, Titusville, FL</t>
  </si>
  <si>
    <t>925 CHENEY HWY LOT 25, Titusville, FL</t>
  </si>
  <si>
    <t>925 CHENEY HWY LOT 15, Titusville, FL</t>
  </si>
  <si>
    <t>925 CHENEY HWY LOT 12, Titusville, FL</t>
  </si>
  <si>
    <t>925 CHENEY HWY LOT 14, Titusville, FL</t>
  </si>
  <si>
    <t>925 CHENEY HWY LOT 19, Titusville, FL</t>
  </si>
  <si>
    <t>925 CHENEY HWY LOT 29, Titusville, FL</t>
  </si>
  <si>
    <t>925 CHENEY HWY LOT 24, Titusville, FL</t>
  </si>
  <si>
    <t>925 CHENEY HWY LOT 7, Titusville, FL</t>
  </si>
  <si>
    <t>925 CHENEY HWY LOT 22, Titusville, FL</t>
  </si>
  <si>
    <t>925 CHENEY HWY OFC 44, Titusville, FL</t>
  </si>
  <si>
    <t>CITY OF TITUSVILLE</t>
  </si>
  <si>
    <t>925 CHENEY HWY</t>
  </si>
  <si>
    <t>8337 11 036 0448884</t>
  </si>
  <si>
    <t>925 CHENEY HWY LOT 43 TITUSVILLE FL 32780-6934</t>
  </si>
  <si>
    <t>0170131098</t>
  </si>
  <si>
    <t>8817 N ATLANTIC AVE LOT 41, Cape Canaveral, FL</t>
  </si>
  <si>
    <t>0179700570</t>
  </si>
  <si>
    <t>8817 N ATLANTIC AVE LOT 107, Cape Canaveral, FL</t>
  </si>
  <si>
    <t>0347435414</t>
  </si>
  <si>
    <t>8817 N ATLANTIC AVE # A6 DUPLEX, Cape Canaveral, FL</t>
  </si>
  <si>
    <t>0361258130</t>
  </si>
  <si>
    <t>8817 N ATLANTIC AVE LOT 98, Cape Canaveral, FL</t>
  </si>
  <si>
    <t>0671642411</t>
  </si>
  <si>
    <t>8817 N ATLANTIC AVE LOT 35, Cape Canaveral, FL</t>
  </si>
  <si>
    <t>8817 N ATLANTIC AVE LOT 54, Cape Canaveral, FL</t>
  </si>
  <si>
    <t>8817 N ATLANTIC AVE # OL, Cape Canaveral, FL</t>
  </si>
  <si>
    <t>8817 N ATLANTIC AVE LOT 15, Cape Canaveral, FL</t>
  </si>
  <si>
    <t>8817 N ATLANTIC AVE LOT 75, Cape Canaveral, FL</t>
  </si>
  <si>
    <t>8817 N ATLANTIC AVE LOT 48, Cape Canaveral, FL</t>
  </si>
  <si>
    <t>8817 N ATLANTIC AVE LOT 4, Cape Canaveral, FL</t>
  </si>
  <si>
    <t>8817 N ATLANTIC AVE LOT 23, Cape Canaveral, FL</t>
  </si>
  <si>
    <t>8817 N ATLANTIC AVE LOT 106, Cape Canaveral, FL</t>
  </si>
  <si>
    <t>8817 N ATLANTIC AVE # A107 OFFICE, Cape Canaveral, FL</t>
  </si>
  <si>
    <t>8817 N ATLANTIC AVE LOT 12, Cape Canaveral, FL</t>
  </si>
  <si>
    <t>8817 N ATLANTIC AVE LOT 47, Cape Canaveral, FL</t>
  </si>
  <si>
    <t>8817 N ATLANTIC AVE LOT 81, Cape Canaveral, FL</t>
  </si>
  <si>
    <t>8817 N ATLANTIC AVE # HSE-LAUNDRY, Cape Canaveral, FL</t>
  </si>
  <si>
    <t>8817 N ATLANTIC AVE LOT 93, Cape Canaveral, FL</t>
  </si>
  <si>
    <t>8817 N ATLANTIC AVE LOT 6, Cape Canaveral, FL</t>
  </si>
  <si>
    <t>8817 N ATLANTIC AVE LOT 16, Cape Canaveral, FL</t>
  </si>
  <si>
    <t>8817 N ATLANTIC AVE LOT 8, Cape Canaveral, FL</t>
  </si>
  <si>
    <t>0980495311</t>
  </si>
  <si>
    <t>8817 N ATLANTIC AVE # OL1, Cape Canaveral, FL</t>
  </si>
  <si>
    <t>318817NATLANTIC</t>
  </si>
  <si>
    <t>8817 N Atlantic Ave Apt 31</t>
  </si>
  <si>
    <t>8337110350155549..</t>
  </si>
  <si>
    <t>8817 N Atlantic Ave</t>
  </si>
  <si>
    <t>8337 11 035 0253369</t>
  </si>
  <si>
    <t>8817 N ATLANTIC AVE</t>
  </si>
  <si>
    <t>Stormwater</t>
  </si>
  <si>
    <t>8817 North Atantic Ave</t>
  </si>
  <si>
    <t>CLOSED/INACTIVE</t>
  </si>
  <si>
    <t>SU-RENE</t>
  </si>
  <si>
    <t>810 8TH ST LOT 12, Vero Beach, FL</t>
  </si>
  <si>
    <t>810 8TH ST # SEWER PLANT, Vero Beach, FL</t>
  </si>
  <si>
    <t>810 8TH ST LOT 37, Vero Beach, FL</t>
  </si>
  <si>
    <t>810 8TH ST LOT 48, Vero Beach, FL</t>
  </si>
  <si>
    <t>810 8TH ST LOT 14, Vero Beach, FL</t>
  </si>
  <si>
    <t>810 8TH ST LOT 13, Vero Beach, FL</t>
  </si>
  <si>
    <t>810 8TH ST LOT 31, Vero Beach, FL</t>
  </si>
  <si>
    <t>810 8TH ST LOT 15, Vero Beach, FL</t>
  </si>
  <si>
    <t>810 8TH ST LOT 34, Vero Beach, FL</t>
  </si>
  <si>
    <t>810 8TH ST LOT 38, Vero Beach, FL</t>
  </si>
  <si>
    <t>Indian River County Utilities Department</t>
  </si>
  <si>
    <t>Water/ Sewer</t>
  </si>
  <si>
    <t>1015829-001100</t>
  </si>
  <si>
    <t>810 8th Street, Vero Beach, FL</t>
  </si>
  <si>
    <t>13-27915-53009</t>
  </si>
  <si>
    <t>7835 Morse Ave</t>
  </si>
  <si>
    <t>3-0687-0000187</t>
  </si>
  <si>
    <t>7835 MORSE AVE,JACKSONVILLE,FL32244-4178</t>
  </si>
  <si>
    <t>4100 N HIGHWAY 1 LOT RV 5, Cocoa, FL</t>
  </si>
  <si>
    <t>4100 N HIGHWAY 1 # OFCE, Cocoa, FL</t>
  </si>
  <si>
    <t>48 OLSEN RD, Cocoa, FL</t>
  </si>
  <si>
    <t>35 OLSEN RD, Cocoa, FL</t>
  </si>
  <si>
    <t>4100 N HIGHWAY 1 APT 2, Cocoa, FL</t>
  </si>
  <si>
    <t>4100 N HIGHWAY 1 # RV 3, Cocoa, FL</t>
  </si>
  <si>
    <t>4100 N HIGHWAY 1 # RV 2, Cocoa, FL</t>
  </si>
  <si>
    <t>4100 N HIGHWAY 1 # RV 6, Cocoa, FL</t>
  </si>
  <si>
    <t>489673-22166</t>
  </si>
  <si>
    <t>4100 N HIGHWAY 1 36 UN, Cocoa, FL</t>
  </si>
  <si>
    <t>910094378788</t>
  </si>
  <si>
    <t>Triple S Marina LLC
1511 E FORT MACON RD Unit RV-63 ATLANTIC BEACH North Carolina</t>
  </si>
  <si>
    <t>910094381668</t>
  </si>
  <si>
    <t>Triple S Marina LLC
1511 E FORT MACON RD UNIT 43 ATLANTIC BEACH North Carolina</t>
  </si>
  <si>
    <t>910094378861</t>
  </si>
  <si>
    <t>Triple S Marina LLC
1511 E FORT MACON RD ATLANTIC BEACH North Carolina 28512-7450</t>
  </si>
  <si>
    <t>9101 2820 4932</t>
  </si>
  <si>
    <t>a   002303401</t>
  </si>
  <si>
    <t>1511 E Fort Macon Rd, Atlantic Beach, North Carolina</t>
  </si>
  <si>
    <t>Water/Stormwater</t>
  </si>
  <si>
    <t>72431-0</t>
  </si>
  <si>
    <t>1511 E FT MACON RD</t>
  </si>
  <si>
    <t>8349 11 016 0076972</t>
  </si>
  <si>
    <t>1511 E FORT MACON RD ATLANTIC BEACH NC 28512-7450</t>
  </si>
  <si>
    <t>Mobile</t>
  </si>
  <si>
    <t>(252) 659-1916</t>
  </si>
  <si>
    <t>Cable</t>
  </si>
  <si>
    <t>8349110160025912..</t>
  </si>
  <si>
    <t>1511 E Fort Macon RD</t>
  </si>
  <si>
    <t>910128204932</t>
  </si>
  <si>
    <t>910094384968</t>
  </si>
  <si>
    <t>910162091987..</t>
  </si>
  <si>
    <t>1511 Fort Macon Rd, Unit 49A</t>
  </si>
  <si>
    <t>0007892128</t>
  </si>
  <si>
    <t>4032 SE 24TH ST, Okeechobee, FL</t>
  </si>
  <si>
    <t>0123913113</t>
  </si>
  <si>
    <t>4231 SE 25TH TRL, Okeechobee, FL</t>
  </si>
  <si>
    <t>0216737320</t>
  </si>
  <si>
    <t>4325 SE 24TH TRL # 34, Okeechobee, FL</t>
  </si>
  <si>
    <t>0326817327</t>
  </si>
  <si>
    <t>4127 SE 25TH DR, Okeechobee, FL</t>
  </si>
  <si>
    <t>0710364522</t>
  </si>
  <si>
    <t>4223 SE 24TH RD, Okeechobee, FL</t>
  </si>
  <si>
    <t>0785373101</t>
  </si>
  <si>
    <t>4351 SE 26TH ST # 132-A VNTG, Okeechobee, FL</t>
  </si>
  <si>
    <t>4127 SE 24TH RD, Okeechobee, FL</t>
  </si>
  <si>
    <t>4144 SE 25TH DR, Okeechobee, FL</t>
  </si>
  <si>
    <t>2259 SE 40TH AVE # SEWERPLNT, Okeechobee, FL</t>
  </si>
  <si>
    <t>4219 SE 24TH ST, Okeechobee, FL</t>
  </si>
  <si>
    <t>4271 SE 24TH RD, Okeechobee, FL</t>
  </si>
  <si>
    <t>4317 SE 25TH TRL, Okeechobee, FL</t>
  </si>
  <si>
    <t>4317 SE 24TH TRL, Okeechobee, FL</t>
  </si>
  <si>
    <t>4345 SE 26TH ST # LAUNDRY, Okeechobee, FL</t>
  </si>
  <si>
    <t>4325 SE 24TH RD, Okeechobee, FL</t>
  </si>
  <si>
    <t>4071 SE 24TH ST, Okeechobee, FL</t>
  </si>
  <si>
    <t>4351 SE 26TH ST # 141-A VNTG, Okeechobee, FL</t>
  </si>
  <si>
    <t>4340 SE 26TH ST # OL, Okeechobee, FL</t>
  </si>
  <si>
    <t>4239 SE 25TH DR, Okeechobee, FL</t>
  </si>
  <si>
    <t>4351 SE 26TH ST # 92B VAN OK, Okeechobee, FL</t>
  </si>
  <si>
    <t>4263 SE 24TH TRL, Okeechobee, FL</t>
  </si>
  <si>
    <t>2259 SE 40TH AVE # LS, Okeechobee, FL</t>
  </si>
  <si>
    <t>4351 SE 26TH ST # A-1OL VANT, Okeechobee, FL</t>
  </si>
  <si>
    <t>4351 SE 26TH ST # 31-E VANT, Okeechobee, FL</t>
  </si>
  <si>
    <t>00027-50656-83008</t>
  </si>
  <si>
    <t>2265 Se 40th Ave, Okeechobee, FL 34974-6537 US</t>
  </si>
  <si>
    <t>x</t>
  </si>
  <si>
    <t>00026-85333-13002</t>
  </si>
  <si>
    <t>4348 Se 26th St, Okeechobee, FL 34974-6580 US</t>
  </si>
  <si>
    <t>00026-87382-13008</t>
  </si>
  <si>
    <t>2455 Se 43rd Ter, Okeechobee, FL 34974-6589 US</t>
  </si>
  <si>
    <t>00026-87413-83006</t>
  </si>
  <si>
    <t>2480 Se 41st Ter, Okeechobee, FL 34974 US</t>
  </si>
  <si>
    <t>8535114780482507</t>
  </si>
  <si>
    <t>4071 SE 24TH ST UNIT HMOFC, OKEECHOBEE, FL 34974</t>
  </si>
  <si>
    <t>055572-000</t>
  </si>
  <si>
    <t>4351 SE 26TH ST
OKEECHOBEE, FL 34974-6522</t>
  </si>
  <si>
    <t>055573-000</t>
  </si>
  <si>
    <t>4143 SE 21ST CT
OKEECHOBEE, FL 34974-6512</t>
  </si>
  <si>
    <t>055574-000</t>
  </si>
  <si>
    <t>4165 SE 21ST CT
OKEECHOBEE, FL 34974-6512</t>
  </si>
  <si>
    <t>055575-000</t>
  </si>
  <si>
    <t>4187 SE 21ST CT
OKEECHOBEE, FL 34974-6512</t>
  </si>
  <si>
    <t>055576-000</t>
  </si>
  <si>
    <t>4211 SE 21ST CT
OKEECHOBEE, FL 34974-6512</t>
  </si>
  <si>
    <t>055577-000</t>
  </si>
  <si>
    <t>4233 SE 21ST CT
OKEECHOBEE, FL 34974-6512</t>
  </si>
  <si>
    <t>055578-000</t>
  </si>
  <si>
    <t>4255 SE 21ST CT
OKEECHOBEE, FL 34974-6512</t>
  </si>
  <si>
    <t>055579-000</t>
  </si>
  <si>
    <t>4277 SE 21ST CT
OKEECHOBEE, FL 34974-6512</t>
  </si>
  <si>
    <t>055580-000</t>
  </si>
  <si>
    <t>4301 SE 21ST CT
OKEECHOBEE, FL 34974-6514</t>
  </si>
  <si>
    <t>055581-000</t>
  </si>
  <si>
    <t>4323 SE 21ST CT
OKEECHOBEE, FL 34974-6514</t>
  </si>
  <si>
    <t>055582-000</t>
  </si>
  <si>
    <t>4345 SE 21ST CT
OKEECHOBEE, FL 34974-6514</t>
  </si>
  <si>
    <t>055583-000</t>
  </si>
  <si>
    <t>4369 SE 21ST CT
OKEECHOBEE, FL 34974-6514</t>
  </si>
  <si>
    <t>055584-000</t>
  </si>
  <si>
    <t>4391 SE 21ST CT
OKEECHOBEE, FL 34974-6514</t>
  </si>
  <si>
    <t>055585-000</t>
  </si>
  <si>
    <t>4415 SE 21ST CT
OKEECHOBEE, FL 34974-6514</t>
  </si>
  <si>
    <t>055586-000</t>
  </si>
  <si>
    <t>4433 SE 21ST CT
OKEECHOBEE, FL 34974-6514</t>
  </si>
  <si>
    <t>055587-000</t>
  </si>
  <si>
    <t>4459 SE 21ST CT
OKEECHOBEE, FL 34974-6514</t>
  </si>
  <si>
    <t>055588-000</t>
  </si>
  <si>
    <t>4483 SE 21ST CT
OKEECHOBEE, FL 34974-6514</t>
  </si>
  <si>
    <t>055589-000</t>
  </si>
  <si>
    <t>4505 SE 21ST CT
OKEECHOBEE, FL 34974-6515</t>
  </si>
  <si>
    <t>055590-000</t>
  </si>
  <si>
    <t>4533 SE 21ST CT
OKEECHOBEE, FL 34974-6515</t>
  </si>
  <si>
    <t>055591-000</t>
  </si>
  <si>
    <t>4559 SE 21ST CT
OKEECHOBEE, FL 34974-6515</t>
  </si>
  <si>
    <t>055592-000</t>
  </si>
  <si>
    <t>4558 SE 21ST CT
OKEECHOBEE, FL 34974-6515</t>
  </si>
  <si>
    <t>055593-000</t>
  </si>
  <si>
    <t>4526 SE 21ST CT
OKEECHOBEE, FL 34974-6515</t>
  </si>
  <si>
    <t>055594-000</t>
  </si>
  <si>
    <t>4504 SE 21ST CT
OKEECHOBEE, FL 34974-6515</t>
  </si>
  <si>
    <t>055595-000</t>
  </si>
  <si>
    <t>4482 SE 21ST CT
OKEECHOBEE, FL 34974-6513</t>
  </si>
  <si>
    <t>055596-000</t>
  </si>
  <si>
    <t>4458 SE 21ST CT
OKEECHOBEE, FL 34974-6513</t>
  </si>
  <si>
    <t>055597-000</t>
  </si>
  <si>
    <t>4432 SE 21ST CT
OKEECHOBEE, FL 34974-6513</t>
  </si>
  <si>
    <t>055598-000</t>
  </si>
  <si>
    <t>4414 SE 21ST CT
OKEECHOBEE, FL 34974-6513</t>
  </si>
  <si>
    <t>055599-000</t>
  </si>
  <si>
    <t>4390 SE 21ST CT
OKEECHOBEE, FL 34974-6513</t>
  </si>
  <si>
    <t>055600-000</t>
  </si>
  <si>
    <t>4368 SE 21ST CT
OKEECHOBEE, FL 34974-6513</t>
  </si>
  <si>
    <t>055601-000</t>
  </si>
  <si>
    <t>4344 SE 21ST CT
OKEECHOBEE, FL 34974-6513</t>
  </si>
  <si>
    <t>055602-000</t>
  </si>
  <si>
    <t>4322 SE 21ST CT
OKEECHOBEE, FL 34974-6513</t>
  </si>
  <si>
    <t>055603-000</t>
  </si>
  <si>
    <t>4300 SE 21ST CT
OKEECHOBEE, FL 34974-6513</t>
  </si>
  <si>
    <t>055604-000</t>
  </si>
  <si>
    <t>4276 SE 21ST CT
OKEECHOBEE, FL 34974-6511</t>
  </si>
  <si>
    <t>055605-000</t>
  </si>
  <si>
    <t>4254 SE 21ST CT
OKEECHOBEE, FL 34974-6511</t>
  </si>
  <si>
    <t>055606-000</t>
  </si>
  <si>
    <t>4232 SE 21ST CT
OKEECHOBEE, FL 34974-6511</t>
  </si>
  <si>
    <t>055607-000</t>
  </si>
  <si>
    <t>4208 SE 21ST CT
OKEECHOBEE, FL 34974-6511</t>
  </si>
  <si>
    <t>055608-000</t>
  </si>
  <si>
    <t>4186 SE 21ST CT
OKEECHOBEE, FL 34974-6511</t>
  </si>
  <si>
    <t>055609-000</t>
  </si>
  <si>
    <t>4164 SE 21ST CT
OKEECHOBEE, FL 34974-6511</t>
  </si>
  <si>
    <t>055610-000</t>
  </si>
  <si>
    <t>4142 SE 21ST CT
OKEECHOBEE, FL 34974-6511</t>
  </si>
  <si>
    <t>055611-000</t>
  </si>
  <si>
    <t>4369 SE 22ND CT
OKEECHOBEE, FL 34974-6557</t>
  </si>
  <si>
    <t>055612-000</t>
  </si>
  <si>
    <t>4391 SE 22ND CT
OKEECHOBEE, FL 34974-6557</t>
  </si>
  <si>
    <t>055613-000</t>
  </si>
  <si>
    <t>4415 SE 22ND CT
OKEECHOBEE, FL 34974-6557</t>
  </si>
  <si>
    <t>055614-000</t>
  </si>
  <si>
    <t>4433 SE 22ND CT
OKEECHOBEE, FL 34974-6557</t>
  </si>
  <si>
    <t>055615-000</t>
  </si>
  <si>
    <t>4505 SE 22ND CT
OKEECHOBEE, FL 34974-6555</t>
  </si>
  <si>
    <t>055616-000</t>
  </si>
  <si>
    <t>4543 SE 22ND CT
OKEECHOBEE, FL 34974-6555</t>
  </si>
  <si>
    <t>055617-000</t>
  </si>
  <si>
    <t>4542 SE 22ND CT
OKEECHOBEE, FL 34974-6555</t>
  </si>
  <si>
    <t>055618-000</t>
  </si>
  <si>
    <t>4504 SE 22ND CT
OKEECHOBEE, FL 34974-6555</t>
  </si>
  <si>
    <t>055619-000</t>
  </si>
  <si>
    <t>4482 SE 22ND CT
OKEECHOBEE, FL 34974-6556</t>
  </si>
  <si>
    <t>055620-000</t>
  </si>
  <si>
    <t>4458 SE 22ND CT
OKEECHOBEE, FL 34974-6556</t>
  </si>
  <si>
    <t>055621-000</t>
  </si>
  <si>
    <t>4432 SE 22ND CT
OKEECHOBEE, FL 34974-6556</t>
  </si>
  <si>
    <t>055622-000</t>
  </si>
  <si>
    <t>4186 SE 22ND CT
OKEECHOBEE, FL 34974-6558</t>
  </si>
  <si>
    <t>055623-000</t>
  </si>
  <si>
    <t>4415 SE 23RD CT
OKEECHOBEE, FL 34974-6563</t>
  </si>
  <si>
    <t>055624-000</t>
  </si>
  <si>
    <t>4533 SE 23RD CT
OKEECHOBEE, FL 34974-6564</t>
  </si>
  <si>
    <t>055625-000</t>
  </si>
  <si>
    <t>4532 SE 23RD CT
OKEECHOBEE, FL 34974-6564</t>
  </si>
  <si>
    <t>055626-000</t>
  </si>
  <si>
    <t>4432 SE 23RD CT
OKEECHOBEE, FL 34974-6562</t>
  </si>
  <si>
    <t>055627-000</t>
  </si>
  <si>
    <t>4208 SE 23RD CT
OKEECHOBEE, FL 34974-6560</t>
  </si>
  <si>
    <t>055628-000</t>
  </si>
  <si>
    <t>4220 SE 23RD CT
OKEECHOBEE, FL 34974-6560</t>
  </si>
  <si>
    <t>055629-000</t>
  </si>
  <si>
    <t>4186 SE 23RD CT
OKEECHOBEE, FL 34974-6560</t>
  </si>
  <si>
    <t>055630-000</t>
  </si>
  <si>
    <t>4164 SE 23RD CT
OKEECHOBEE, FL 34974-6560</t>
  </si>
  <si>
    <t>055631-000</t>
  </si>
  <si>
    <t>4142 SE 23RD CT
OKEECHOBEE, FL 34974-6560</t>
  </si>
  <si>
    <t>TA VANTAGE OAKS, LLC</t>
  </si>
  <si>
    <t xml:space="preserve">
US Water Service Corp </t>
  </si>
  <si>
    <t>0517934055</t>
  </si>
  <si>
    <t>4095 SE 24TH ST, Okeechobee, FL</t>
  </si>
  <si>
    <t>2531 SE 41ST TER # LAUNDRY, Okeechobee, FL</t>
  </si>
  <si>
    <t>LOT 116 4040 SE 24th Rd Okeechobee, FL 34974</t>
  </si>
  <si>
    <t>1804 NELSON AVE # OL, Ormond Beach, FL</t>
  </si>
  <si>
    <t>0872456405</t>
  </si>
  <si>
    <t>1804 NELSON AVE LOT 20, Ormond Beach, FL</t>
  </si>
  <si>
    <t>1804 NELSON AVE LOT 46, Ormond Beach, FL</t>
  </si>
  <si>
    <t>1804 NELSON AVE LOT 11, Ormond Beach, FL</t>
  </si>
  <si>
    <t>00025-12885-83005</t>
  </si>
  <si>
    <t>1804 Nelson Ave, Ormond Beach, FL 32174-7263 US</t>
  </si>
  <si>
    <t>00025-12884-23009</t>
  </si>
  <si>
    <t>CITY OF DAYTONA BEACH</t>
  </si>
  <si>
    <t>00016864-01</t>
  </si>
  <si>
    <t>1804 NELSON AV</t>
  </si>
  <si>
    <t>WHISPERING PINES MH AND RV</t>
  </si>
  <si>
    <t>354 LILY LN, Titusville, FL</t>
  </si>
  <si>
    <t>359 CHENEY HWY # OL, Titusville, FL</t>
  </si>
  <si>
    <t>359 CHENEY HWY #WHISPERING PINES MHP #OL, Titusville, FL</t>
  </si>
  <si>
    <t>0473211233</t>
  </si>
  <si>
    <t>358 LILY LN # LIGHTS, Titusville, FL</t>
  </si>
  <si>
    <t>0708769468</t>
  </si>
  <si>
    <t>126 PENN RD, Titusville, FL</t>
  </si>
  <si>
    <t>0790269468</t>
  </si>
  <si>
    <t>122 PENN RD, Titusville, FL</t>
  </si>
  <si>
    <t>0880985270</t>
  </si>
  <si>
    <t>359 LILY LN, Titusville, FL</t>
  </si>
  <si>
    <t>0976008243</t>
  </si>
  <si>
    <t>354 DAISY LN, Titusville, FL</t>
  </si>
  <si>
    <t>365 LILY LN, Titusville, FL</t>
  </si>
  <si>
    <t>115 BAHNSEN RD, Titusville, FL</t>
  </si>
  <si>
    <t>130 PENN RD, Titusville, FL</t>
  </si>
  <si>
    <t>359 CHENEY HWY # 25, Titusville, FL</t>
  </si>
  <si>
    <t>119 1/2 PENN RD, Titusville, FL</t>
  </si>
  <si>
    <t>128 PENN RD, Titusville, FL</t>
  </si>
  <si>
    <t>4885 CLOVER LN # LIFT, Titusville, FL</t>
  </si>
  <si>
    <t>359 CHENEY HWY # OFFICE, Titusville, FL</t>
  </si>
  <si>
    <t>173 PENN RD, Titusville, FL</t>
  </si>
  <si>
    <t>359 CHENEY HWY # 26, Titusville, FL</t>
  </si>
  <si>
    <t>124 PENN RD, Titusville, FL</t>
  </si>
  <si>
    <t>4715 PERIWINKLE LN, Titusville, FL</t>
  </si>
  <si>
    <t>120 PENN RD, Titusville, FL</t>
  </si>
  <si>
    <t>359 CHENEY HWY # 27, Titusville, FL</t>
  </si>
  <si>
    <t>4755 CLOVER LN # CLB HSE, Titusville, FL</t>
  </si>
  <si>
    <t>4610 CLOVER LN, Titusville, FL</t>
  </si>
  <si>
    <t>359 CHENEY HWY, Titusville, FL</t>
  </si>
  <si>
    <t>356 DAISY LN, Titusville, FL</t>
  </si>
  <si>
    <t>117 BAHNSEN RD, Titusville, FL</t>
  </si>
  <si>
    <t>363 Lily Lane</t>
  </si>
  <si>
    <t>350 Lily Ln</t>
  </si>
  <si>
    <t>4745 Clyde Ln</t>
  </si>
  <si>
    <t>4720 Periwinkle Ln</t>
  </si>
  <si>
    <t>353 Daisy Ln</t>
  </si>
  <si>
    <t>359 Daisy Ln</t>
  </si>
  <si>
    <t>0158220046</t>
  </si>
  <si>
    <t>4885 Clover Ln</t>
  </si>
  <si>
    <t>4925 Clover Ln</t>
  </si>
  <si>
    <t>4975 CLOVER LN</t>
  </si>
  <si>
    <t>4925 CLOVER LN</t>
  </si>
  <si>
    <t>4770 PERIWINKLE LN</t>
  </si>
  <si>
    <t>353 DAISY LN</t>
  </si>
  <si>
    <t xml:space="preserve">356 DAISY LN </t>
  </si>
  <si>
    <t xml:space="preserve">4610 CLOVER LN </t>
  </si>
  <si>
    <t>359 CHENEY HWY RR</t>
  </si>
  <si>
    <t>359 Cheney Highway Off</t>
  </si>
  <si>
    <t>359 CHENEY HWY 30W</t>
  </si>
  <si>
    <t>359 CHENEY HWY 3E</t>
  </si>
  <si>
    <t>359 CHENEY HWY 2E</t>
  </si>
  <si>
    <t>359 CHENEY HWY OFC</t>
  </si>
  <si>
    <t>359 CHENEY HWY 1E</t>
  </si>
  <si>
    <t>354 Daisy Ln</t>
  </si>
  <si>
    <t>359 Cheney Hwy</t>
  </si>
  <si>
    <t>4975 Clover LN</t>
  </si>
  <si>
    <t>363 Lily Ln</t>
  </si>
  <si>
    <t>359 Lily Ln</t>
  </si>
  <si>
    <t>359Daisy</t>
  </si>
  <si>
    <t>4720Periwinkle</t>
  </si>
  <si>
    <t>359Lily</t>
  </si>
  <si>
    <t>SPECTRUM</t>
  </si>
  <si>
    <t>Telephone/Internet</t>
  </si>
  <si>
    <t>8337 11 036 0430486</t>
  </si>
  <si>
    <t>359 CHENEY HWY OFC TITUSVILLE FL 32780-3212</t>
  </si>
  <si>
    <t>8337 11 036 0436400</t>
  </si>
  <si>
    <t>4755 CLOVER LN CBHS TITUSVILLE FL 32780-7248</t>
  </si>
  <si>
    <t>8338110360013330..</t>
  </si>
  <si>
    <t>359 Cheney Highway</t>
  </si>
  <si>
    <t>SUBURBAN Propane</t>
  </si>
  <si>
    <t>1762-317364</t>
  </si>
  <si>
    <t>358 Daisy LN, Titusville, FL 32780</t>
  </si>
  <si>
    <t>NATIONAL GRID</t>
  </si>
  <si>
    <t>47 Washigton Street, Auburn, MA 01501</t>
  </si>
  <si>
    <t>SERVICE PLUS DISPOSAL</t>
  </si>
  <si>
    <t>47washington</t>
  </si>
  <si>
    <t>47 Washington</t>
  </si>
  <si>
    <t>AUBURN WATER DISTRICT</t>
  </si>
  <si>
    <t>3645-0</t>
  </si>
  <si>
    <t>TOWN OF AUBURN</t>
  </si>
  <si>
    <t>003645-0</t>
  </si>
  <si>
    <t>10221 River Road Potomac MD 20859-7585</t>
  </si>
  <si>
    <t>invoice every 11months</t>
  </si>
  <si>
    <t>BALDWIN EMC</t>
  </si>
  <si>
    <t>560377-001</t>
  </si>
  <si>
    <t>9741 WILSON ROAD, ELBERTA, AL | WOLF BAY PARK LIFT STATION</t>
  </si>
  <si>
    <t>RIVIERA UTILITIES</t>
  </si>
  <si>
    <t>9741 WILSON RD</t>
  </si>
  <si>
    <t>CITY OF ORANGE BEACH</t>
  </si>
  <si>
    <t xml:space="preserve">9741 Wilson Rd </t>
  </si>
  <si>
    <t>WM CORPORATE SERVICES INC</t>
  </si>
  <si>
    <t>00024-53993-63005</t>
  </si>
  <si>
    <t>9741 Wilson Rd, Elberta, AL 36530-6585 US</t>
  </si>
  <si>
    <t>8337110011549300.</t>
  </si>
  <si>
    <t>Units</t>
  </si>
  <si>
    <t>Total Zego EUM Invoice</t>
  </si>
  <si>
    <t>Monthly Quantity of Bills</t>
  </si>
  <si>
    <t>Monthly Per Bill EUM Cost</t>
  </si>
  <si>
    <t>MonthlyPer Unit EUM Cost</t>
  </si>
  <si>
    <t>Belle Haven</t>
  </si>
  <si>
    <t xml:space="preserve">Green Pointe </t>
  </si>
  <si>
    <t>Brunswick Estates</t>
  </si>
  <si>
    <t>Redlands</t>
  </si>
  <si>
    <t>Su-Rene</t>
  </si>
  <si>
    <t>Shady Acres</t>
  </si>
  <si>
    <t>Druid Oaks</t>
  </si>
  <si>
    <t>Parkwood</t>
  </si>
  <si>
    <t>Paradise Palms</t>
  </si>
  <si>
    <t>Auburn Ridge</t>
  </si>
  <si>
    <t>Oakside</t>
  </si>
  <si>
    <t>Hershey Park</t>
  </si>
  <si>
    <t>Great Oak</t>
  </si>
  <si>
    <t>Everglades</t>
  </si>
  <si>
    <t>Hendersons</t>
  </si>
  <si>
    <t>Nalls</t>
  </si>
  <si>
    <t>WHISPERING PINES 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</si>
</sst>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sz val="10"/>
      <color rgb="FF0A0A0A"/>
      <name val="Roboto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2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8"/>
      <color rgb="FF252525"/>
      <name val="Open Sans"/>
      <family val="2"/>
    </font>
    <font>
      <b/>
      <sz val="11"/>
      <color rgb="FF000000"/>
      <name val="Aptos Narrow"/>
      <family val="2"/>
    </font>
    <font>
      <b/>
      <sz val="11"/>
      <color rgb="FF00B05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</font>
    <font>
      <b/>
      <sz val="12"/>
      <color rgb="FF0A0A0A"/>
      <name val="Roboto"/>
      <family val="2"/>
      <charset val="1"/>
    </font>
    <font>
      <sz val="11"/>
      <color rgb="FF000000"/>
      <name val="Aptos Narrow"/>
      <family val="2"/>
    </font>
    <font>
      <b/>
      <sz val="11"/>
      <color rgb="FF00B0F0"/>
      <name val="Calibri"/>
      <family val="2"/>
    </font>
    <font>
      <b/>
      <sz val="10"/>
      <color rgb="FF000000"/>
      <name val="Calibri"/>
      <family val="2"/>
    </font>
    <font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B050"/>
      <name val="Calibri"/>
      <family val="2"/>
    </font>
    <font>
      <b/>
      <sz val="10"/>
      <color rgb="FFFF0000"/>
      <name val="Calibri"/>
      <family val="2"/>
    </font>
    <font>
      <sz val="11"/>
      <color theme="9"/>
      <name val="Calibri"/>
      <family val="2"/>
    </font>
    <font>
      <sz val="11"/>
      <color theme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Segoe U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43" fontId="39" fillId="0" borderId="0" applyFont="0" applyFill="0" applyBorder="0" applyAlignment="0" applyProtection="0"/>
    <xf numFmtId="44" fontId="39" fillId="0" borderId="0" applyFont="0" applyFill="0" applyBorder="0" applyAlignment="0" applyProtection="0"/>
  </cellStyleXfs>
  <cellXfs count="2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1" fontId="0" fillId="0" borderId="0" xfId="0" quotePrefix="1" applyNumberFormat="1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applyFont="1"/>
    <xf numFmtId="0" fontId="0" fillId="0" borderId="2" xfId="0" applyBorder="1" applyAlignment="1">
      <alignment horizontal="center"/>
    </xf>
    <xf numFmtId="0" fontId="5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wrapText="1"/>
    </xf>
    <xf numFmtId="1" fontId="5" fillId="0" borderId="0" xfId="0" quotePrefix="1" applyNumberFormat="1" applyFont="1" applyAlignment="1">
      <alignment horizontal="center"/>
    </xf>
    <xf numFmtId="0" fontId="10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/>
    <xf numFmtId="0" fontId="14" fillId="0" borderId="0" xfId="0" quotePrefix="1" applyFont="1" applyAlignment="1">
      <alignment horizontal="center"/>
    </xf>
    <xf numFmtId="0" fontId="13" fillId="0" borderId="0" xfId="0" applyFont="1" applyAlignment="1">
      <alignment horizontal="center"/>
    </xf>
    <xf numFmtId="1" fontId="13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" fontId="13" fillId="0" borderId="0" xfId="0" quotePrefix="1" applyNumberFormat="1" applyFont="1" applyAlignment="1">
      <alignment horizontal="center"/>
    </xf>
    <xf numFmtId="0" fontId="13" fillId="0" borderId="2" xfId="0" applyFont="1" applyBorder="1" applyAlignment="1">
      <alignment horizontal="center"/>
    </xf>
    <xf numFmtId="0" fontId="15" fillId="0" borderId="0" xfId="0" applyFont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left"/>
    </xf>
    <xf numFmtId="0" fontId="14" fillId="0" borderId="0" xfId="0" applyFont="1" applyAlignment="1">
      <alignment wrapText="1"/>
    </xf>
    <xf numFmtId="0" fontId="16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7" fillId="0" borderId="0" xfId="0" applyFont="1"/>
    <xf numFmtId="0" fontId="12" fillId="0" borderId="0" xfId="0" applyFont="1"/>
    <xf numFmtId="0" fontId="7" fillId="0" borderId="0" xfId="0" applyFont="1" applyAlignment="1">
      <alignment horizontal="center"/>
    </xf>
    <xf numFmtId="0" fontId="19" fillId="0" borderId="0" xfId="0" applyFont="1"/>
    <xf numFmtId="1" fontId="18" fillId="0" borderId="0" xfId="0" applyNumberFormat="1" applyFont="1" applyAlignment="1">
      <alignment horizontal="left" wrapText="1"/>
    </xf>
    <xf numFmtId="0" fontId="8" fillId="0" borderId="0" xfId="0" quotePrefix="1" applyFont="1" applyAlignment="1">
      <alignment horizontal="center" wrapText="1"/>
    </xf>
    <xf numFmtId="0" fontId="18" fillId="0" borderId="0" xfId="0" applyFont="1" applyAlignment="1">
      <alignment horizontal="left"/>
    </xf>
    <xf numFmtId="0" fontId="20" fillId="0" borderId="0" xfId="0" applyFont="1"/>
    <xf numFmtId="0" fontId="8" fillId="0" borderId="0" xfId="0" applyFont="1"/>
    <xf numFmtId="0" fontId="21" fillId="0" borderId="0" xfId="0" quotePrefix="1" applyFont="1" applyAlignment="1">
      <alignment horizontal="center"/>
    </xf>
    <xf numFmtId="0" fontId="22" fillId="0" borderId="0" xfId="0" quotePrefix="1" applyFont="1" applyAlignment="1">
      <alignment horizontal="center"/>
    </xf>
    <xf numFmtId="0" fontId="1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left" wrapText="1"/>
    </xf>
    <xf numFmtId="0" fontId="7" fillId="0" borderId="0" xfId="0" applyFont="1"/>
    <xf numFmtId="0" fontId="1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" fontId="7" fillId="0" borderId="0" xfId="0" quotePrefix="1" applyNumberFormat="1" applyFont="1" applyAlignment="1">
      <alignment horizontal="left"/>
    </xf>
    <xf numFmtId="49" fontId="0" fillId="0" borderId="0" xfId="0" quotePrefix="1" applyNumberFormat="1" applyAlignment="1">
      <alignment horizontal="center"/>
    </xf>
    <xf numFmtId="0" fontId="7" fillId="0" borderId="0" xfId="0" quotePrefix="1" applyFont="1" applyAlignment="1">
      <alignment horizontal="center"/>
    </xf>
    <xf numFmtId="0" fontId="13" fillId="0" borderId="0" xfId="0" applyFont="1" applyAlignment="1">
      <alignment vertical="center"/>
    </xf>
    <xf numFmtId="0" fontId="0" fillId="0" borderId="0" xfId="0" quotePrefix="1"/>
    <xf numFmtId="0" fontId="5" fillId="0" borderId="0" xfId="0" applyFont="1"/>
    <xf numFmtId="0" fontId="0" fillId="5" borderId="0" xfId="0" applyFill="1"/>
    <xf numFmtId="0" fontId="23" fillId="0" borderId="0" xfId="0" applyFont="1"/>
    <xf numFmtId="0" fontId="0" fillId="4" borderId="0" xfId="0" applyFill="1" applyAlignment="1">
      <alignment horizontal="center"/>
    </xf>
    <xf numFmtId="1" fontId="5" fillId="0" borderId="0" xfId="0" applyNumberFormat="1" applyFont="1" applyAlignment="1">
      <alignment horizontal="center"/>
    </xf>
    <xf numFmtId="0" fontId="24" fillId="6" borderId="0" xfId="0" applyFont="1" applyFill="1" applyAlignment="1">
      <alignment horizontal="center"/>
    </xf>
    <xf numFmtId="0" fontId="0" fillId="4" borderId="0" xfId="0" applyFill="1" applyAlignment="1">
      <alignment wrapText="1"/>
    </xf>
    <xf numFmtId="0" fontId="1" fillId="0" borderId="0" xfId="0" applyFont="1" applyAlignment="1">
      <alignment horizontal="center" wrapText="1"/>
    </xf>
    <xf numFmtId="0" fontId="16" fillId="0" borderId="0" xfId="0" quotePrefix="1" applyFont="1" applyAlignment="1">
      <alignment horizontal="center"/>
    </xf>
    <xf numFmtId="0" fontId="17" fillId="0" borderId="0" xfId="0" applyFont="1" applyAlignment="1">
      <alignment horizontal="left" wrapText="1"/>
    </xf>
    <xf numFmtId="1" fontId="1" fillId="0" borderId="0" xfId="0" applyNumberFormat="1" applyFont="1" applyAlignment="1">
      <alignment horizontal="center"/>
    </xf>
    <xf numFmtId="0" fontId="5" fillId="7" borderId="0" xfId="0" applyFont="1" applyFill="1"/>
    <xf numFmtId="0" fontId="16" fillId="7" borderId="9" xfId="0" applyFont="1" applyFill="1" applyBorder="1"/>
    <xf numFmtId="0" fontId="16" fillId="7" borderId="10" xfId="0" applyFont="1" applyFill="1" applyBorder="1"/>
    <xf numFmtId="0" fontId="16" fillId="7" borderId="0" xfId="0" applyFont="1" applyFill="1"/>
    <xf numFmtId="0" fontId="16" fillId="7" borderId="12" xfId="0" applyFont="1" applyFill="1" applyBorder="1"/>
    <xf numFmtId="0" fontId="5" fillId="7" borderId="14" xfId="0" applyFont="1" applyFill="1" applyBorder="1"/>
    <xf numFmtId="0" fontId="16" fillId="7" borderId="14" xfId="0" applyFont="1" applyFill="1" applyBorder="1"/>
    <xf numFmtId="0" fontId="16" fillId="7" borderId="15" xfId="0" applyFont="1" applyFill="1" applyBorder="1"/>
    <xf numFmtId="0" fontId="16" fillId="7" borderId="17" xfId="0" applyFont="1" applyFill="1" applyBorder="1"/>
    <xf numFmtId="0" fontId="26" fillId="7" borderId="17" xfId="0" applyFont="1" applyFill="1" applyBorder="1" applyAlignment="1">
      <alignment wrapText="1"/>
    </xf>
    <xf numFmtId="0" fontId="27" fillId="8" borderId="0" xfId="0" applyFont="1" applyFill="1"/>
    <xf numFmtId="0" fontId="28" fillId="9" borderId="0" xfId="0" applyFont="1" applyFill="1"/>
    <xf numFmtId="0" fontId="28" fillId="0" borderId="0" xfId="0" applyFont="1"/>
    <xf numFmtId="0" fontId="28" fillId="10" borderId="0" xfId="0" applyFont="1" applyFill="1"/>
    <xf numFmtId="0" fontId="28" fillId="11" borderId="0" xfId="0" applyFont="1" applyFill="1"/>
    <xf numFmtId="0" fontId="28" fillId="9" borderId="0" xfId="0" applyFont="1" applyFill="1" applyAlignment="1">
      <alignment wrapText="1"/>
    </xf>
    <xf numFmtId="0" fontId="28" fillId="11" borderId="0" xfId="0" applyFont="1" applyFill="1" applyAlignment="1">
      <alignment wrapText="1"/>
    </xf>
    <xf numFmtId="0" fontId="30" fillId="0" borderId="0" xfId="0" applyFont="1"/>
    <xf numFmtId="0" fontId="5" fillId="7" borderId="8" xfId="0" applyFont="1" applyFill="1" applyBorder="1" applyAlignment="1">
      <alignment wrapText="1"/>
    </xf>
    <xf numFmtId="0" fontId="5" fillId="7" borderId="11" xfId="0" applyFont="1" applyFill="1" applyBorder="1" applyAlignment="1">
      <alignment wrapText="1"/>
    </xf>
    <xf numFmtId="0" fontId="5" fillId="7" borderId="13" xfId="0" applyFont="1" applyFill="1" applyBorder="1" applyAlignment="1">
      <alignment wrapText="1"/>
    </xf>
    <xf numFmtId="0" fontId="16" fillId="7" borderId="16" xfId="0" applyFont="1" applyFill="1" applyBorder="1" applyAlignment="1">
      <alignment wrapText="1"/>
    </xf>
    <xf numFmtId="0" fontId="28" fillId="0" borderId="0" xfId="0" applyFont="1" applyAlignment="1">
      <alignment wrapText="1"/>
    </xf>
    <xf numFmtId="0" fontId="24" fillId="0" borderId="0" xfId="0" applyFont="1" applyAlignment="1">
      <alignment horizontal="center"/>
    </xf>
    <xf numFmtId="0" fontId="14" fillId="4" borderId="0" xfId="0" applyFont="1" applyFill="1" applyAlignment="1">
      <alignment horizontal="center"/>
    </xf>
    <xf numFmtId="0" fontId="14" fillId="4" borderId="0" xfId="0" applyFont="1" applyFill="1"/>
    <xf numFmtId="0" fontId="13" fillId="4" borderId="0" xfId="0" applyFont="1" applyFill="1"/>
    <xf numFmtId="0" fontId="5" fillId="12" borderId="0" xfId="0" applyFont="1" applyFill="1" applyAlignment="1">
      <alignment horizontal="center"/>
    </xf>
    <xf numFmtId="0" fontId="5" fillId="12" borderId="0" xfId="0" applyFont="1" applyFill="1"/>
    <xf numFmtId="0" fontId="5" fillId="0" borderId="0" xfId="0" applyFont="1" applyAlignment="1">
      <alignment wrapText="1"/>
    </xf>
    <xf numFmtId="1" fontId="0" fillId="0" borderId="0" xfId="0" applyNumberFormat="1" applyAlignment="1">
      <alignment horizontal="left" wrapText="1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2" fillId="0" borderId="0" xfId="0" applyFont="1"/>
    <xf numFmtId="0" fontId="33" fillId="0" borderId="18" xfId="0" applyFont="1" applyBorder="1"/>
    <xf numFmtId="0" fontId="34" fillId="0" borderId="18" xfId="0" quotePrefix="1" applyFont="1" applyBorder="1" applyAlignment="1">
      <alignment horizontal="center"/>
    </xf>
    <xf numFmtId="0" fontId="33" fillId="0" borderId="18" xfId="0" applyFont="1" applyBorder="1" applyAlignment="1">
      <alignment wrapText="1"/>
    </xf>
    <xf numFmtId="0" fontId="33" fillId="0" borderId="18" xfId="0" applyFont="1" applyBorder="1" applyAlignment="1">
      <alignment horizontal="center"/>
    </xf>
    <xf numFmtId="0" fontId="33" fillId="0" borderId="18" xfId="0" quotePrefix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1" fontId="33" fillId="0" borderId="18" xfId="0" applyNumberFormat="1" applyFont="1" applyBorder="1" applyAlignment="1">
      <alignment horizontal="center"/>
    </xf>
    <xf numFmtId="0" fontId="33" fillId="0" borderId="18" xfId="0" applyFont="1" applyBorder="1" applyAlignment="1">
      <alignment horizontal="left" wrapText="1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wrapText="1"/>
    </xf>
    <xf numFmtId="0" fontId="14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7" fillId="0" borderId="0" xfId="0" applyNumberFormat="1" applyFont="1" applyAlignment="1">
      <alignment horizontal="center"/>
    </xf>
    <xf numFmtId="0" fontId="1" fillId="0" borderId="18" xfId="0" applyFont="1" applyBorder="1"/>
    <xf numFmtId="0" fontId="0" fillId="0" borderId="18" xfId="0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0" fillId="0" borderId="18" xfId="0" applyBorder="1" applyAlignment="1">
      <alignment wrapText="1"/>
    </xf>
    <xf numFmtId="0" fontId="0" fillId="0" borderId="18" xfId="0" applyBorder="1"/>
    <xf numFmtId="0" fontId="7" fillId="0" borderId="18" xfId="0" applyFont="1" applyBorder="1" applyAlignment="1">
      <alignment horizontal="center"/>
    </xf>
    <xf numFmtId="0" fontId="7" fillId="0" borderId="18" xfId="0" applyFont="1" applyBorder="1"/>
    <xf numFmtId="0" fontId="1" fillId="0" borderId="20" xfId="0" applyFont="1" applyBorder="1"/>
    <xf numFmtId="0" fontId="0" fillId="0" borderId="20" xfId="0" applyBorder="1" applyAlignment="1">
      <alignment horizontal="center"/>
    </xf>
    <xf numFmtId="0" fontId="0" fillId="0" borderId="20" xfId="0" applyBorder="1"/>
    <xf numFmtId="0" fontId="13" fillId="0" borderId="18" xfId="0" applyFont="1" applyBorder="1" applyAlignment="1">
      <alignment horizontal="center"/>
    </xf>
    <xf numFmtId="0" fontId="13" fillId="0" borderId="18" xfId="0" applyFont="1" applyBorder="1" applyAlignment="1">
      <alignment wrapText="1"/>
    </xf>
    <xf numFmtId="0" fontId="15" fillId="0" borderId="18" xfId="0" applyFont="1" applyBorder="1" applyAlignment="1">
      <alignment horizontal="center"/>
    </xf>
    <xf numFmtId="0" fontId="14" fillId="0" borderId="18" xfId="0" quotePrefix="1" applyFont="1" applyBorder="1" applyAlignment="1">
      <alignment horizontal="center"/>
    </xf>
    <xf numFmtId="0" fontId="13" fillId="0" borderId="18" xfId="0" applyFont="1" applyBorder="1" applyAlignment="1">
      <alignment horizontal="left"/>
    </xf>
    <xf numFmtId="0" fontId="13" fillId="0" borderId="18" xfId="0" applyFont="1" applyBorder="1"/>
    <xf numFmtId="0" fontId="14" fillId="0" borderId="18" xfId="0" applyFont="1" applyBorder="1" applyAlignment="1">
      <alignment horizontal="center"/>
    </xf>
    <xf numFmtId="1" fontId="13" fillId="0" borderId="0" xfId="0" applyNumberFormat="1" applyFont="1" applyAlignment="1">
      <alignment horizontal="left" wrapText="1"/>
    </xf>
    <xf numFmtId="0" fontId="15" fillId="0" borderId="0" xfId="0" applyFont="1" applyAlignment="1">
      <alignment horizontal="left"/>
    </xf>
    <xf numFmtId="1" fontId="15" fillId="0" borderId="0" xfId="0" applyNumberFormat="1" applyFont="1" applyAlignment="1">
      <alignment horizontal="center"/>
    </xf>
    <xf numFmtId="0" fontId="36" fillId="0" borderId="0" xfId="0" applyFont="1" applyAlignment="1">
      <alignment vertical="center" wrapText="1"/>
    </xf>
    <xf numFmtId="0" fontId="37" fillId="0" borderId="0" xfId="0" applyFont="1"/>
    <xf numFmtId="0" fontId="7" fillId="0" borderId="0" xfId="0" applyFont="1" applyAlignment="1">
      <alignment horizontal="right"/>
    </xf>
    <xf numFmtId="0" fontId="21" fillId="0" borderId="18" xfId="0" quotePrefix="1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0" fillId="0" borderId="18" xfId="0" quotePrefix="1" applyBorder="1" applyAlignment="1">
      <alignment horizontal="center"/>
    </xf>
    <xf numFmtId="0" fontId="1" fillId="0" borderId="18" xfId="0" applyFont="1" applyBorder="1" applyAlignment="1">
      <alignment wrapText="1"/>
    </xf>
    <xf numFmtId="0" fontId="35" fillId="0" borderId="0" xfId="0" applyFont="1" applyAlignment="1">
      <alignment horizontal="right" wrapText="1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35" fillId="0" borderId="0" xfId="0" applyFont="1"/>
    <xf numFmtId="0" fontId="1" fillId="2" borderId="23" xfId="0" applyFont="1" applyFill="1" applyBorder="1" applyAlignment="1">
      <alignment horizontal="center"/>
    </xf>
    <xf numFmtId="0" fontId="22" fillId="0" borderId="18" xfId="0" quotePrefix="1" applyFont="1" applyBorder="1" applyAlignment="1">
      <alignment horizontal="center"/>
    </xf>
    <xf numFmtId="0" fontId="0" fillId="0" borderId="18" xfId="0" applyBorder="1" applyAlignment="1">
      <alignment horizontal="left"/>
    </xf>
    <xf numFmtId="0" fontId="22" fillId="0" borderId="18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7" fillId="0" borderId="18" xfId="0" applyFont="1" applyBorder="1"/>
    <xf numFmtId="0" fontId="11" fillId="0" borderId="18" xfId="0" quotePrefix="1" applyFont="1" applyBorder="1" applyAlignment="1">
      <alignment horizontal="center"/>
    </xf>
    <xf numFmtId="0" fontId="5" fillId="0" borderId="18" xfId="0" quotePrefix="1" applyFont="1" applyBorder="1" applyAlignment="1">
      <alignment horizontal="center"/>
    </xf>
    <xf numFmtId="0" fontId="9" fillId="0" borderId="18" xfId="0" applyFont="1" applyBorder="1"/>
    <xf numFmtId="0" fontId="0" fillId="0" borderId="0" xfId="0" applyAlignment="1">
      <alignment horizontal="right"/>
    </xf>
    <xf numFmtId="0" fontId="0" fillId="0" borderId="18" xfId="0" applyBorder="1" applyAlignment="1">
      <alignment horizontal="left" wrapText="1"/>
    </xf>
    <xf numFmtId="0" fontId="0" fillId="0" borderId="18" xfId="0" applyBorder="1" applyAlignment="1">
      <alignment vertical="center" wrapText="1"/>
    </xf>
    <xf numFmtId="0" fontId="22" fillId="0" borderId="18" xfId="0" applyFont="1" applyBorder="1" applyAlignment="1">
      <alignment horizontal="center" indent="1"/>
    </xf>
    <xf numFmtId="0" fontId="5" fillId="0" borderId="18" xfId="0" applyFont="1" applyBorder="1" applyAlignment="1">
      <alignment horizontal="center" indent="1"/>
    </xf>
    <xf numFmtId="0" fontId="1" fillId="2" borderId="24" xfId="0" applyFont="1" applyFill="1" applyBorder="1" applyAlignment="1">
      <alignment horizontal="center"/>
    </xf>
    <xf numFmtId="1" fontId="7" fillId="0" borderId="0" xfId="0" quotePrefix="1" applyNumberFormat="1" applyFont="1" applyAlignment="1">
      <alignment horizontal="center"/>
    </xf>
    <xf numFmtId="0" fontId="1" fillId="0" borderId="0" xfId="0" applyFont="1" applyAlignment="1">
      <alignment horizontal="left" wrapText="1"/>
    </xf>
    <xf numFmtId="1" fontId="0" fillId="0" borderId="18" xfId="0" applyNumberFormat="1" applyBorder="1" applyAlignment="1">
      <alignment horizontal="center"/>
    </xf>
    <xf numFmtId="0" fontId="15" fillId="0" borderId="18" xfId="0" applyFont="1" applyBorder="1"/>
    <xf numFmtId="0" fontId="0" fillId="4" borderId="18" xfId="0" applyFill="1" applyBorder="1"/>
    <xf numFmtId="0" fontId="0" fillId="4" borderId="18" xfId="0" applyFill="1" applyBorder="1" applyAlignment="1">
      <alignment horizontal="center"/>
    </xf>
    <xf numFmtId="0" fontId="13" fillId="0" borderId="18" xfId="0" quotePrefix="1" applyFont="1" applyBorder="1" applyAlignment="1">
      <alignment horizontal="center"/>
    </xf>
    <xf numFmtId="0" fontId="38" fillId="0" borderId="18" xfId="0" applyFont="1" applyBorder="1" applyAlignment="1">
      <alignment horizontal="center"/>
    </xf>
    <xf numFmtId="0" fontId="13" fillId="0" borderId="18" xfId="0" applyFont="1" applyBorder="1" applyAlignment="1">
      <alignment horizontal="left" wrapText="1"/>
    </xf>
    <xf numFmtId="1" fontId="13" fillId="0" borderId="18" xfId="0" applyNumberFormat="1" applyFont="1" applyBorder="1" applyAlignment="1">
      <alignment horizontal="center"/>
    </xf>
    <xf numFmtId="0" fontId="0" fillId="0" borderId="20" xfId="0" applyBorder="1" applyAlignment="1">
      <alignment wrapText="1"/>
    </xf>
    <xf numFmtId="0" fontId="0" fillId="0" borderId="24" xfId="0" applyBorder="1" applyAlignment="1">
      <alignment horizontal="center"/>
    </xf>
    <xf numFmtId="0" fontId="13" fillId="13" borderId="18" xfId="0" applyFont="1" applyFill="1" applyBorder="1" applyAlignment="1">
      <alignment horizontal="center"/>
    </xf>
    <xf numFmtId="0" fontId="37" fillId="0" borderId="0" xfId="0" applyFont="1" applyAlignment="1">
      <alignment horizontal="right"/>
    </xf>
    <xf numFmtId="0" fontId="37" fillId="0" borderId="0" xfId="0" applyFont="1" applyAlignment="1">
      <alignment horizontal="right" wrapText="1"/>
    </xf>
    <xf numFmtId="0" fontId="1" fillId="13" borderId="18" xfId="0" applyFont="1" applyFill="1" applyBorder="1"/>
    <xf numFmtId="0" fontId="0" fillId="13" borderId="18" xfId="0" applyFill="1" applyBorder="1"/>
    <xf numFmtId="0" fontId="0" fillId="13" borderId="18" xfId="0" applyFill="1" applyBorder="1" applyAlignment="1">
      <alignment horizontal="left"/>
    </xf>
    <xf numFmtId="0" fontId="0" fillId="13" borderId="0" xfId="0" applyFill="1"/>
    <xf numFmtId="44" fontId="27" fillId="8" borderId="0" xfId="2" applyFont="1" applyFill="1"/>
    <xf numFmtId="164" fontId="16" fillId="7" borderId="0" xfId="1" applyNumberFormat="1" applyFont="1" applyFill="1" applyBorder="1"/>
    <xf numFmtId="164" fontId="27" fillId="8" borderId="0" xfId="1" applyNumberFormat="1" applyFont="1" applyFill="1"/>
    <xf numFmtId="164" fontId="0" fillId="0" borderId="0" xfId="1" applyNumberFormat="1" applyFont="1"/>
    <xf numFmtId="164" fontId="27" fillId="0" borderId="0" xfId="1" applyNumberFormat="1" applyFont="1" applyFill="1"/>
    <xf numFmtId="44" fontId="27" fillId="0" borderId="0" xfId="2" applyFont="1" applyFill="1"/>
    <xf numFmtId="0" fontId="27" fillId="14" borderId="0" xfId="0" applyFont="1" applyFill="1"/>
    <xf numFmtId="44" fontId="27" fillId="14" borderId="0" xfId="2" applyFont="1" applyFill="1"/>
    <xf numFmtId="164" fontId="27" fillId="14" borderId="0" xfId="1" applyNumberFormat="1" applyFont="1" applyFill="1"/>
    <xf numFmtId="44" fontId="8" fillId="0" borderId="0" xfId="2" applyFont="1" applyFill="1"/>
    <xf numFmtId="0" fontId="0" fillId="15" borderId="18" xfId="0" applyFill="1" applyBorder="1" applyAlignment="1">
      <alignment horizontal="center"/>
    </xf>
    <xf numFmtId="0" fontId="0" fillId="15" borderId="18" xfId="0" applyFill="1" applyBorder="1" applyAlignment="1">
      <alignment wrapText="1"/>
    </xf>
    <xf numFmtId="0" fontId="0" fillId="15" borderId="18" xfId="0" applyFill="1" applyBorder="1"/>
    <xf numFmtId="0" fontId="0" fillId="15" borderId="0" xfId="0" applyFill="1"/>
    <xf numFmtId="0" fontId="1" fillId="15" borderId="18" xfId="0" applyFont="1" applyFill="1" applyBorder="1"/>
    <xf numFmtId="0" fontId="1" fillId="15" borderId="20" xfId="0" applyFont="1" applyFill="1" applyBorder="1"/>
    <xf numFmtId="44" fontId="27" fillId="16" borderId="0" xfId="2" applyFont="1" applyFill="1"/>
    <xf numFmtId="44" fontId="0" fillId="0" borderId="0" xfId="2" applyFont="1"/>
    <xf numFmtId="44" fontId="0" fillId="15" borderId="0" xfId="2" applyFont="1" applyFill="1"/>
    <xf numFmtId="44" fontId="8" fillId="15" borderId="0" xfId="2" applyFont="1" applyFill="1"/>
    <xf numFmtId="0" fontId="16" fillId="7" borderId="5" xfId="0" applyFont="1" applyFill="1" applyBorder="1"/>
    <xf numFmtId="0" fontId="16" fillId="7" borderId="6" xfId="0" applyFont="1" applyFill="1" applyBorder="1"/>
    <xf numFmtId="0" fontId="16" fillId="7" borderId="7" xfId="0" applyFont="1" applyFill="1" applyBorder="1"/>
    <xf numFmtId="0" fontId="16" fillId="7" borderId="8" xfId="0" applyFont="1" applyFill="1" applyBorder="1" applyAlignment="1">
      <alignment wrapText="1"/>
    </xf>
    <xf numFmtId="0" fontId="16" fillId="7" borderId="9" xfId="0" applyFont="1" applyFill="1" applyBorder="1" applyAlignment="1">
      <alignment wrapText="1"/>
    </xf>
    <xf numFmtId="0" fontId="16" fillId="7" borderId="10" xfId="0" applyFont="1" applyFill="1" applyBorder="1" applyAlignment="1">
      <alignment wrapText="1"/>
    </xf>
    <xf numFmtId="0" fontId="2" fillId="3" borderId="3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left" wrapText="1"/>
    </xf>
    <xf numFmtId="0" fontId="1" fillId="0" borderId="25" xfId="0" applyFont="1" applyBorder="1" applyAlignment="1">
      <alignment horizontal="left" wrapText="1"/>
    </xf>
    <xf numFmtId="0" fontId="2" fillId="3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 wrapText="1" indent="1"/>
    </xf>
    <xf numFmtId="0" fontId="1" fillId="0" borderId="26" xfId="0" applyFont="1" applyBorder="1" applyAlignment="1">
      <alignment horizontal="center" vertical="center" wrapText="1" indent="1"/>
    </xf>
    <xf numFmtId="0" fontId="1" fillId="0" borderId="25" xfId="0" applyFont="1" applyBorder="1" applyAlignment="1">
      <alignment horizontal="center" vertical="center" wrapText="1" indent="1"/>
    </xf>
    <xf numFmtId="0" fontId="1" fillId="0" borderId="20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0" fillId="0" borderId="20" xfId="0" applyBorder="1" applyAlignment="1">
      <alignment horizontal="left" wrapText="1"/>
    </xf>
    <xf numFmtId="0" fontId="0" fillId="0" borderId="25" xfId="0" applyBorder="1" applyAlignment="1">
      <alignment horizontal="left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65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1D36-FA0C-410D-BE18-C0FA034439F2}">
  <dimension ref="A1:N74"/>
  <sheetViews>
    <sheetView tabSelected="1" topLeftCell="A5" zoomScale="114" zoomScaleNormal="175" workbookViewId="0">
      <pane ySplit="1" topLeftCell="A35" activePane="bottomLeft" state="frozen"/>
      <selection activeCell="A5" sqref="A5"/>
      <selection pane="bottomLeft" activeCell="A50" sqref="A50"/>
    </sheetView>
  </sheetViews>
  <sheetFormatPr defaultRowHeight="14.25" outlineLevelRow="1" x14ac:dyDescent="0.45"/>
  <cols>
    <col min="1" max="1" width="28.53125" bestFit="1" customWidth="1"/>
    <col min="2" max="2" width="21.796875" bestFit="1" customWidth="1"/>
    <col min="3" max="3" width="23" bestFit="1" customWidth="1"/>
    <col min="4" max="4" width="6.73046875" style="192" bestFit="1" customWidth="1"/>
    <col min="5" max="5" width="23.53125" bestFit="1" customWidth="1"/>
    <col min="6" max="6" width="20.46484375" bestFit="1" customWidth="1"/>
    <col min="7" max="7" width="36.53125" bestFit="1" customWidth="1"/>
    <col min="8" max="8" width="22.6640625" bestFit="1" customWidth="1"/>
    <col min="9" max="9" width="28.1328125" bestFit="1" customWidth="1"/>
    <col min="10" max="10" width="21.6640625" bestFit="1" customWidth="1"/>
    <col min="11" max="11" width="19.46484375" bestFit="1" customWidth="1"/>
    <col min="12" max="12" width="17.33203125" bestFit="1" customWidth="1"/>
    <col min="13" max="13" width="14.33203125" bestFit="1" customWidth="1"/>
  </cols>
  <sheetData>
    <row r="1" spans="1:14" hidden="1" outlineLevel="1" x14ac:dyDescent="0.45">
      <c r="A1" s="209" t="s">
        <v>0</v>
      </c>
      <c r="B1" s="78"/>
      <c r="C1" s="78"/>
      <c r="D1" s="190"/>
      <c r="E1" s="78"/>
      <c r="F1" s="78"/>
      <c r="G1" s="212" t="s">
        <v>1</v>
      </c>
      <c r="H1" s="213"/>
      <c r="I1" s="213"/>
      <c r="J1" s="213"/>
      <c r="K1" s="213"/>
      <c r="L1" s="213"/>
      <c r="M1" s="213"/>
      <c r="N1" s="214"/>
    </row>
    <row r="2" spans="1:14" ht="28.5" hidden="1" outlineLevel="1" x14ac:dyDescent="0.45">
      <c r="A2" s="210"/>
      <c r="B2" s="78"/>
      <c r="C2" s="78"/>
      <c r="D2" s="190"/>
      <c r="E2" s="78"/>
      <c r="F2" s="78"/>
      <c r="G2" s="93" t="s">
        <v>2</v>
      </c>
      <c r="H2" s="75"/>
      <c r="I2" s="75"/>
      <c r="J2" s="76" t="s">
        <v>3</v>
      </c>
      <c r="K2" s="76" t="s">
        <v>3</v>
      </c>
      <c r="L2" s="76" t="s">
        <v>3</v>
      </c>
      <c r="M2" s="76" t="s">
        <v>3</v>
      </c>
      <c r="N2" s="77" t="s">
        <v>3</v>
      </c>
    </row>
    <row r="3" spans="1:14" ht="28.5" hidden="1" outlineLevel="1" x14ac:dyDescent="0.45">
      <c r="A3" s="210"/>
      <c r="B3" s="78"/>
      <c r="C3" s="78"/>
      <c r="D3" s="190"/>
      <c r="E3" s="78"/>
      <c r="F3" s="78"/>
      <c r="G3" s="94" t="s">
        <v>4</v>
      </c>
      <c r="H3" s="75"/>
      <c r="I3" s="75"/>
      <c r="J3" s="78" t="s">
        <v>3</v>
      </c>
      <c r="K3" s="78" t="s">
        <v>3</v>
      </c>
      <c r="L3" s="78" t="s">
        <v>3</v>
      </c>
      <c r="M3" s="78" t="s">
        <v>3</v>
      </c>
      <c r="N3" s="79" t="s">
        <v>3</v>
      </c>
    </row>
    <row r="4" spans="1:14" ht="28.5" hidden="1" outlineLevel="1" x14ac:dyDescent="0.45">
      <c r="A4" s="210"/>
      <c r="B4" s="78"/>
      <c r="C4" s="78"/>
      <c r="D4" s="190"/>
      <c r="E4" s="78"/>
      <c r="F4" s="78"/>
      <c r="G4" s="95" t="s">
        <v>5</v>
      </c>
      <c r="H4" s="75"/>
      <c r="I4" s="80" t="s">
        <v>3</v>
      </c>
      <c r="J4" s="80" t="s">
        <v>3</v>
      </c>
      <c r="K4" s="81" t="s">
        <v>3</v>
      </c>
      <c r="L4" s="81" t="s">
        <v>3</v>
      </c>
      <c r="M4" s="81" t="s">
        <v>3</v>
      </c>
      <c r="N4" s="82" t="s">
        <v>3</v>
      </c>
    </row>
    <row r="5" spans="1:14" ht="26.65" collapsed="1" x14ac:dyDescent="0.45">
      <c r="A5" s="211"/>
      <c r="B5" s="78" t="s">
        <v>1410</v>
      </c>
      <c r="C5" s="78" t="s">
        <v>1411</v>
      </c>
      <c r="D5" s="190" t="s">
        <v>1408</v>
      </c>
      <c r="E5" s="78" t="s">
        <v>1412</v>
      </c>
      <c r="F5" s="78" t="s">
        <v>1409</v>
      </c>
      <c r="G5" s="96" t="s">
        <v>6</v>
      </c>
      <c r="H5" s="83" t="s">
        <v>7</v>
      </c>
      <c r="I5" s="83" t="s">
        <v>8</v>
      </c>
      <c r="J5" s="83" t="s">
        <v>9</v>
      </c>
      <c r="K5" s="84" t="s">
        <v>10</v>
      </c>
      <c r="L5" s="83" t="s">
        <v>11</v>
      </c>
      <c r="M5" s="83" t="s">
        <v>12</v>
      </c>
      <c r="N5" s="82" t="s">
        <v>13</v>
      </c>
    </row>
    <row r="6" spans="1:14" x14ac:dyDescent="0.45">
      <c r="A6" s="85" t="s">
        <v>14</v>
      </c>
      <c r="B6" s="85">
        <v>5</v>
      </c>
      <c r="C6" s="205">
        <f>B6*6</f>
        <v>30</v>
      </c>
      <c r="D6" s="191">
        <v>40</v>
      </c>
      <c r="E6" s="189">
        <f>D6*1.1</f>
        <v>44</v>
      </c>
      <c r="F6" s="189">
        <f>MIN(C6,E6)</f>
        <v>30</v>
      </c>
      <c r="G6" s="90" t="s">
        <v>15</v>
      </c>
      <c r="H6" s="86" t="s">
        <v>16</v>
      </c>
      <c r="I6" s="87"/>
      <c r="J6" s="88" t="s">
        <v>17</v>
      </c>
      <c r="K6" s="86" t="s">
        <v>18</v>
      </c>
      <c r="L6" s="87"/>
      <c r="M6" s="87"/>
      <c r="N6" s="87"/>
    </row>
    <row r="7" spans="1:14" x14ac:dyDescent="0.45">
      <c r="A7" s="195" t="s">
        <v>19</v>
      </c>
      <c r="B7" s="195"/>
      <c r="C7" s="196">
        <f t="shared" ref="C7:C68" si="0">B7*6</f>
        <v>0</v>
      </c>
      <c r="D7" s="197"/>
      <c r="E7" s="196">
        <f t="shared" ref="E7:E68" si="1">D7*1.1</f>
        <v>0</v>
      </c>
      <c r="F7" s="196">
        <f t="shared" ref="F7:F52" si="2">MIN(C7,E7)</f>
        <v>0</v>
      </c>
      <c r="G7" s="91" t="s">
        <v>20</v>
      </c>
      <c r="H7" s="89" t="s">
        <v>21</v>
      </c>
      <c r="I7" s="86" t="s">
        <v>22</v>
      </c>
      <c r="J7" s="86" t="s">
        <v>22</v>
      </c>
      <c r="K7" s="86" t="s">
        <v>23</v>
      </c>
      <c r="L7" s="87"/>
      <c r="M7" s="87"/>
      <c r="N7" s="87"/>
    </row>
    <row r="8" spans="1:14" x14ac:dyDescent="0.45">
      <c r="A8" s="85" t="s">
        <v>24</v>
      </c>
      <c r="B8" s="85">
        <v>3</v>
      </c>
      <c r="C8" s="205">
        <f t="shared" si="0"/>
        <v>18</v>
      </c>
      <c r="D8" s="191">
        <v>87</v>
      </c>
      <c r="E8" s="189">
        <f t="shared" si="1"/>
        <v>95.7</v>
      </c>
      <c r="F8" s="189">
        <f t="shared" si="2"/>
        <v>18</v>
      </c>
      <c r="G8" s="97"/>
      <c r="H8" s="86" t="s">
        <v>25</v>
      </c>
      <c r="I8" s="87"/>
      <c r="J8" s="86" t="s">
        <v>26</v>
      </c>
      <c r="K8" s="87"/>
      <c r="L8" s="87"/>
      <c r="M8" s="87"/>
      <c r="N8" s="87"/>
    </row>
    <row r="9" spans="1:14" x14ac:dyDescent="0.45">
      <c r="A9" s="85" t="s">
        <v>27</v>
      </c>
      <c r="B9" s="85">
        <v>1</v>
      </c>
      <c r="C9" s="205">
        <f t="shared" si="0"/>
        <v>6</v>
      </c>
      <c r="D9" s="191">
        <v>86</v>
      </c>
      <c r="E9" s="189">
        <f t="shared" si="1"/>
        <v>94.600000000000009</v>
      </c>
      <c r="F9" s="189">
        <f t="shared" si="2"/>
        <v>6</v>
      </c>
      <c r="G9" s="97"/>
      <c r="H9" s="86" t="s">
        <v>28</v>
      </c>
      <c r="I9" s="87"/>
      <c r="J9" s="87"/>
      <c r="K9" s="87"/>
      <c r="L9" s="87"/>
      <c r="M9" s="87"/>
      <c r="N9" s="87"/>
    </row>
    <row r="10" spans="1:14" x14ac:dyDescent="0.45">
      <c r="A10" s="85" t="s">
        <v>29</v>
      </c>
      <c r="B10" s="85">
        <v>2</v>
      </c>
      <c r="C10" s="205">
        <f t="shared" si="0"/>
        <v>12</v>
      </c>
      <c r="D10" s="191">
        <v>34</v>
      </c>
      <c r="E10" s="189">
        <f t="shared" si="1"/>
        <v>37.400000000000006</v>
      </c>
      <c r="F10" s="189">
        <f t="shared" si="2"/>
        <v>12</v>
      </c>
      <c r="G10" s="97"/>
      <c r="H10" s="86" t="s">
        <v>28</v>
      </c>
      <c r="I10" s="87"/>
      <c r="J10" s="86" t="s">
        <v>30</v>
      </c>
      <c r="K10" s="87"/>
      <c r="L10" s="87"/>
      <c r="M10" s="87"/>
      <c r="N10" s="87"/>
    </row>
    <row r="11" spans="1:14" x14ac:dyDescent="0.45">
      <c r="A11" s="85" t="s">
        <v>31</v>
      </c>
      <c r="B11" s="85">
        <v>7</v>
      </c>
      <c r="C11" s="205">
        <f t="shared" si="0"/>
        <v>42</v>
      </c>
      <c r="D11" s="191">
        <v>133</v>
      </c>
      <c r="E11" s="189">
        <f t="shared" si="1"/>
        <v>146.30000000000001</v>
      </c>
      <c r="F11" s="189">
        <f t="shared" si="2"/>
        <v>42</v>
      </c>
      <c r="G11" s="97"/>
      <c r="H11" s="86" t="s">
        <v>32</v>
      </c>
      <c r="I11" s="87"/>
      <c r="J11" s="86" t="s">
        <v>33</v>
      </c>
      <c r="K11" s="87"/>
      <c r="L11" s="87"/>
      <c r="M11" s="87"/>
      <c r="N11" s="87"/>
    </row>
    <row r="12" spans="1:14" x14ac:dyDescent="0.45">
      <c r="A12" s="85" t="s">
        <v>34</v>
      </c>
      <c r="B12" s="85">
        <v>7</v>
      </c>
      <c r="C12" s="205">
        <f t="shared" si="0"/>
        <v>42</v>
      </c>
      <c r="D12" s="191">
        <v>76</v>
      </c>
      <c r="E12" s="189">
        <f t="shared" si="1"/>
        <v>83.600000000000009</v>
      </c>
      <c r="F12" s="189">
        <f t="shared" si="2"/>
        <v>42</v>
      </c>
      <c r="G12" s="90" t="s">
        <v>35</v>
      </c>
      <c r="H12" s="86" t="s">
        <v>28</v>
      </c>
      <c r="I12" s="87"/>
      <c r="J12" s="86" t="s">
        <v>36</v>
      </c>
      <c r="K12" s="86" t="s">
        <v>37</v>
      </c>
      <c r="L12" s="87"/>
      <c r="M12" s="87"/>
      <c r="N12" s="87"/>
    </row>
    <row r="13" spans="1:14" x14ac:dyDescent="0.45">
      <c r="A13" s="85" t="s">
        <v>38</v>
      </c>
      <c r="B13" s="85">
        <v>8</v>
      </c>
      <c r="C13" s="205">
        <f t="shared" si="0"/>
        <v>48</v>
      </c>
      <c r="D13" s="191">
        <v>64</v>
      </c>
      <c r="E13" s="189">
        <f t="shared" si="1"/>
        <v>70.400000000000006</v>
      </c>
      <c r="F13" s="189">
        <f t="shared" si="2"/>
        <v>48</v>
      </c>
      <c r="G13" s="90" t="s">
        <v>39</v>
      </c>
      <c r="H13" s="86" t="s">
        <v>28</v>
      </c>
      <c r="I13" s="86" t="s">
        <v>39</v>
      </c>
      <c r="J13" s="86" t="s">
        <v>39</v>
      </c>
      <c r="K13" s="87"/>
      <c r="L13" s="86" t="s">
        <v>40</v>
      </c>
      <c r="M13" s="87"/>
      <c r="N13" s="87"/>
    </row>
    <row r="14" spans="1:14" x14ac:dyDescent="0.45">
      <c r="A14" s="85" t="s">
        <v>41</v>
      </c>
      <c r="B14" s="85">
        <v>3</v>
      </c>
      <c r="C14" s="205">
        <f t="shared" si="0"/>
        <v>18</v>
      </c>
      <c r="D14" s="191">
        <v>31</v>
      </c>
      <c r="E14" s="189">
        <f t="shared" si="1"/>
        <v>34.1</v>
      </c>
      <c r="F14" s="189">
        <f t="shared" si="2"/>
        <v>18</v>
      </c>
      <c r="G14" s="90" t="s">
        <v>42</v>
      </c>
      <c r="H14" s="86" t="s">
        <v>28</v>
      </c>
      <c r="I14" s="87"/>
      <c r="J14" s="87"/>
      <c r="K14" s="87"/>
      <c r="L14" s="87"/>
      <c r="M14" s="87"/>
      <c r="N14" s="87"/>
    </row>
    <row r="15" spans="1:14" x14ac:dyDescent="0.45">
      <c r="A15" s="195" t="s">
        <v>43</v>
      </c>
      <c r="B15" s="195"/>
      <c r="C15" s="196">
        <f t="shared" si="0"/>
        <v>0</v>
      </c>
      <c r="D15" s="197"/>
      <c r="E15" s="196">
        <f t="shared" si="1"/>
        <v>0</v>
      </c>
      <c r="F15" s="196">
        <f t="shared" si="2"/>
        <v>0</v>
      </c>
      <c r="G15" s="91" t="s">
        <v>44</v>
      </c>
      <c r="H15" s="89" t="s">
        <v>45</v>
      </c>
      <c r="I15" s="89" t="s">
        <v>44</v>
      </c>
      <c r="J15" s="89" t="s">
        <v>44</v>
      </c>
      <c r="K15" s="87"/>
      <c r="L15" s="87"/>
      <c r="M15" s="87"/>
      <c r="N15" s="87"/>
    </row>
    <row r="16" spans="1:14" x14ac:dyDescent="0.45">
      <c r="A16" s="85" t="s">
        <v>46</v>
      </c>
      <c r="B16" s="85">
        <v>11</v>
      </c>
      <c r="C16" s="189">
        <f t="shared" si="0"/>
        <v>66</v>
      </c>
      <c r="D16" s="191">
        <v>51</v>
      </c>
      <c r="E16" s="205">
        <f t="shared" si="1"/>
        <v>56.1</v>
      </c>
      <c r="F16" s="189">
        <f t="shared" si="2"/>
        <v>56.1</v>
      </c>
      <c r="G16" s="91" t="s">
        <v>47</v>
      </c>
      <c r="H16" s="86" t="s">
        <v>48</v>
      </c>
      <c r="I16" s="87"/>
      <c r="J16" s="86" t="s">
        <v>33</v>
      </c>
      <c r="K16" s="87"/>
      <c r="L16" s="87"/>
      <c r="M16" s="87"/>
      <c r="N16" s="87"/>
    </row>
    <row r="17" spans="1:14" x14ac:dyDescent="0.45">
      <c r="A17" s="85" t="s">
        <v>49</v>
      </c>
      <c r="B17" s="85">
        <v>13</v>
      </c>
      <c r="C17" s="189">
        <f t="shared" si="0"/>
        <v>78</v>
      </c>
      <c r="D17" s="191">
        <v>36</v>
      </c>
      <c r="E17" s="205">
        <f t="shared" si="1"/>
        <v>39.6</v>
      </c>
      <c r="F17" s="189">
        <f t="shared" si="2"/>
        <v>39.6</v>
      </c>
      <c r="G17" s="91" t="s">
        <v>50</v>
      </c>
      <c r="H17" s="86" t="s">
        <v>51</v>
      </c>
      <c r="I17" s="89" t="s">
        <v>50</v>
      </c>
      <c r="J17" s="86" t="s">
        <v>33</v>
      </c>
      <c r="K17" s="86" t="s">
        <v>52</v>
      </c>
      <c r="L17" s="90" t="s">
        <v>53</v>
      </c>
      <c r="M17" s="87"/>
      <c r="N17" s="87"/>
    </row>
    <row r="18" spans="1:14" x14ac:dyDescent="0.45">
      <c r="A18" s="85" t="s">
        <v>54</v>
      </c>
      <c r="B18" s="85">
        <v>9</v>
      </c>
      <c r="C18" s="189">
        <f t="shared" si="0"/>
        <v>54</v>
      </c>
      <c r="D18" s="191">
        <v>39</v>
      </c>
      <c r="E18" s="205">
        <f t="shared" si="1"/>
        <v>42.900000000000006</v>
      </c>
      <c r="F18" s="189">
        <f t="shared" si="2"/>
        <v>42.900000000000006</v>
      </c>
      <c r="G18" s="91" t="s">
        <v>55</v>
      </c>
      <c r="H18" s="86" t="s">
        <v>48</v>
      </c>
      <c r="I18" s="87"/>
      <c r="J18" s="89" t="s">
        <v>56</v>
      </c>
      <c r="K18" s="86" t="s">
        <v>18</v>
      </c>
      <c r="L18" s="87"/>
      <c r="M18" s="87"/>
      <c r="N18" s="87"/>
    </row>
    <row r="19" spans="1:14" x14ac:dyDescent="0.45">
      <c r="A19" s="85" t="s">
        <v>57</v>
      </c>
      <c r="B19" s="85">
        <v>5</v>
      </c>
      <c r="C19" s="205">
        <f t="shared" si="0"/>
        <v>30</v>
      </c>
      <c r="D19" s="191">
        <v>46</v>
      </c>
      <c r="E19" s="189">
        <f t="shared" si="1"/>
        <v>50.6</v>
      </c>
      <c r="F19" s="189">
        <f t="shared" si="2"/>
        <v>30</v>
      </c>
      <c r="G19" s="90" t="s">
        <v>39</v>
      </c>
      <c r="H19" s="86" t="s">
        <v>28</v>
      </c>
      <c r="I19" s="86" t="s">
        <v>39</v>
      </c>
      <c r="J19" s="87"/>
      <c r="K19" s="87"/>
      <c r="L19" s="86" t="s">
        <v>40</v>
      </c>
      <c r="M19" s="87"/>
      <c r="N19" s="87"/>
    </row>
    <row r="20" spans="1:14" x14ac:dyDescent="0.45">
      <c r="A20" s="85" t="s">
        <v>58</v>
      </c>
      <c r="B20" s="85">
        <v>6</v>
      </c>
      <c r="C20" s="189">
        <f t="shared" si="0"/>
        <v>36</v>
      </c>
      <c r="D20" s="191">
        <v>29</v>
      </c>
      <c r="E20" s="205">
        <f t="shared" si="1"/>
        <v>31.900000000000002</v>
      </c>
      <c r="F20" s="189">
        <f t="shared" si="2"/>
        <v>31.900000000000002</v>
      </c>
      <c r="G20" s="90" t="s">
        <v>59</v>
      </c>
      <c r="H20" s="86" t="s">
        <v>25</v>
      </c>
      <c r="I20" s="86" t="s">
        <v>59</v>
      </c>
      <c r="J20" s="86" t="s">
        <v>33</v>
      </c>
      <c r="K20" s="87"/>
      <c r="L20" s="87"/>
      <c r="M20" s="87"/>
      <c r="N20" s="87"/>
    </row>
    <row r="21" spans="1:14" x14ac:dyDescent="0.45">
      <c r="A21" s="85" t="s">
        <v>60</v>
      </c>
      <c r="B21" s="85">
        <v>7</v>
      </c>
      <c r="C21" s="205">
        <f t="shared" si="0"/>
        <v>42</v>
      </c>
      <c r="D21" s="191">
        <v>99</v>
      </c>
      <c r="E21" s="189">
        <f t="shared" si="1"/>
        <v>108.9</v>
      </c>
      <c r="F21" s="189">
        <f t="shared" si="2"/>
        <v>42</v>
      </c>
      <c r="G21" s="91" t="s">
        <v>61</v>
      </c>
      <c r="H21" s="86" t="s">
        <v>28</v>
      </c>
      <c r="I21" s="89" t="s">
        <v>61</v>
      </c>
      <c r="J21" s="86" t="s">
        <v>33</v>
      </c>
      <c r="K21" s="86" t="s">
        <v>37</v>
      </c>
      <c r="L21" s="87"/>
      <c r="M21" s="87"/>
      <c r="N21" s="87"/>
    </row>
    <row r="22" spans="1:14" x14ac:dyDescent="0.45">
      <c r="A22" s="85" t="s">
        <v>62</v>
      </c>
      <c r="B22" s="85">
        <v>8</v>
      </c>
      <c r="C22" s="205">
        <f t="shared" si="0"/>
        <v>48</v>
      </c>
      <c r="D22" s="191">
        <v>45</v>
      </c>
      <c r="E22" s="189">
        <f t="shared" si="1"/>
        <v>49.500000000000007</v>
      </c>
      <c r="F22" s="189">
        <f t="shared" si="2"/>
        <v>48</v>
      </c>
      <c r="G22" s="90" t="s">
        <v>63</v>
      </c>
      <c r="H22" s="86" t="s">
        <v>25</v>
      </c>
      <c r="I22" s="86" t="s">
        <v>63</v>
      </c>
      <c r="J22" s="86" t="s">
        <v>64</v>
      </c>
      <c r="K22" s="87"/>
      <c r="L22" s="87"/>
      <c r="M22" s="87"/>
      <c r="N22" s="87"/>
    </row>
    <row r="23" spans="1:14" x14ac:dyDescent="0.45">
      <c r="A23" s="85" t="s">
        <v>65</v>
      </c>
      <c r="B23" s="85">
        <v>5</v>
      </c>
      <c r="C23" s="205">
        <f t="shared" si="0"/>
        <v>30</v>
      </c>
      <c r="D23" s="191">
        <v>46</v>
      </c>
      <c r="E23" s="189">
        <f t="shared" si="1"/>
        <v>50.6</v>
      </c>
      <c r="F23" s="189">
        <f t="shared" si="2"/>
        <v>30</v>
      </c>
      <c r="G23" s="90" t="s">
        <v>66</v>
      </c>
      <c r="H23" s="86" t="s">
        <v>25</v>
      </c>
      <c r="I23" s="86" t="s">
        <v>66</v>
      </c>
      <c r="J23" s="86" t="s">
        <v>56</v>
      </c>
      <c r="K23" s="86" t="s">
        <v>37</v>
      </c>
      <c r="L23" s="87"/>
      <c r="M23" s="87"/>
      <c r="N23" s="87"/>
    </row>
    <row r="24" spans="1:14" x14ac:dyDescent="0.45">
      <c r="A24" s="85" t="s">
        <v>67</v>
      </c>
      <c r="B24" s="85">
        <v>5</v>
      </c>
      <c r="C24" s="205">
        <f t="shared" si="0"/>
        <v>30</v>
      </c>
      <c r="D24" s="191">
        <v>53</v>
      </c>
      <c r="E24" s="189">
        <f t="shared" si="1"/>
        <v>58.300000000000004</v>
      </c>
      <c r="F24" s="189">
        <f t="shared" si="2"/>
        <v>30</v>
      </c>
      <c r="G24" s="90" t="s">
        <v>68</v>
      </c>
      <c r="H24" s="86" t="s">
        <v>69</v>
      </c>
      <c r="I24" s="87"/>
      <c r="J24" s="86" t="s">
        <v>64</v>
      </c>
      <c r="K24" s="87"/>
      <c r="L24" s="87"/>
      <c r="M24" s="87"/>
      <c r="N24" s="87"/>
    </row>
    <row r="25" spans="1:14" x14ac:dyDescent="0.45">
      <c r="A25" s="85" t="s">
        <v>70</v>
      </c>
      <c r="B25" s="85">
        <v>81</v>
      </c>
      <c r="C25" s="189">
        <f t="shared" si="0"/>
        <v>486</v>
      </c>
      <c r="D25" s="191">
        <v>128</v>
      </c>
      <c r="E25" s="205">
        <f t="shared" si="1"/>
        <v>140.80000000000001</v>
      </c>
      <c r="F25" s="189">
        <f t="shared" si="2"/>
        <v>140.80000000000001</v>
      </c>
      <c r="G25" s="91" t="s">
        <v>71</v>
      </c>
      <c r="H25" s="86" t="s">
        <v>28</v>
      </c>
      <c r="I25" s="87"/>
      <c r="J25" s="86" t="s">
        <v>33</v>
      </c>
      <c r="K25" s="86" t="s">
        <v>18</v>
      </c>
      <c r="L25" s="88" t="s">
        <v>72</v>
      </c>
      <c r="M25" s="87"/>
      <c r="N25" s="87"/>
    </row>
    <row r="26" spans="1:14" x14ac:dyDescent="0.45">
      <c r="A26" s="85" t="s">
        <v>73</v>
      </c>
      <c r="B26" s="85">
        <v>4</v>
      </c>
      <c r="C26" s="205">
        <f t="shared" si="0"/>
        <v>24</v>
      </c>
      <c r="D26" s="191">
        <v>50</v>
      </c>
      <c r="E26" s="189">
        <f t="shared" si="1"/>
        <v>55.000000000000007</v>
      </c>
      <c r="F26" s="189">
        <f t="shared" si="2"/>
        <v>24</v>
      </c>
      <c r="G26" s="91" t="s">
        <v>74</v>
      </c>
      <c r="H26" s="86" t="s">
        <v>75</v>
      </c>
      <c r="I26" s="87"/>
      <c r="J26" s="86" t="s">
        <v>33</v>
      </c>
      <c r="K26" s="87"/>
      <c r="L26" s="87"/>
      <c r="M26" s="87"/>
      <c r="N26" s="87"/>
    </row>
    <row r="27" spans="1:14" x14ac:dyDescent="0.45">
      <c r="A27" s="85" t="s">
        <v>76</v>
      </c>
      <c r="B27" s="85">
        <v>24</v>
      </c>
      <c r="C27" s="189">
        <f t="shared" si="0"/>
        <v>144</v>
      </c>
      <c r="D27" s="191">
        <v>69</v>
      </c>
      <c r="E27" s="205">
        <f t="shared" si="1"/>
        <v>75.900000000000006</v>
      </c>
      <c r="F27" s="189">
        <f t="shared" si="2"/>
        <v>75.900000000000006</v>
      </c>
      <c r="G27" s="91" t="s">
        <v>77</v>
      </c>
      <c r="H27" s="86" t="s">
        <v>78</v>
      </c>
      <c r="I27" s="89" t="s">
        <v>79</v>
      </c>
      <c r="J27" s="86" t="s">
        <v>33</v>
      </c>
      <c r="K27" s="87"/>
      <c r="L27" s="87"/>
      <c r="M27" s="87"/>
      <c r="N27" s="87"/>
    </row>
    <row r="28" spans="1:14" x14ac:dyDescent="0.45">
      <c r="A28" s="85" t="s">
        <v>80</v>
      </c>
      <c r="B28" s="85">
        <v>3</v>
      </c>
      <c r="C28" s="205">
        <f t="shared" si="0"/>
        <v>18</v>
      </c>
      <c r="D28" s="193"/>
      <c r="E28" s="194">
        <f t="shared" si="1"/>
        <v>0</v>
      </c>
      <c r="F28" s="189">
        <f>C28</f>
        <v>18</v>
      </c>
      <c r="G28" s="97"/>
      <c r="H28" s="86" t="s">
        <v>28</v>
      </c>
      <c r="I28" s="87"/>
      <c r="J28" s="87"/>
      <c r="K28" s="87"/>
      <c r="L28" s="87"/>
      <c r="M28" s="87"/>
      <c r="N28" s="87"/>
    </row>
    <row r="29" spans="1:14" x14ac:dyDescent="0.45">
      <c r="A29" s="85" t="s">
        <v>81</v>
      </c>
      <c r="B29" s="85">
        <v>4</v>
      </c>
      <c r="C29" s="205">
        <f t="shared" si="0"/>
        <v>24</v>
      </c>
      <c r="D29" s="191">
        <v>61</v>
      </c>
      <c r="E29" s="189">
        <f t="shared" si="1"/>
        <v>67.100000000000009</v>
      </c>
      <c r="F29" s="189">
        <f t="shared" si="2"/>
        <v>24</v>
      </c>
      <c r="G29" s="91" t="s">
        <v>82</v>
      </c>
      <c r="H29" s="87"/>
      <c r="I29" s="89" t="s">
        <v>82</v>
      </c>
      <c r="J29" s="86" t="s">
        <v>83</v>
      </c>
      <c r="K29" s="87"/>
      <c r="L29" s="87"/>
      <c r="M29" s="87"/>
      <c r="N29" s="87"/>
    </row>
    <row r="30" spans="1:14" x14ac:dyDescent="0.45">
      <c r="A30" s="195" t="s">
        <v>84</v>
      </c>
      <c r="B30" s="195"/>
      <c r="C30" s="196">
        <f t="shared" si="0"/>
        <v>0</v>
      </c>
      <c r="D30" s="197"/>
      <c r="E30" s="196">
        <f t="shared" si="1"/>
        <v>0</v>
      </c>
      <c r="F30" s="196">
        <f t="shared" si="2"/>
        <v>0</v>
      </c>
      <c r="G30" s="97"/>
      <c r="H30" s="89" t="s">
        <v>45</v>
      </c>
      <c r="I30" s="86" t="s">
        <v>22</v>
      </c>
      <c r="J30" s="86" t="s">
        <v>22</v>
      </c>
      <c r="K30" s="87"/>
      <c r="L30" s="87"/>
      <c r="M30" s="87"/>
      <c r="N30" s="87"/>
    </row>
    <row r="31" spans="1:14" x14ac:dyDescent="0.45">
      <c r="A31" s="85" t="s">
        <v>85</v>
      </c>
      <c r="B31" s="85">
        <v>6</v>
      </c>
      <c r="C31" s="205">
        <f t="shared" si="0"/>
        <v>36</v>
      </c>
      <c r="D31" s="191">
        <v>50</v>
      </c>
      <c r="E31" s="189">
        <f t="shared" si="1"/>
        <v>55.000000000000007</v>
      </c>
      <c r="F31" s="189">
        <f t="shared" si="2"/>
        <v>36</v>
      </c>
      <c r="G31" s="90" t="s">
        <v>86</v>
      </c>
      <c r="H31" s="87"/>
      <c r="I31" s="86" t="s">
        <v>86</v>
      </c>
      <c r="J31" s="87"/>
      <c r="K31" s="87"/>
      <c r="L31" s="87"/>
      <c r="M31" s="87"/>
      <c r="N31" s="87"/>
    </row>
    <row r="32" spans="1:14" x14ac:dyDescent="0.45">
      <c r="A32" s="85" t="s">
        <v>87</v>
      </c>
      <c r="B32" s="85">
        <v>16</v>
      </c>
      <c r="C32" s="189">
        <f t="shared" si="0"/>
        <v>96</v>
      </c>
      <c r="D32" s="191">
        <v>62</v>
      </c>
      <c r="E32" s="205">
        <f t="shared" si="1"/>
        <v>68.2</v>
      </c>
      <c r="F32" s="189">
        <f t="shared" si="2"/>
        <v>68.2</v>
      </c>
      <c r="G32" s="90" t="s">
        <v>88</v>
      </c>
      <c r="H32" s="86" t="s">
        <v>28</v>
      </c>
      <c r="I32" s="86" t="s">
        <v>26</v>
      </c>
      <c r="J32" s="86" t="s">
        <v>26</v>
      </c>
      <c r="K32" s="86" t="s">
        <v>18</v>
      </c>
      <c r="L32" s="87"/>
      <c r="M32" s="87"/>
      <c r="N32" s="87"/>
    </row>
    <row r="33" spans="1:14" x14ac:dyDescent="0.45">
      <c r="A33" s="85" t="s">
        <v>89</v>
      </c>
      <c r="B33" s="85">
        <v>8</v>
      </c>
      <c r="C33" s="205">
        <f t="shared" si="0"/>
        <v>48</v>
      </c>
      <c r="D33" s="191">
        <v>55</v>
      </c>
      <c r="E33" s="189">
        <f t="shared" si="1"/>
        <v>60.500000000000007</v>
      </c>
      <c r="F33" s="189">
        <f t="shared" si="2"/>
        <v>48</v>
      </c>
      <c r="G33" s="90" t="s">
        <v>90</v>
      </c>
      <c r="H33" s="86" t="s">
        <v>28</v>
      </c>
      <c r="I33" s="86" t="s">
        <v>90</v>
      </c>
      <c r="J33" s="86" t="s">
        <v>30</v>
      </c>
      <c r="K33" s="86" t="s">
        <v>91</v>
      </c>
      <c r="L33" s="87"/>
      <c r="M33" s="87"/>
      <c r="N33" s="87"/>
    </row>
    <row r="34" spans="1:14" x14ac:dyDescent="0.45">
      <c r="A34" s="85" t="s">
        <v>92</v>
      </c>
      <c r="B34" s="85">
        <v>4</v>
      </c>
      <c r="C34" s="205">
        <f t="shared" si="0"/>
        <v>24</v>
      </c>
      <c r="D34" s="191">
        <v>46</v>
      </c>
      <c r="E34" s="189">
        <f t="shared" si="1"/>
        <v>50.6</v>
      </c>
      <c r="F34" s="189">
        <f t="shared" si="2"/>
        <v>24</v>
      </c>
      <c r="G34" s="90" t="s">
        <v>93</v>
      </c>
      <c r="H34" s="86" t="s">
        <v>25</v>
      </c>
      <c r="I34" s="86" t="s">
        <v>93</v>
      </c>
      <c r="J34" s="86" t="s">
        <v>93</v>
      </c>
      <c r="K34" s="86" t="s">
        <v>18</v>
      </c>
      <c r="L34" s="87"/>
      <c r="M34" s="87"/>
      <c r="N34" s="87"/>
    </row>
    <row r="35" spans="1:14" x14ac:dyDescent="0.45">
      <c r="A35" s="85" t="s">
        <v>94</v>
      </c>
      <c r="B35" s="85">
        <v>12</v>
      </c>
      <c r="C35" s="205">
        <f t="shared" si="0"/>
        <v>72</v>
      </c>
      <c r="D35" s="191">
        <v>175</v>
      </c>
      <c r="E35" s="189">
        <f t="shared" si="1"/>
        <v>192.50000000000003</v>
      </c>
      <c r="F35" s="189">
        <f t="shared" si="2"/>
        <v>72</v>
      </c>
      <c r="G35" s="97"/>
      <c r="H35" s="86" t="s">
        <v>25</v>
      </c>
      <c r="I35" s="87"/>
      <c r="J35" s="89" t="s">
        <v>95</v>
      </c>
      <c r="K35" s="86" t="s">
        <v>18</v>
      </c>
      <c r="L35" s="88" t="s">
        <v>96</v>
      </c>
      <c r="M35" s="87"/>
      <c r="N35" s="87"/>
    </row>
    <row r="36" spans="1:14" x14ac:dyDescent="0.45">
      <c r="A36" s="195" t="s">
        <v>97</v>
      </c>
      <c r="B36" s="195"/>
      <c r="C36" s="196">
        <f t="shared" si="0"/>
        <v>0</v>
      </c>
      <c r="D36" s="197"/>
      <c r="E36" s="196">
        <f t="shared" si="1"/>
        <v>0</v>
      </c>
      <c r="F36" s="196">
        <f t="shared" si="2"/>
        <v>0</v>
      </c>
      <c r="G36" s="91" t="s">
        <v>44</v>
      </c>
      <c r="H36" s="89" t="s">
        <v>45</v>
      </c>
      <c r="I36" s="89" t="s">
        <v>44</v>
      </c>
      <c r="J36" s="89" t="s">
        <v>44</v>
      </c>
      <c r="K36" s="87"/>
      <c r="L36" s="87"/>
      <c r="M36" s="87"/>
      <c r="N36" s="87"/>
    </row>
    <row r="37" spans="1:14" x14ac:dyDescent="0.45">
      <c r="A37" s="85" t="s">
        <v>98</v>
      </c>
      <c r="B37" s="85">
        <v>53</v>
      </c>
      <c r="C37" s="189">
        <f t="shared" si="0"/>
        <v>318</v>
      </c>
      <c r="D37" s="191">
        <v>114</v>
      </c>
      <c r="E37" s="205">
        <f t="shared" si="1"/>
        <v>125.4</v>
      </c>
      <c r="F37" s="189">
        <f t="shared" si="2"/>
        <v>125.4</v>
      </c>
      <c r="G37" s="97"/>
      <c r="H37" s="86" t="s">
        <v>99</v>
      </c>
      <c r="I37" s="87"/>
      <c r="J37" s="88" t="s">
        <v>100</v>
      </c>
      <c r="K37" s="86" t="s">
        <v>18</v>
      </c>
      <c r="L37" s="90" t="s">
        <v>101</v>
      </c>
      <c r="M37" s="87"/>
      <c r="N37" s="87"/>
    </row>
    <row r="38" spans="1:14" x14ac:dyDescent="0.45">
      <c r="A38" s="85" t="s">
        <v>102</v>
      </c>
      <c r="B38" s="85">
        <v>8</v>
      </c>
      <c r="C38" s="205">
        <f t="shared" si="0"/>
        <v>48</v>
      </c>
      <c r="D38" s="191">
        <v>162</v>
      </c>
      <c r="E38" s="189">
        <f t="shared" si="1"/>
        <v>178.20000000000002</v>
      </c>
      <c r="F38" s="189">
        <f t="shared" si="2"/>
        <v>48</v>
      </c>
      <c r="G38" s="91" t="s">
        <v>61</v>
      </c>
      <c r="H38" s="86" t="s">
        <v>28</v>
      </c>
      <c r="I38" s="89" t="s">
        <v>61</v>
      </c>
      <c r="J38" s="86" t="s">
        <v>33</v>
      </c>
      <c r="K38" s="89" t="s">
        <v>103</v>
      </c>
      <c r="L38" s="87"/>
      <c r="M38" s="87"/>
      <c r="N38" s="87"/>
    </row>
    <row r="39" spans="1:14" x14ac:dyDescent="0.45">
      <c r="A39" s="85" t="s">
        <v>104</v>
      </c>
      <c r="B39" s="85">
        <v>14</v>
      </c>
      <c r="C39" s="189">
        <f t="shared" si="0"/>
        <v>84</v>
      </c>
      <c r="D39" s="191">
        <v>39</v>
      </c>
      <c r="E39" s="205">
        <f t="shared" si="1"/>
        <v>42.900000000000006</v>
      </c>
      <c r="F39" s="189">
        <f t="shared" si="2"/>
        <v>42.900000000000006</v>
      </c>
      <c r="G39" s="91" t="s">
        <v>105</v>
      </c>
      <c r="H39" s="86" t="s">
        <v>28</v>
      </c>
      <c r="I39" s="87"/>
      <c r="J39" s="86" t="s">
        <v>33</v>
      </c>
      <c r="K39" s="87"/>
      <c r="L39" s="87"/>
      <c r="M39" s="87"/>
      <c r="N39" s="87"/>
    </row>
    <row r="40" spans="1:14" x14ac:dyDescent="0.45">
      <c r="A40" s="85" t="s">
        <v>106</v>
      </c>
      <c r="B40" s="85">
        <v>1</v>
      </c>
      <c r="C40" s="205">
        <f t="shared" si="0"/>
        <v>6</v>
      </c>
      <c r="D40" s="191">
        <v>51</v>
      </c>
      <c r="E40" s="189">
        <f t="shared" si="1"/>
        <v>56.1</v>
      </c>
      <c r="F40" s="189">
        <f t="shared" si="2"/>
        <v>6</v>
      </c>
      <c r="G40" s="97"/>
      <c r="H40" s="86" t="s">
        <v>107</v>
      </c>
      <c r="I40" s="87"/>
      <c r="J40" s="87"/>
      <c r="K40" s="87"/>
      <c r="L40" s="87"/>
      <c r="M40" s="87"/>
      <c r="N40" s="87"/>
    </row>
    <row r="41" spans="1:14" x14ac:dyDescent="0.45">
      <c r="A41" s="85" t="s">
        <v>108</v>
      </c>
      <c r="B41" s="85">
        <v>9</v>
      </c>
      <c r="C41" s="205">
        <f t="shared" si="0"/>
        <v>54</v>
      </c>
      <c r="D41" s="191">
        <v>100</v>
      </c>
      <c r="E41" s="189">
        <f t="shared" si="1"/>
        <v>110.00000000000001</v>
      </c>
      <c r="F41" s="189">
        <f t="shared" si="2"/>
        <v>54</v>
      </c>
      <c r="G41" s="90" t="s">
        <v>39</v>
      </c>
      <c r="H41" s="86" t="s">
        <v>28</v>
      </c>
      <c r="I41" s="86" t="s">
        <v>39</v>
      </c>
      <c r="J41" s="86" t="s">
        <v>39</v>
      </c>
      <c r="K41" s="87"/>
      <c r="L41" s="90" t="s">
        <v>101</v>
      </c>
      <c r="M41" s="87"/>
      <c r="N41" s="87"/>
    </row>
    <row r="42" spans="1:14" x14ac:dyDescent="0.45">
      <c r="A42" s="85" t="s">
        <v>109</v>
      </c>
      <c r="B42" s="85">
        <v>4</v>
      </c>
      <c r="C42" s="205">
        <f t="shared" si="0"/>
        <v>24</v>
      </c>
      <c r="D42" s="191">
        <v>37</v>
      </c>
      <c r="E42" s="189">
        <f t="shared" si="1"/>
        <v>40.700000000000003</v>
      </c>
      <c r="F42" s="189">
        <f t="shared" si="2"/>
        <v>24</v>
      </c>
      <c r="G42" s="91" t="s">
        <v>110</v>
      </c>
      <c r="H42" s="86" t="s">
        <v>28</v>
      </c>
      <c r="I42" s="91" t="s">
        <v>111</v>
      </c>
      <c r="J42" s="86" t="s">
        <v>33</v>
      </c>
      <c r="K42" s="87"/>
      <c r="L42" s="87"/>
      <c r="M42" s="87"/>
      <c r="N42" s="87"/>
    </row>
    <row r="43" spans="1:14" x14ac:dyDescent="0.45">
      <c r="A43" s="85" t="s">
        <v>112</v>
      </c>
      <c r="B43" s="85">
        <v>19</v>
      </c>
      <c r="C43" s="189">
        <f t="shared" si="0"/>
        <v>114</v>
      </c>
      <c r="D43" s="191">
        <v>57</v>
      </c>
      <c r="E43" s="205">
        <f t="shared" si="1"/>
        <v>62.7</v>
      </c>
      <c r="F43" s="189">
        <f t="shared" si="2"/>
        <v>62.7</v>
      </c>
      <c r="G43" s="91" t="s">
        <v>113</v>
      </c>
      <c r="H43" s="86" t="s">
        <v>28</v>
      </c>
      <c r="I43" s="89" t="s">
        <v>113</v>
      </c>
      <c r="J43" s="87"/>
      <c r="K43" s="86" t="s">
        <v>18</v>
      </c>
      <c r="L43" s="87"/>
      <c r="M43" s="87"/>
      <c r="N43" s="87"/>
    </row>
    <row r="44" spans="1:14" x14ac:dyDescent="0.45">
      <c r="A44" s="85" t="s">
        <v>114</v>
      </c>
      <c r="B44" s="85">
        <v>26</v>
      </c>
      <c r="C44" s="189">
        <f t="shared" si="0"/>
        <v>156</v>
      </c>
      <c r="D44" s="191">
        <v>102</v>
      </c>
      <c r="E44" s="205">
        <f t="shared" si="1"/>
        <v>112.2</v>
      </c>
      <c r="F44" s="189">
        <f t="shared" si="2"/>
        <v>112.2</v>
      </c>
      <c r="G44" s="97"/>
      <c r="H44" s="86" t="s">
        <v>28</v>
      </c>
      <c r="I44" s="87"/>
      <c r="J44" s="87"/>
      <c r="K44" s="89" t="s">
        <v>18</v>
      </c>
      <c r="L44" s="87"/>
      <c r="M44" s="87"/>
      <c r="N44" s="87"/>
    </row>
    <row r="45" spans="1:14" x14ac:dyDescent="0.45">
      <c r="A45" s="85" t="s">
        <v>115</v>
      </c>
      <c r="B45" s="85">
        <v>2</v>
      </c>
      <c r="C45" s="205">
        <f t="shared" si="0"/>
        <v>12</v>
      </c>
      <c r="D45" s="191">
        <v>36</v>
      </c>
      <c r="E45" s="189">
        <f t="shared" si="1"/>
        <v>39.6</v>
      </c>
      <c r="F45" s="189">
        <f t="shared" si="2"/>
        <v>12</v>
      </c>
      <c r="G45" s="90" t="s">
        <v>116</v>
      </c>
      <c r="H45" s="89" t="s">
        <v>25</v>
      </c>
      <c r="I45" s="86" t="s">
        <v>116</v>
      </c>
      <c r="J45" s="86" t="s">
        <v>56</v>
      </c>
      <c r="K45" s="87"/>
      <c r="L45" s="87"/>
      <c r="M45" s="87"/>
      <c r="N45" s="87"/>
    </row>
    <row r="46" spans="1:14" x14ac:dyDescent="0.45">
      <c r="A46" s="85" t="s">
        <v>117</v>
      </c>
      <c r="B46" s="85">
        <v>10</v>
      </c>
      <c r="C46" s="205">
        <f t="shared" si="0"/>
        <v>60</v>
      </c>
      <c r="D46" s="191">
        <v>73</v>
      </c>
      <c r="E46" s="189">
        <f t="shared" si="1"/>
        <v>80.300000000000011</v>
      </c>
      <c r="F46" s="189">
        <f t="shared" si="2"/>
        <v>60</v>
      </c>
      <c r="G46" s="90" t="s">
        <v>39</v>
      </c>
      <c r="H46" s="86" t="s">
        <v>28</v>
      </c>
      <c r="I46" s="86" t="s">
        <v>39</v>
      </c>
      <c r="J46" s="86" t="s">
        <v>39</v>
      </c>
      <c r="K46" s="87"/>
      <c r="L46" s="87"/>
      <c r="M46" s="87"/>
      <c r="N46" s="87"/>
    </row>
    <row r="47" spans="1:14" x14ac:dyDescent="0.45">
      <c r="A47" s="85" t="s">
        <v>118</v>
      </c>
      <c r="B47" s="85">
        <v>8</v>
      </c>
      <c r="C47" s="205">
        <f t="shared" si="0"/>
        <v>48</v>
      </c>
      <c r="D47" s="191">
        <v>181</v>
      </c>
      <c r="E47" s="189">
        <f t="shared" si="1"/>
        <v>199.10000000000002</v>
      </c>
      <c r="F47" s="189">
        <f t="shared" si="2"/>
        <v>48</v>
      </c>
      <c r="G47" s="90" t="s">
        <v>119</v>
      </c>
      <c r="H47" s="86" t="s">
        <v>25</v>
      </c>
      <c r="I47" s="87"/>
      <c r="J47" s="86" t="s">
        <v>64</v>
      </c>
      <c r="K47" s="86" t="s">
        <v>18</v>
      </c>
      <c r="L47" s="87"/>
      <c r="M47" s="87"/>
      <c r="N47" s="87"/>
    </row>
    <row r="48" spans="1:14" x14ac:dyDescent="0.45">
      <c r="A48" s="85" t="s">
        <v>120</v>
      </c>
      <c r="B48" s="85">
        <v>92</v>
      </c>
      <c r="C48" s="189">
        <f t="shared" si="0"/>
        <v>552</v>
      </c>
      <c r="D48" s="191">
        <v>231</v>
      </c>
      <c r="E48" s="205">
        <f t="shared" si="1"/>
        <v>254.10000000000002</v>
      </c>
      <c r="F48" s="189">
        <f t="shared" si="2"/>
        <v>254.10000000000002</v>
      </c>
      <c r="G48" s="90" t="s">
        <v>121</v>
      </c>
      <c r="H48" s="86" t="s">
        <v>28</v>
      </c>
      <c r="I48" s="87"/>
      <c r="J48" s="86" t="s">
        <v>33</v>
      </c>
      <c r="K48" s="86" t="s">
        <v>37</v>
      </c>
      <c r="L48" s="86" t="s">
        <v>122</v>
      </c>
      <c r="M48" s="87"/>
      <c r="N48" s="87"/>
    </row>
    <row r="49" spans="1:14" x14ac:dyDescent="0.45">
      <c r="A49" s="85" t="s">
        <v>123</v>
      </c>
      <c r="B49" s="85">
        <v>7</v>
      </c>
      <c r="C49" s="205">
        <f t="shared" si="0"/>
        <v>42</v>
      </c>
      <c r="D49" s="191">
        <v>42</v>
      </c>
      <c r="E49" s="189">
        <f t="shared" si="1"/>
        <v>46.2</v>
      </c>
      <c r="F49" s="189">
        <f t="shared" si="2"/>
        <v>42</v>
      </c>
      <c r="G49" s="90" t="s">
        <v>124</v>
      </c>
      <c r="H49" s="86" t="s">
        <v>28</v>
      </c>
      <c r="I49" s="87"/>
      <c r="J49" s="86" t="s">
        <v>33</v>
      </c>
      <c r="K49" s="87"/>
      <c r="L49" s="87"/>
      <c r="M49" s="87"/>
      <c r="N49" s="87"/>
    </row>
    <row r="50" spans="1:14" x14ac:dyDescent="0.45">
      <c r="A50" s="85" t="s">
        <v>1429</v>
      </c>
      <c r="B50" s="85">
        <v>56</v>
      </c>
      <c r="C50" s="189">
        <f t="shared" si="0"/>
        <v>336</v>
      </c>
      <c r="D50" s="191">
        <v>202</v>
      </c>
      <c r="E50" s="205">
        <f t="shared" si="1"/>
        <v>222.20000000000002</v>
      </c>
      <c r="F50" s="189">
        <f t="shared" si="2"/>
        <v>222.20000000000002</v>
      </c>
      <c r="G50" s="91" t="s">
        <v>113</v>
      </c>
      <c r="H50" s="86" t="s">
        <v>28</v>
      </c>
      <c r="I50" s="89" t="s">
        <v>113</v>
      </c>
      <c r="J50" s="87"/>
      <c r="K50" s="92" t="s">
        <v>125</v>
      </c>
      <c r="L50" s="88" t="s">
        <v>72</v>
      </c>
      <c r="M50" s="87"/>
      <c r="N50" s="87"/>
    </row>
    <row r="51" spans="1:14" x14ac:dyDescent="0.45">
      <c r="A51" s="85" t="s">
        <v>126</v>
      </c>
      <c r="B51" s="85">
        <v>5</v>
      </c>
      <c r="C51" s="205">
        <f t="shared" si="0"/>
        <v>30</v>
      </c>
      <c r="D51" s="191">
        <v>53</v>
      </c>
      <c r="E51" s="189">
        <f t="shared" si="1"/>
        <v>58.300000000000004</v>
      </c>
      <c r="F51" s="189">
        <f t="shared" si="2"/>
        <v>30</v>
      </c>
      <c r="G51" s="90" t="s">
        <v>127</v>
      </c>
      <c r="H51" s="89" t="s">
        <v>16</v>
      </c>
      <c r="I51" s="88" t="s">
        <v>17</v>
      </c>
      <c r="J51" s="89" t="s">
        <v>128</v>
      </c>
      <c r="K51" s="87"/>
      <c r="L51" s="87"/>
      <c r="M51" s="87"/>
      <c r="N51" s="87"/>
    </row>
    <row r="52" spans="1:14" x14ac:dyDescent="0.45">
      <c r="A52" s="85" t="s">
        <v>129</v>
      </c>
      <c r="B52" s="85">
        <v>4</v>
      </c>
      <c r="C52" s="205">
        <f t="shared" si="0"/>
        <v>24</v>
      </c>
      <c r="D52" s="191">
        <v>45</v>
      </c>
      <c r="E52" s="189">
        <f t="shared" si="1"/>
        <v>49.500000000000007</v>
      </c>
      <c r="F52" s="189">
        <f t="shared" si="2"/>
        <v>24</v>
      </c>
      <c r="G52" s="91" t="s">
        <v>130</v>
      </c>
      <c r="H52" s="86" t="s">
        <v>131</v>
      </c>
      <c r="I52" s="86" t="s">
        <v>132</v>
      </c>
      <c r="J52" s="86" t="s">
        <v>33</v>
      </c>
      <c r="K52" s="87"/>
      <c r="L52" s="87"/>
      <c r="M52" s="87"/>
      <c r="N52" s="87"/>
    </row>
    <row r="53" spans="1:14" x14ac:dyDescent="0.45">
      <c r="A53" s="49" t="s">
        <v>1413</v>
      </c>
      <c r="B53">
        <v>11</v>
      </c>
      <c r="C53" s="207">
        <f t="shared" si="0"/>
        <v>66</v>
      </c>
      <c r="D53" s="192">
        <v>93</v>
      </c>
      <c r="E53" s="198">
        <f t="shared" si="1"/>
        <v>102.30000000000001</v>
      </c>
      <c r="F53" s="198">
        <f t="shared" ref="F53:F68" si="3">MIN(C53,E53)</f>
        <v>66</v>
      </c>
    </row>
    <row r="54" spans="1:14" x14ac:dyDescent="0.45">
      <c r="A54" s="49" t="s">
        <v>1414</v>
      </c>
      <c r="B54">
        <v>6</v>
      </c>
      <c r="C54" s="207">
        <f t="shared" si="0"/>
        <v>36</v>
      </c>
      <c r="D54" s="192">
        <v>91</v>
      </c>
      <c r="E54" s="198">
        <f t="shared" si="1"/>
        <v>100.10000000000001</v>
      </c>
      <c r="F54" s="198">
        <f t="shared" si="3"/>
        <v>36</v>
      </c>
    </row>
    <row r="55" spans="1:14" x14ac:dyDescent="0.45">
      <c r="A55" s="49" t="s">
        <v>1415</v>
      </c>
      <c r="B55">
        <v>17</v>
      </c>
      <c r="C55" s="206">
        <f t="shared" si="0"/>
        <v>102</v>
      </c>
      <c r="D55" s="192">
        <v>62</v>
      </c>
      <c r="E55" s="208">
        <f t="shared" si="1"/>
        <v>68.2</v>
      </c>
      <c r="F55" s="198">
        <f t="shared" si="3"/>
        <v>68.2</v>
      </c>
    </row>
    <row r="56" spans="1:14" x14ac:dyDescent="0.45">
      <c r="A56" s="49" t="s">
        <v>1416</v>
      </c>
      <c r="B56">
        <v>7</v>
      </c>
      <c r="C56" s="207">
        <f t="shared" si="0"/>
        <v>42</v>
      </c>
      <c r="D56" s="192">
        <v>80</v>
      </c>
      <c r="E56" s="198">
        <f t="shared" si="1"/>
        <v>88</v>
      </c>
      <c r="F56" s="198">
        <f t="shared" si="3"/>
        <v>42</v>
      </c>
    </row>
    <row r="57" spans="1:14" x14ac:dyDescent="0.45">
      <c r="A57" s="49" t="s">
        <v>1417</v>
      </c>
      <c r="B57">
        <v>12</v>
      </c>
      <c r="C57" s="207">
        <f t="shared" si="0"/>
        <v>72</v>
      </c>
      <c r="D57" s="192">
        <v>79</v>
      </c>
      <c r="E57" s="198">
        <f t="shared" si="1"/>
        <v>86.9</v>
      </c>
      <c r="F57" s="198">
        <f t="shared" si="3"/>
        <v>72</v>
      </c>
    </row>
    <row r="58" spans="1:14" x14ac:dyDescent="0.45">
      <c r="A58" s="49" t="s">
        <v>1418</v>
      </c>
      <c r="B58">
        <v>7</v>
      </c>
      <c r="C58" s="207">
        <f t="shared" si="0"/>
        <v>42</v>
      </c>
      <c r="D58" s="192">
        <v>215</v>
      </c>
      <c r="E58" s="198">
        <f t="shared" si="1"/>
        <v>236.50000000000003</v>
      </c>
      <c r="F58" s="198">
        <f t="shared" si="3"/>
        <v>42</v>
      </c>
    </row>
    <row r="59" spans="1:14" x14ac:dyDescent="0.45">
      <c r="A59" s="49" t="s">
        <v>1419</v>
      </c>
      <c r="B59">
        <v>30</v>
      </c>
      <c r="C59" s="206">
        <f t="shared" si="0"/>
        <v>180</v>
      </c>
      <c r="D59" s="192">
        <v>127</v>
      </c>
      <c r="E59" s="208">
        <f t="shared" si="1"/>
        <v>139.70000000000002</v>
      </c>
      <c r="F59" s="198">
        <f t="shared" si="3"/>
        <v>139.70000000000002</v>
      </c>
    </row>
    <row r="60" spans="1:14" x14ac:dyDescent="0.45">
      <c r="A60" s="49" t="s">
        <v>1420</v>
      </c>
      <c r="B60">
        <v>6</v>
      </c>
      <c r="C60" s="207">
        <f t="shared" si="0"/>
        <v>36</v>
      </c>
      <c r="D60" s="192">
        <v>90</v>
      </c>
      <c r="E60" s="198">
        <f t="shared" si="1"/>
        <v>99.000000000000014</v>
      </c>
      <c r="F60" s="198">
        <f t="shared" si="3"/>
        <v>36</v>
      </c>
    </row>
    <row r="61" spans="1:14" x14ac:dyDescent="0.45">
      <c r="A61" s="49" t="s">
        <v>1421</v>
      </c>
      <c r="B61">
        <v>6</v>
      </c>
      <c r="C61" s="207">
        <f t="shared" si="0"/>
        <v>36</v>
      </c>
      <c r="D61" s="192">
        <v>50</v>
      </c>
      <c r="E61" s="198">
        <f t="shared" si="1"/>
        <v>55.000000000000007</v>
      </c>
      <c r="F61" s="198">
        <f t="shared" si="3"/>
        <v>36</v>
      </c>
    </row>
    <row r="62" spans="1:14" x14ac:dyDescent="0.45">
      <c r="A62" s="49" t="s">
        <v>1422</v>
      </c>
      <c r="B62">
        <v>8</v>
      </c>
      <c r="C62" s="207">
        <f t="shared" si="0"/>
        <v>48</v>
      </c>
      <c r="D62" s="192">
        <v>160</v>
      </c>
      <c r="E62" s="198">
        <f t="shared" si="1"/>
        <v>176</v>
      </c>
      <c r="F62" s="198">
        <f t="shared" si="3"/>
        <v>48</v>
      </c>
    </row>
    <row r="63" spans="1:14" x14ac:dyDescent="0.45">
      <c r="A63" s="49" t="s">
        <v>1423</v>
      </c>
      <c r="B63">
        <v>3</v>
      </c>
      <c r="C63" s="207">
        <f t="shared" si="0"/>
        <v>18</v>
      </c>
      <c r="D63" s="192">
        <v>93</v>
      </c>
      <c r="E63" s="198">
        <f t="shared" si="1"/>
        <v>102.30000000000001</v>
      </c>
      <c r="F63" s="198">
        <f t="shared" si="3"/>
        <v>18</v>
      </c>
    </row>
    <row r="64" spans="1:14" x14ac:dyDescent="0.45">
      <c r="A64" s="49" t="s">
        <v>1424</v>
      </c>
      <c r="B64">
        <v>3</v>
      </c>
      <c r="C64" s="207">
        <f t="shared" si="0"/>
        <v>18</v>
      </c>
      <c r="D64" s="192">
        <v>77</v>
      </c>
      <c r="E64" s="198">
        <f t="shared" si="1"/>
        <v>84.7</v>
      </c>
      <c r="F64" s="198">
        <f t="shared" si="3"/>
        <v>18</v>
      </c>
    </row>
    <row r="65" spans="1:7" x14ac:dyDescent="0.45">
      <c r="A65" s="49" t="s">
        <v>1425</v>
      </c>
      <c r="B65">
        <v>20</v>
      </c>
      <c r="C65" s="207">
        <f t="shared" si="0"/>
        <v>120</v>
      </c>
      <c r="D65" s="192">
        <v>230</v>
      </c>
      <c r="E65" s="198">
        <f t="shared" si="1"/>
        <v>253.00000000000003</v>
      </c>
      <c r="F65" s="198">
        <f t="shared" si="3"/>
        <v>120</v>
      </c>
    </row>
    <row r="66" spans="1:7" x14ac:dyDescent="0.45">
      <c r="A66" s="49" t="s">
        <v>1426</v>
      </c>
      <c r="B66">
        <v>0</v>
      </c>
      <c r="C66" s="206">
        <f t="shared" si="0"/>
        <v>0</v>
      </c>
      <c r="D66" s="192">
        <v>55</v>
      </c>
      <c r="E66" s="198">
        <f t="shared" si="1"/>
        <v>60.500000000000007</v>
      </c>
      <c r="F66" s="198">
        <f t="shared" si="3"/>
        <v>0</v>
      </c>
    </row>
    <row r="67" spans="1:7" x14ac:dyDescent="0.45">
      <c r="A67" s="49" t="s">
        <v>1427</v>
      </c>
      <c r="C67" s="206">
        <f t="shared" si="0"/>
        <v>0</v>
      </c>
      <c r="D67" s="192">
        <v>60</v>
      </c>
      <c r="E67" s="198">
        <f t="shared" si="1"/>
        <v>66</v>
      </c>
      <c r="F67" s="198">
        <f t="shared" si="3"/>
        <v>0</v>
      </c>
    </row>
    <row r="68" spans="1:7" x14ac:dyDescent="0.45">
      <c r="A68" s="49" t="s">
        <v>1428</v>
      </c>
      <c r="C68" s="206">
        <f t="shared" si="0"/>
        <v>0</v>
      </c>
      <c r="D68" s="192">
        <v>19</v>
      </c>
      <c r="E68" s="198">
        <f t="shared" si="1"/>
        <v>20.900000000000002</v>
      </c>
      <c r="F68" s="198">
        <f t="shared" si="3"/>
        <v>0</v>
      </c>
    </row>
    <row r="73" spans="1:7" x14ac:dyDescent="0.45">
      <c r="G73">
        <f>721*7.5</f>
        <v>5407.5</v>
      </c>
    </row>
    <row r="74" spans="1:7" x14ac:dyDescent="0.45">
      <c r="D74" s="192">
        <f>4736*1.5</f>
        <v>7104</v>
      </c>
    </row>
  </sheetData>
  <mergeCells count="2">
    <mergeCell ref="A1:A5"/>
    <mergeCell ref="G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06E1-4ABB-462F-A2C3-7F685FED9796}">
  <dimension ref="A1:F10"/>
  <sheetViews>
    <sheetView showGridLines="0" topLeftCell="B1" zoomScale="175" zoomScaleNormal="175" workbookViewId="0">
      <selection activeCell="F11" sqref="F11"/>
    </sheetView>
  </sheetViews>
  <sheetFormatPr defaultRowHeight="14.25" x14ac:dyDescent="0.45"/>
  <cols>
    <col min="1" max="1" width="27.1328125" customWidth="1"/>
    <col min="2" max="2" width="18.33203125" style="1" customWidth="1"/>
    <col min="3" max="3" width="20.33203125" style="1" customWidth="1"/>
    <col min="4" max="4" width="41.33203125" customWidth="1"/>
    <col min="5" max="5" width="35.46484375" style="1" customWidth="1"/>
  </cols>
  <sheetData>
    <row r="1" spans="1:6" ht="28.5" x14ac:dyDescent="0.45">
      <c r="A1" s="215" t="s">
        <v>14</v>
      </c>
      <c r="B1" s="215"/>
      <c r="C1" s="215"/>
      <c r="D1" s="215"/>
      <c r="E1" s="215"/>
    </row>
    <row r="2" spans="1:6" x14ac:dyDescent="0.45">
      <c r="A2" s="114" t="s">
        <v>133</v>
      </c>
      <c r="B2" s="114" t="s">
        <v>134</v>
      </c>
      <c r="C2" s="114" t="s">
        <v>135</v>
      </c>
      <c r="D2" s="114" t="s">
        <v>136</v>
      </c>
      <c r="E2" s="114" t="s">
        <v>137</v>
      </c>
    </row>
    <row r="3" spans="1:6" s="202" customFormat="1" x14ac:dyDescent="0.45">
      <c r="A3" s="203" t="s">
        <v>17</v>
      </c>
      <c r="B3" s="199" t="s">
        <v>138</v>
      </c>
      <c r="C3" s="199">
        <v>59831</v>
      </c>
      <c r="D3" s="201" t="s">
        <v>139</v>
      </c>
      <c r="E3" s="199" t="s">
        <v>140</v>
      </c>
      <c r="F3" s="201"/>
    </row>
    <row r="4" spans="1:6" s="202" customFormat="1" x14ac:dyDescent="0.45">
      <c r="A4" s="216" t="s">
        <v>16</v>
      </c>
      <c r="B4" s="199" t="s">
        <v>141</v>
      </c>
      <c r="C4" s="199" t="s">
        <v>142</v>
      </c>
      <c r="D4" s="201" t="s">
        <v>139</v>
      </c>
      <c r="E4" s="199" t="s">
        <v>140</v>
      </c>
      <c r="F4" s="201"/>
    </row>
    <row r="5" spans="1:6" s="202" customFormat="1" x14ac:dyDescent="0.45">
      <c r="A5" s="217"/>
      <c r="B5" s="199" t="s">
        <v>141</v>
      </c>
      <c r="C5" s="199" t="s">
        <v>143</v>
      </c>
      <c r="D5" s="200" t="s">
        <v>144</v>
      </c>
      <c r="E5" s="199" t="s">
        <v>140</v>
      </c>
      <c r="F5" s="201"/>
    </row>
    <row r="6" spans="1:6" s="202" customFormat="1" x14ac:dyDescent="0.45">
      <c r="A6" s="204" t="s">
        <v>18</v>
      </c>
      <c r="B6" s="199" t="s">
        <v>145</v>
      </c>
      <c r="C6" s="199" t="s">
        <v>146</v>
      </c>
      <c r="D6" s="201" t="s">
        <v>139</v>
      </c>
      <c r="E6" s="199" t="s">
        <v>140</v>
      </c>
      <c r="F6" s="201"/>
    </row>
    <row r="7" spans="1:6" s="202" customFormat="1" x14ac:dyDescent="0.45">
      <c r="A7" s="203" t="s">
        <v>127</v>
      </c>
      <c r="B7" s="199" t="s">
        <v>147</v>
      </c>
      <c r="C7" s="199" t="s">
        <v>148</v>
      </c>
      <c r="D7" s="201" t="s">
        <v>139</v>
      </c>
      <c r="E7" s="199" t="s">
        <v>140</v>
      </c>
      <c r="F7" s="201"/>
    </row>
    <row r="8" spans="1:6" x14ac:dyDescent="0.45">
      <c r="A8" s="123" t="s">
        <v>149</v>
      </c>
      <c r="B8" s="124"/>
      <c r="C8" s="124"/>
      <c r="D8" s="127"/>
      <c r="E8" s="124"/>
      <c r="F8" s="127"/>
    </row>
    <row r="9" spans="1:6" x14ac:dyDescent="0.45">
      <c r="A9" s="138" t="s">
        <v>150</v>
      </c>
      <c r="B9" s="133" t="s">
        <v>141</v>
      </c>
      <c r="C9" s="133">
        <v>4064326043</v>
      </c>
      <c r="D9" s="138" t="s">
        <v>151</v>
      </c>
      <c r="E9" s="133" t="s">
        <v>152</v>
      </c>
      <c r="F9" s="173" t="s">
        <v>153</v>
      </c>
    </row>
    <row r="10" spans="1:6" x14ac:dyDescent="0.45">
      <c r="B10" s="133" t="s">
        <v>154</v>
      </c>
      <c r="C10" s="179" t="s">
        <v>155</v>
      </c>
      <c r="D10" s="138" t="s">
        <v>139</v>
      </c>
      <c r="E10" s="133" t="s">
        <v>140</v>
      </c>
      <c r="F10" s="173" t="s">
        <v>153</v>
      </c>
    </row>
  </sheetData>
  <mergeCells count="2">
    <mergeCell ref="A1:E1"/>
    <mergeCell ref="A4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44E6F-D6FD-4061-90DA-473402A9392A}">
  <dimension ref="A1:F11"/>
  <sheetViews>
    <sheetView workbookViewId="0">
      <selection activeCell="E36" sqref="E36"/>
    </sheetView>
  </sheetViews>
  <sheetFormatPr defaultRowHeight="14.25" x14ac:dyDescent="0.45"/>
  <cols>
    <col min="1" max="1" width="27.46484375" customWidth="1"/>
    <col min="2" max="2" width="17.6640625" customWidth="1"/>
    <col min="3" max="3" width="18.86328125" customWidth="1"/>
    <col min="4" max="4" width="31.86328125" customWidth="1"/>
    <col min="5" max="5" width="26.46484375" style="1" customWidth="1"/>
  </cols>
  <sheetData>
    <row r="1" spans="1:6" ht="29" customHeight="1" x14ac:dyDescent="0.85">
      <c r="A1" s="218" t="s">
        <v>156</v>
      </c>
      <c r="B1" s="218"/>
      <c r="C1" s="218"/>
      <c r="D1" s="218"/>
      <c r="E1" s="218"/>
    </row>
    <row r="2" spans="1:6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6" x14ac:dyDescent="0.45">
      <c r="A3" s="2" t="s">
        <v>21</v>
      </c>
      <c r="B3" s="1" t="s">
        <v>141</v>
      </c>
      <c r="C3" s="1">
        <v>6351000</v>
      </c>
      <c r="D3" t="s">
        <v>157</v>
      </c>
      <c r="E3" s="1" t="s">
        <v>140</v>
      </c>
    </row>
    <row r="4" spans="1:6" x14ac:dyDescent="0.45">
      <c r="A4" s="2"/>
      <c r="B4" s="1"/>
      <c r="C4" s="1">
        <v>6351001</v>
      </c>
      <c r="D4" t="s">
        <v>158</v>
      </c>
      <c r="E4" s="1" t="s">
        <v>140</v>
      </c>
    </row>
    <row r="5" spans="1:6" x14ac:dyDescent="0.45">
      <c r="A5" s="2"/>
      <c r="B5" s="1"/>
      <c r="C5" s="1"/>
    </row>
    <row r="6" spans="1:6" x14ac:dyDescent="0.45">
      <c r="A6" s="2" t="s">
        <v>22</v>
      </c>
      <c r="B6" s="1" t="s">
        <v>159</v>
      </c>
      <c r="C6" s="7" t="s">
        <v>160</v>
      </c>
      <c r="D6" t="s">
        <v>161</v>
      </c>
      <c r="E6" s="1" t="s">
        <v>140</v>
      </c>
    </row>
    <row r="7" spans="1:6" x14ac:dyDescent="0.45">
      <c r="A7" s="2"/>
      <c r="B7" s="1"/>
      <c r="C7" s="32">
        <v>300010178002</v>
      </c>
      <c r="D7" s="27" t="s">
        <v>162</v>
      </c>
      <c r="E7" s="31" t="s">
        <v>152</v>
      </c>
      <c r="F7" s="44" t="s">
        <v>163</v>
      </c>
    </row>
    <row r="8" spans="1:6" x14ac:dyDescent="0.45">
      <c r="A8" s="2"/>
      <c r="B8" s="1"/>
      <c r="C8" s="30">
        <v>300010048006</v>
      </c>
      <c r="D8" s="27" t="s">
        <v>164</v>
      </c>
      <c r="E8" s="31" t="s">
        <v>152</v>
      </c>
      <c r="F8" s="44" t="s">
        <v>163</v>
      </c>
    </row>
    <row r="9" spans="1:6" x14ac:dyDescent="0.45">
      <c r="A9" s="2" t="s">
        <v>165</v>
      </c>
      <c r="B9" s="1" t="s">
        <v>145</v>
      </c>
      <c r="C9" s="29">
        <v>193178501</v>
      </c>
      <c r="D9" s="27" t="s">
        <v>166</v>
      </c>
      <c r="E9" s="31" t="s">
        <v>152</v>
      </c>
      <c r="F9" s="44" t="s">
        <v>163</v>
      </c>
    </row>
    <row r="10" spans="1:6" x14ac:dyDescent="0.45">
      <c r="A10" s="2"/>
      <c r="B10" s="1"/>
      <c r="C10" s="1"/>
      <c r="E10" s="24"/>
    </row>
    <row r="11" spans="1:6" x14ac:dyDescent="0.45">
      <c r="A11" s="2" t="s">
        <v>20</v>
      </c>
      <c r="B11" s="1" t="s">
        <v>147</v>
      </c>
      <c r="C11" s="29" t="s">
        <v>167</v>
      </c>
      <c r="D11" s="27" t="s">
        <v>168</v>
      </c>
      <c r="E11" s="31" t="s">
        <v>152</v>
      </c>
      <c r="F11" s="44" t="s">
        <v>163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6D54-C8A3-4D9A-9F18-70B0C58CA653}">
  <dimension ref="A1:E10"/>
  <sheetViews>
    <sheetView zoomScale="89" zoomScaleNormal="89" workbookViewId="0">
      <selection activeCell="C8" sqref="C8"/>
    </sheetView>
  </sheetViews>
  <sheetFormatPr defaultRowHeight="15" customHeight="1" x14ac:dyDescent="0.45"/>
  <cols>
    <col min="1" max="1" width="30.46484375" customWidth="1"/>
    <col min="2" max="2" width="18.6640625" customWidth="1"/>
    <col min="3" max="3" width="17.86328125" customWidth="1"/>
    <col min="4" max="4" width="39" customWidth="1"/>
    <col min="5" max="5" width="19.6640625" style="1" customWidth="1"/>
  </cols>
  <sheetData>
    <row r="1" spans="1:5" ht="28.5" x14ac:dyDescent="0.85">
      <c r="A1" s="218" t="s">
        <v>24</v>
      </c>
      <c r="B1" s="218"/>
      <c r="C1" s="218"/>
      <c r="D1" s="218"/>
      <c r="E1" s="218"/>
    </row>
    <row r="2" spans="1:5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ht="15.75" x14ac:dyDescent="0.5">
      <c r="A3" s="109" t="s">
        <v>169</v>
      </c>
      <c r="B3" s="112" t="s">
        <v>141</v>
      </c>
      <c r="C3" s="115">
        <v>910087354836</v>
      </c>
      <c r="D3" s="109" t="s">
        <v>170</v>
      </c>
      <c r="E3" s="112" t="s">
        <v>140</v>
      </c>
    </row>
    <row r="4" spans="1:5" ht="15.75" x14ac:dyDescent="0.5">
      <c r="A4" s="109" t="s">
        <v>169</v>
      </c>
      <c r="B4" s="112" t="s">
        <v>141</v>
      </c>
      <c r="C4" s="115">
        <v>910087354977</v>
      </c>
      <c r="D4" s="109" t="s">
        <v>171</v>
      </c>
      <c r="E4" s="112" t="s">
        <v>140</v>
      </c>
    </row>
    <row r="5" spans="1:5" ht="15" customHeight="1" x14ac:dyDescent="0.5">
      <c r="A5" s="109"/>
      <c r="B5" s="109"/>
      <c r="C5" s="109"/>
      <c r="D5" s="109"/>
      <c r="E5" s="112"/>
    </row>
    <row r="6" spans="1:5" ht="15.75" x14ac:dyDescent="0.5">
      <c r="A6" s="109" t="s">
        <v>172</v>
      </c>
      <c r="B6" s="112" t="s">
        <v>138</v>
      </c>
      <c r="C6" s="112">
        <v>39515</v>
      </c>
      <c r="D6" s="109" t="s">
        <v>173</v>
      </c>
      <c r="E6" s="112" t="s">
        <v>140</v>
      </c>
    </row>
    <row r="8" spans="1:5" ht="14.25" x14ac:dyDescent="0.45">
      <c r="A8" s="2" t="s">
        <v>174</v>
      </c>
      <c r="B8" t="s">
        <v>175</v>
      </c>
      <c r="E8" s="1" t="s">
        <v>152</v>
      </c>
    </row>
    <row r="9" spans="1:5" ht="15" customHeight="1" x14ac:dyDescent="0.45">
      <c r="B9" t="s">
        <v>176</v>
      </c>
      <c r="E9" s="1" t="s">
        <v>152</v>
      </c>
    </row>
    <row r="10" spans="1:5" ht="15" customHeight="1" x14ac:dyDescent="0.45">
      <c r="A10" s="2" t="s">
        <v>177</v>
      </c>
      <c r="B10" s="1" t="s">
        <v>178</v>
      </c>
      <c r="E10" s="1" t="s">
        <v>152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122E-D5B6-46D8-8D95-DF253B916BD4}">
  <dimension ref="A1:F12"/>
  <sheetViews>
    <sheetView workbookViewId="0">
      <selection activeCell="F14" sqref="F14"/>
    </sheetView>
  </sheetViews>
  <sheetFormatPr defaultRowHeight="14.25" x14ac:dyDescent="0.45"/>
  <cols>
    <col min="1" max="1" width="27.46484375" customWidth="1"/>
    <col min="2" max="2" width="20.6640625" customWidth="1"/>
    <col min="3" max="3" width="28.86328125" customWidth="1"/>
    <col min="4" max="4" width="35.46484375" customWidth="1"/>
    <col min="5" max="5" width="26.46484375" style="1" customWidth="1"/>
  </cols>
  <sheetData>
    <row r="1" spans="1:6" ht="29" customHeight="1" x14ac:dyDescent="0.85">
      <c r="A1" s="218" t="s">
        <v>179</v>
      </c>
      <c r="B1" s="218"/>
      <c r="C1" s="219"/>
      <c r="D1" s="219"/>
      <c r="E1" s="218"/>
    </row>
    <row r="2" spans="1:6" x14ac:dyDescent="0.45">
      <c r="A2" s="5" t="s">
        <v>133</v>
      </c>
      <c r="B2" s="151" t="s">
        <v>134</v>
      </c>
      <c r="C2" s="153" t="s">
        <v>135</v>
      </c>
      <c r="D2" s="169" t="s">
        <v>136</v>
      </c>
      <c r="E2" s="152" t="s">
        <v>137</v>
      </c>
    </row>
    <row r="3" spans="1:6" x14ac:dyDescent="0.45">
      <c r="A3" s="2" t="s">
        <v>180</v>
      </c>
      <c r="B3" s="1" t="s">
        <v>141</v>
      </c>
      <c r="C3" s="144">
        <v>1266299</v>
      </c>
      <c r="D3" s="144" t="s">
        <v>181</v>
      </c>
      <c r="E3" s="1" t="s">
        <v>152</v>
      </c>
      <c r="F3" t="s">
        <v>182</v>
      </c>
    </row>
    <row r="4" spans="1:6" x14ac:dyDescent="0.45">
      <c r="A4" s="2"/>
      <c r="B4" s="1"/>
      <c r="C4" s="144">
        <v>1266299</v>
      </c>
      <c r="D4" s="144" t="s">
        <v>183</v>
      </c>
      <c r="E4" s="1" t="s">
        <v>152</v>
      </c>
      <c r="F4" t="s">
        <v>182</v>
      </c>
    </row>
    <row r="5" spans="1:6" x14ac:dyDescent="0.45">
      <c r="A5" s="2"/>
      <c r="B5" s="1"/>
      <c r="C5" s="144">
        <v>1266299</v>
      </c>
      <c r="D5" s="144" t="s">
        <v>184</v>
      </c>
      <c r="E5" s="1" t="s">
        <v>152</v>
      </c>
      <c r="F5" t="s">
        <v>182</v>
      </c>
    </row>
    <row r="6" spans="1:6" x14ac:dyDescent="0.45">
      <c r="A6" s="2"/>
      <c r="B6" s="1"/>
      <c r="C6" s="144">
        <v>1266299</v>
      </c>
      <c r="D6" s="144" t="s">
        <v>185</v>
      </c>
      <c r="E6" s="1" t="s">
        <v>152</v>
      </c>
      <c r="F6" t="s">
        <v>182</v>
      </c>
    </row>
    <row r="7" spans="1:6" x14ac:dyDescent="0.45">
      <c r="A7" s="2"/>
      <c r="B7" s="1"/>
      <c r="C7" s="144">
        <v>1266299</v>
      </c>
      <c r="D7" s="144" t="s">
        <v>186</v>
      </c>
      <c r="E7" s="43" t="s">
        <v>152</v>
      </c>
      <c r="F7" t="s">
        <v>182</v>
      </c>
    </row>
    <row r="8" spans="1:6" x14ac:dyDescent="0.45">
      <c r="A8" s="2"/>
      <c r="B8" s="1"/>
      <c r="C8" s="144"/>
      <c r="D8" s="144"/>
      <c r="E8" s="43"/>
      <c r="F8" s="44"/>
    </row>
    <row r="9" spans="1:6" ht="18" customHeight="1" x14ac:dyDescent="0.45">
      <c r="A9" s="2" t="s">
        <v>187</v>
      </c>
      <c r="B9" s="1" t="s">
        <v>147</v>
      </c>
      <c r="C9" s="183" t="s">
        <v>188</v>
      </c>
      <c r="D9" s="144" t="s">
        <v>189</v>
      </c>
      <c r="E9" s="43" t="s">
        <v>152</v>
      </c>
      <c r="F9" s="44"/>
    </row>
    <row r="10" spans="1:6" ht="15.75" customHeight="1" x14ac:dyDescent="0.45">
      <c r="A10" s="2"/>
      <c r="B10" s="1"/>
      <c r="C10" s="184" t="s">
        <v>190</v>
      </c>
      <c r="D10" s="144" t="s">
        <v>184</v>
      </c>
      <c r="E10" s="43" t="s">
        <v>152</v>
      </c>
      <c r="F10" s="44"/>
    </row>
    <row r="11" spans="1:6" x14ac:dyDescent="0.45">
      <c r="A11" s="2"/>
      <c r="B11" s="1"/>
      <c r="C11" s="1"/>
    </row>
    <row r="12" spans="1:6" x14ac:dyDescent="0.45">
      <c r="A12" s="2" t="s">
        <v>191</v>
      </c>
      <c r="B12" s="1" t="s">
        <v>192</v>
      </c>
      <c r="C12" s="145" t="s">
        <v>193</v>
      </c>
      <c r="D12" s="56" t="s">
        <v>184</v>
      </c>
      <c r="E12" s="43" t="s">
        <v>152</v>
      </c>
      <c r="F12" s="44"/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20600-F348-46F5-9FCA-17920B5B95B9}">
  <dimension ref="A1:J28"/>
  <sheetViews>
    <sheetView workbookViewId="0">
      <selection activeCell="D34" sqref="D34"/>
    </sheetView>
  </sheetViews>
  <sheetFormatPr defaultRowHeight="14.25" x14ac:dyDescent="0.45"/>
  <cols>
    <col min="1" max="1" width="26" customWidth="1"/>
    <col min="2" max="2" width="23.1328125" customWidth="1"/>
    <col min="3" max="3" width="29.6640625" customWidth="1"/>
    <col min="4" max="4" width="50.1328125" customWidth="1"/>
    <col min="5" max="5" width="18.6640625" customWidth="1"/>
    <col min="6" max="6" width="13.86328125" customWidth="1"/>
    <col min="7" max="7" width="30" customWidth="1"/>
  </cols>
  <sheetData>
    <row r="1" spans="1:10" ht="28.5" x14ac:dyDescent="0.45">
      <c r="A1" s="215" t="s">
        <v>194</v>
      </c>
      <c r="B1" s="215"/>
      <c r="C1" s="215"/>
      <c r="D1" s="215"/>
      <c r="E1" s="215"/>
    </row>
    <row r="2" spans="1:10" ht="14.45" customHeight="1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10" x14ac:dyDescent="0.45">
      <c r="A3" s="2" t="s">
        <v>195</v>
      </c>
      <c r="B3" t="s">
        <v>141</v>
      </c>
      <c r="C3" s="105">
        <v>910165519556</v>
      </c>
      <c r="D3" t="s">
        <v>196</v>
      </c>
      <c r="E3" s="1" t="s">
        <v>140</v>
      </c>
      <c r="G3" t="s">
        <v>197</v>
      </c>
      <c r="J3" s="34"/>
    </row>
    <row r="4" spans="1:10" x14ac:dyDescent="0.45">
      <c r="A4" s="2"/>
      <c r="C4" s="105">
        <v>910165512757</v>
      </c>
      <c r="D4" s="3" t="s">
        <v>198</v>
      </c>
      <c r="E4" s="1" t="s">
        <v>140</v>
      </c>
    </row>
    <row r="5" spans="1:10" ht="28.5" x14ac:dyDescent="0.45">
      <c r="A5" s="2"/>
      <c r="C5" s="55">
        <v>910165503897</v>
      </c>
      <c r="D5" s="3" t="s">
        <v>199</v>
      </c>
      <c r="E5" s="1" t="s">
        <v>140</v>
      </c>
      <c r="G5" t="s">
        <v>197</v>
      </c>
    </row>
    <row r="6" spans="1:10" x14ac:dyDescent="0.45">
      <c r="A6" s="2"/>
      <c r="C6" s="105">
        <v>910165513162</v>
      </c>
      <c r="D6" s="3" t="s">
        <v>200</v>
      </c>
      <c r="E6" s="1" t="s">
        <v>140</v>
      </c>
    </row>
    <row r="7" spans="1:10" ht="14.45" customHeight="1" x14ac:dyDescent="0.45">
      <c r="A7" s="2"/>
      <c r="C7" s="105">
        <v>910165519556</v>
      </c>
      <c r="D7" t="s">
        <v>196</v>
      </c>
      <c r="E7" s="1" t="s">
        <v>140</v>
      </c>
      <c r="F7" s="62"/>
    </row>
    <row r="8" spans="1:10" ht="14.45" customHeight="1" x14ac:dyDescent="0.45">
      <c r="A8" s="2"/>
      <c r="C8" s="105">
        <v>910165512757</v>
      </c>
      <c r="D8" s="3" t="s">
        <v>198</v>
      </c>
      <c r="E8" s="1" t="s">
        <v>140</v>
      </c>
      <c r="F8" s="34"/>
      <c r="J8" s="34"/>
    </row>
    <row r="9" spans="1:10" ht="14.45" customHeight="1" x14ac:dyDescent="0.45">
      <c r="A9" s="2"/>
      <c r="C9" s="105"/>
      <c r="E9" s="1"/>
    </row>
    <row r="10" spans="1:10" x14ac:dyDescent="0.45">
      <c r="A10" s="2"/>
      <c r="E10" s="1"/>
    </row>
    <row r="11" spans="1:10" x14ac:dyDescent="0.45">
      <c r="A11" s="2" t="s">
        <v>201</v>
      </c>
      <c r="B11" t="s">
        <v>138</v>
      </c>
      <c r="C11" t="s">
        <v>202</v>
      </c>
      <c r="D11" t="s">
        <v>203</v>
      </c>
      <c r="E11" s="1" t="s">
        <v>140</v>
      </c>
    </row>
    <row r="12" spans="1:10" x14ac:dyDescent="0.45">
      <c r="A12" s="2"/>
      <c r="E12" s="1"/>
    </row>
    <row r="13" spans="1:10" x14ac:dyDescent="0.45">
      <c r="A13" s="2" t="s">
        <v>204</v>
      </c>
      <c r="B13" t="s">
        <v>205</v>
      </c>
      <c r="C13" s="45">
        <v>100200051882</v>
      </c>
      <c r="D13" t="s">
        <v>203</v>
      </c>
      <c r="E13" s="1" t="s">
        <v>140</v>
      </c>
    </row>
    <row r="14" spans="1:10" x14ac:dyDescent="0.45">
      <c r="C14" s="45"/>
      <c r="E14" s="1"/>
    </row>
    <row r="15" spans="1:10" x14ac:dyDescent="0.45">
      <c r="A15" t="s">
        <v>201</v>
      </c>
      <c r="B15" t="s">
        <v>206</v>
      </c>
      <c r="C15" s="45">
        <v>6416075343</v>
      </c>
      <c r="D15" t="s">
        <v>207</v>
      </c>
      <c r="E15" s="1" t="s">
        <v>140</v>
      </c>
    </row>
    <row r="16" spans="1:10" x14ac:dyDescent="0.45">
      <c r="A16" s="2"/>
      <c r="E16" s="1"/>
    </row>
    <row r="17" spans="1:7" x14ac:dyDescent="0.45">
      <c r="A17" s="2" t="s">
        <v>208</v>
      </c>
      <c r="E17" s="1"/>
    </row>
    <row r="18" spans="1:7" x14ac:dyDescent="0.45">
      <c r="A18" s="2" t="s">
        <v>18</v>
      </c>
      <c r="B18" s="43" t="s">
        <v>154</v>
      </c>
      <c r="C18" s="59" t="s">
        <v>209</v>
      </c>
      <c r="D18" s="58" t="s">
        <v>210</v>
      </c>
      <c r="E18" s="57" t="s">
        <v>152</v>
      </c>
    </row>
    <row r="20" spans="1:7" x14ac:dyDescent="0.45">
      <c r="A20" s="2" t="s">
        <v>211</v>
      </c>
      <c r="B20" t="s">
        <v>212</v>
      </c>
      <c r="C20" s="4">
        <v>462086</v>
      </c>
      <c r="D20" t="s">
        <v>213</v>
      </c>
      <c r="E20" s="57" t="s">
        <v>152</v>
      </c>
      <c r="G20" t="s">
        <v>214</v>
      </c>
    </row>
    <row r="22" spans="1:7" x14ac:dyDescent="0.45">
      <c r="A22" s="2" t="s">
        <v>215</v>
      </c>
    </row>
    <row r="24" spans="1:7" x14ac:dyDescent="0.45">
      <c r="A24" s="27" t="s">
        <v>195</v>
      </c>
      <c r="B24" s="27" t="s">
        <v>141</v>
      </c>
      <c r="C24" s="140">
        <v>910165521708</v>
      </c>
      <c r="D24" s="27" t="s">
        <v>216</v>
      </c>
      <c r="E24" s="29" t="s">
        <v>140</v>
      </c>
      <c r="F24" s="31"/>
    </row>
    <row r="25" spans="1:7" x14ac:dyDescent="0.45">
      <c r="A25" s="27"/>
      <c r="B25" s="27"/>
      <c r="C25" s="140">
        <v>910165507536</v>
      </c>
      <c r="D25" s="27" t="s">
        <v>217</v>
      </c>
      <c r="E25" s="29" t="s">
        <v>140</v>
      </c>
      <c r="F25" s="31"/>
    </row>
    <row r="26" spans="1:7" x14ac:dyDescent="0.45">
      <c r="A26" s="27"/>
      <c r="B26" s="27"/>
      <c r="C26" s="140">
        <v>910165520393</v>
      </c>
      <c r="D26" s="35" t="s">
        <v>218</v>
      </c>
      <c r="E26" s="29" t="s">
        <v>140</v>
      </c>
      <c r="F26" s="31"/>
    </row>
    <row r="27" spans="1:7" x14ac:dyDescent="0.45">
      <c r="A27" s="27"/>
      <c r="B27" s="27"/>
      <c r="C27" s="140">
        <v>910165528911</v>
      </c>
      <c r="D27" s="35" t="s">
        <v>219</v>
      </c>
      <c r="E27" s="29" t="s">
        <v>140</v>
      </c>
      <c r="F27" s="31"/>
    </row>
    <row r="28" spans="1:7" x14ac:dyDescent="0.45">
      <c r="A28" s="27"/>
      <c r="B28" s="27"/>
      <c r="C28" s="140"/>
      <c r="D28" s="35"/>
      <c r="E28" s="29"/>
      <c r="F28" s="31"/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598F-39EC-4E1D-8D6F-E50CBEA3692D}">
  <dimension ref="A1:J23"/>
  <sheetViews>
    <sheetView workbookViewId="0">
      <selection activeCell="D37" sqref="D37"/>
    </sheetView>
  </sheetViews>
  <sheetFormatPr defaultRowHeight="14.25" x14ac:dyDescent="0.45"/>
  <cols>
    <col min="1" max="1" width="26" customWidth="1"/>
    <col min="2" max="2" width="17.6640625" customWidth="1"/>
    <col min="3" max="3" width="29.6640625" customWidth="1"/>
    <col min="4" max="4" width="50.1328125" customWidth="1"/>
    <col min="5" max="5" width="18.6640625" customWidth="1"/>
    <col min="6" max="6" width="13.86328125" customWidth="1"/>
  </cols>
  <sheetData>
    <row r="1" spans="1:10" ht="28.5" x14ac:dyDescent="0.45">
      <c r="A1" s="215" t="s">
        <v>221</v>
      </c>
      <c r="B1" s="215"/>
      <c r="C1" s="215"/>
      <c r="D1" s="215"/>
      <c r="E1" s="215"/>
    </row>
    <row r="2" spans="1:10" ht="14.45" customHeight="1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10" x14ac:dyDescent="0.45">
      <c r="A3" t="s">
        <v>222</v>
      </c>
      <c r="B3" t="s">
        <v>141</v>
      </c>
      <c r="C3" s="102" t="s">
        <v>223</v>
      </c>
      <c r="D3" s="103" t="s">
        <v>224</v>
      </c>
      <c r="E3" s="64" t="s">
        <v>152</v>
      </c>
    </row>
    <row r="4" spans="1:10" x14ac:dyDescent="0.45">
      <c r="C4" s="13" t="s">
        <v>225</v>
      </c>
      <c r="D4" s="64" t="s">
        <v>226</v>
      </c>
      <c r="E4" s="64" t="s">
        <v>152</v>
      </c>
    </row>
    <row r="5" spans="1:10" x14ac:dyDescent="0.45">
      <c r="C5" s="13" t="s">
        <v>227</v>
      </c>
      <c r="D5" s="64" t="s">
        <v>228</v>
      </c>
      <c r="E5" s="64" t="s">
        <v>152</v>
      </c>
    </row>
    <row r="6" spans="1:10" x14ac:dyDescent="0.45">
      <c r="C6" s="13" t="s">
        <v>229</v>
      </c>
      <c r="D6" s="64" t="s">
        <v>230</v>
      </c>
      <c r="E6" s="64" t="s">
        <v>152</v>
      </c>
      <c r="F6" t="s">
        <v>231</v>
      </c>
    </row>
    <row r="7" spans="1:10" x14ac:dyDescent="0.45">
      <c r="C7" s="13" t="s">
        <v>232</v>
      </c>
      <c r="D7" s="64" t="s">
        <v>233</v>
      </c>
      <c r="E7" s="64" t="s">
        <v>152</v>
      </c>
    </row>
    <row r="8" spans="1:10" x14ac:dyDescent="0.45">
      <c r="C8" s="102" t="s">
        <v>234</v>
      </c>
      <c r="D8" s="103" t="s">
        <v>235</v>
      </c>
      <c r="E8" s="64" t="s">
        <v>152</v>
      </c>
    </row>
    <row r="9" spans="1:10" x14ac:dyDescent="0.45">
      <c r="C9" s="13" t="s">
        <v>236</v>
      </c>
      <c r="D9" s="64" t="s">
        <v>237</v>
      </c>
      <c r="E9" s="64" t="s">
        <v>152</v>
      </c>
    </row>
    <row r="10" spans="1:10" x14ac:dyDescent="0.45">
      <c r="C10" s="99" t="s">
        <v>238</v>
      </c>
      <c r="D10" s="100" t="s">
        <v>239</v>
      </c>
      <c r="E10" s="100" t="s">
        <v>152</v>
      </c>
      <c r="F10" s="101" t="s">
        <v>240</v>
      </c>
      <c r="G10" s="101"/>
      <c r="H10" s="101"/>
      <c r="I10" s="101"/>
      <c r="J10" s="101"/>
    </row>
    <row r="11" spans="1:10" x14ac:dyDescent="0.45">
      <c r="C11" s="13" t="s">
        <v>241</v>
      </c>
      <c r="D11" s="64" t="s">
        <v>242</v>
      </c>
      <c r="E11" s="64" t="s">
        <v>152</v>
      </c>
    </row>
    <row r="12" spans="1:10" x14ac:dyDescent="0.45">
      <c r="C12" s="13" t="s">
        <v>243</v>
      </c>
      <c r="D12" s="64" t="s">
        <v>244</v>
      </c>
      <c r="E12" s="64" t="s">
        <v>152</v>
      </c>
    </row>
    <row r="13" spans="1:10" x14ac:dyDescent="0.45">
      <c r="C13" s="13"/>
      <c r="D13" s="64"/>
    </row>
    <row r="14" spans="1:10" x14ac:dyDescent="0.45">
      <c r="A14" s="64" t="s">
        <v>56</v>
      </c>
      <c r="B14" s="64" t="s">
        <v>206</v>
      </c>
      <c r="C14" s="13" t="s">
        <v>245</v>
      </c>
      <c r="D14" s="64" t="s">
        <v>235</v>
      </c>
      <c r="E14" s="64" t="s">
        <v>152</v>
      </c>
    </row>
    <row r="16" spans="1:10" ht="28.5" x14ac:dyDescent="0.45">
      <c r="A16" s="104" t="s">
        <v>246</v>
      </c>
      <c r="B16" s="64" t="s">
        <v>247</v>
      </c>
      <c r="C16" s="13">
        <v>520370221</v>
      </c>
      <c r="D16" s="64" t="s">
        <v>248</v>
      </c>
      <c r="E16" s="64" t="s">
        <v>152</v>
      </c>
    </row>
    <row r="17" spans="1:5" x14ac:dyDescent="0.45">
      <c r="C17" s="99">
        <v>520370218</v>
      </c>
      <c r="D17" s="100" t="s">
        <v>237</v>
      </c>
      <c r="E17" s="64" t="s">
        <v>152</v>
      </c>
    </row>
    <row r="18" spans="1:5" x14ac:dyDescent="0.45">
      <c r="C18" s="99">
        <v>520370216</v>
      </c>
      <c r="D18" s="100" t="s">
        <v>226</v>
      </c>
      <c r="E18" s="64" t="s">
        <v>152</v>
      </c>
    </row>
    <row r="19" spans="1:5" x14ac:dyDescent="0.45">
      <c r="C19" s="13">
        <v>520370220</v>
      </c>
      <c r="D19" s="64" t="s">
        <v>239</v>
      </c>
      <c r="E19" s="64" t="s">
        <v>152</v>
      </c>
    </row>
    <row r="20" spans="1:5" x14ac:dyDescent="0.45">
      <c r="C20" s="13">
        <v>520370219</v>
      </c>
      <c r="D20" s="64" t="s">
        <v>249</v>
      </c>
      <c r="E20" s="64" t="s">
        <v>152</v>
      </c>
    </row>
    <row r="21" spans="1:5" x14ac:dyDescent="0.45">
      <c r="C21" s="13">
        <v>520370217</v>
      </c>
      <c r="D21" s="64" t="s">
        <v>250</v>
      </c>
      <c r="E21" s="64" t="s">
        <v>152</v>
      </c>
    </row>
    <row r="23" spans="1:5" x14ac:dyDescent="0.45">
      <c r="A23" s="65"/>
      <c r="B23" s="65"/>
      <c r="C23" s="65"/>
      <c r="D23" s="65"/>
      <c r="E23" s="65"/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7537-38B0-4B7C-9796-AE3A1D864233}">
  <dimension ref="A1:F16"/>
  <sheetViews>
    <sheetView workbookViewId="0">
      <selection activeCell="E24" sqref="E24"/>
    </sheetView>
  </sheetViews>
  <sheetFormatPr defaultRowHeight="15" customHeight="1" x14ac:dyDescent="0.45"/>
  <cols>
    <col min="1" max="1" width="40.33203125" customWidth="1"/>
    <col min="2" max="2" width="18.1328125" customWidth="1"/>
    <col min="3" max="3" width="18.33203125" customWidth="1"/>
    <col min="4" max="4" width="35.6640625" customWidth="1"/>
    <col min="5" max="5" width="18.1328125" style="1" customWidth="1"/>
  </cols>
  <sheetData>
    <row r="1" spans="1:6" ht="28.5" x14ac:dyDescent="0.85">
      <c r="A1" s="218" t="s">
        <v>256</v>
      </c>
      <c r="B1" s="218"/>
      <c r="C1" s="218"/>
      <c r="D1" s="218"/>
      <c r="E1" s="218"/>
    </row>
    <row r="2" spans="1:6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6" ht="14.25" x14ac:dyDescent="0.45">
      <c r="A3" s="2" t="s">
        <v>28</v>
      </c>
      <c r="B3" t="s">
        <v>141</v>
      </c>
      <c r="C3" t="s">
        <v>257</v>
      </c>
      <c r="D3" t="s">
        <v>258</v>
      </c>
      <c r="E3" s="1" t="s">
        <v>140</v>
      </c>
    </row>
    <row r="4" spans="1:6" ht="14.25" x14ac:dyDescent="0.45">
      <c r="A4" s="2"/>
    </row>
    <row r="5" spans="1:6" ht="14.25" x14ac:dyDescent="0.45">
      <c r="A5" s="2"/>
    </row>
    <row r="6" spans="1:6" ht="14.25" x14ac:dyDescent="0.45">
      <c r="A6" s="2" t="s">
        <v>215</v>
      </c>
    </row>
    <row r="7" spans="1:6" ht="28.5" x14ac:dyDescent="0.45">
      <c r="A7" s="34" t="s">
        <v>28</v>
      </c>
      <c r="B7" s="27" t="s">
        <v>141</v>
      </c>
      <c r="C7" s="27" t="s">
        <v>259</v>
      </c>
      <c r="D7" s="35" t="s">
        <v>260</v>
      </c>
      <c r="E7" s="29"/>
      <c r="F7" s="31" t="s">
        <v>251</v>
      </c>
    </row>
    <row r="8" spans="1:6" ht="28.5" x14ac:dyDescent="0.45">
      <c r="A8" s="27"/>
      <c r="B8" s="27" t="s">
        <v>141</v>
      </c>
      <c r="C8" s="27" t="s">
        <v>261</v>
      </c>
      <c r="D8" s="35" t="s">
        <v>262</v>
      </c>
      <c r="E8" s="29" t="s">
        <v>152</v>
      </c>
      <c r="F8" s="31" t="s">
        <v>263</v>
      </c>
    </row>
    <row r="12" spans="1:6" ht="28.5" x14ac:dyDescent="0.85">
      <c r="A12" s="219" t="s">
        <v>264</v>
      </c>
      <c r="B12" s="219"/>
      <c r="C12" s="219"/>
      <c r="D12" s="219"/>
      <c r="E12" s="219"/>
    </row>
    <row r="13" spans="1:6" ht="14.25" x14ac:dyDescent="0.45">
      <c r="A13" s="5" t="s">
        <v>133</v>
      </c>
      <c r="B13" s="5" t="s">
        <v>134</v>
      </c>
      <c r="C13" s="5" t="s">
        <v>135</v>
      </c>
      <c r="D13" s="5" t="s">
        <v>136</v>
      </c>
      <c r="E13" s="5" t="s">
        <v>137</v>
      </c>
    </row>
    <row r="14" spans="1:6" ht="28.5" x14ac:dyDescent="0.45">
      <c r="A14" s="2" t="s">
        <v>28</v>
      </c>
      <c r="B14" t="s">
        <v>141</v>
      </c>
      <c r="C14" s="1" t="s">
        <v>265</v>
      </c>
      <c r="D14" s="3" t="s">
        <v>266</v>
      </c>
      <c r="E14" s="1" t="s">
        <v>140</v>
      </c>
    </row>
    <row r="16" spans="1:6" ht="14.25" x14ac:dyDescent="0.45">
      <c r="A16" s="2" t="s">
        <v>30</v>
      </c>
      <c r="B16" t="s">
        <v>138</v>
      </c>
      <c r="C16" s="1">
        <v>17500001</v>
      </c>
      <c r="D16" s="3" t="s">
        <v>267</v>
      </c>
      <c r="E16" s="1" t="s">
        <v>140</v>
      </c>
    </row>
  </sheetData>
  <mergeCells count="2">
    <mergeCell ref="A12:E12"/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FB50-4AF2-4C60-B377-205A4CF39A57}">
  <dimension ref="A1:F23"/>
  <sheetViews>
    <sheetView workbookViewId="0">
      <selection activeCell="F26" sqref="F26"/>
    </sheetView>
  </sheetViews>
  <sheetFormatPr defaultRowHeight="15" customHeight="1" x14ac:dyDescent="0.45"/>
  <cols>
    <col min="1" max="1" width="26.53125" customWidth="1"/>
    <col min="2" max="2" width="21.33203125" customWidth="1"/>
    <col min="3" max="3" width="19.6640625" customWidth="1"/>
    <col min="4" max="4" width="34.6640625" customWidth="1"/>
    <col min="5" max="5" width="19.6640625" customWidth="1"/>
  </cols>
  <sheetData>
    <row r="1" spans="1:6" ht="28.5" x14ac:dyDescent="0.85">
      <c r="A1" s="218" t="s">
        <v>31</v>
      </c>
      <c r="B1" s="218"/>
      <c r="C1" s="218"/>
      <c r="D1" s="218"/>
      <c r="E1" s="218"/>
    </row>
    <row r="2" spans="1:6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6" ht="14.25" x14ac:dyDescent="0.45">
      <c r="A3" s="2" t="s">
        <v>32</v>
      </c>
      <c r="B3" t="s">
        <v>141</v>
      </c>
      <c r="C3" s="9" t="s">
        <v>268</v>
      </c>
      <c r="D3" s="10" t="s">
        <v>269</v>
      </c>
      <c r="E3" s="1" t="s">
        <v>152</v>
      </c>
    </row>
    <row r="4" spans="1:6" ht="14.25" x14ac:dyDescent="0.45">
      <c r="B4" t="s">
        <v>141</v>
      </c>
      <c r="C4" s="9" t="s">
        <v>270</v>
      </c>
      <c r="D4" s="10" t="s">
        <v>271</v>
      </c>
      <c r="E4" s="1" t="s">
        <v>152</v>
      </c>
    </row>
    <row r="5" spans="1:6" ht="15.4" x14ac:dyDescent="0.45">
      <c r="B5" t="s">
        <v>141</v>
      </c>
      <c r="C5" s="9" t="s">
        <v>272</v>
      </c>
      <c r="D5" s="10" t="s">
        <v>273</v>
      </c>
      <c r="E5" s="1" t="s">
        <v>152</v>
      </c>
      <c r="F5" s="66" t="s">
        <v>274</v>
      </c>
    </row>
    <row r="6" spans="1:6" ht="15.4" x14ac:dyDescent="0.45">
      <c r="B6" t="s">
        <v>141</v>
      </c>
      <c r="C6" s="9" t="s">
        <v>275</v>
      </c>
      <c r="D6" s="10" t="s">
        <v>276</v>
      </c>
      <c r="E6" s="1" t="s">
        <v>152</v>
      </c>
      <c r="F6" s="66" t="s">
        <v>277</v>
      </c>
    </row>
    <row r="7" spans="1:6" ht="14.25" x14ac:dyDescent="0.45">
      <c r="B7" t="s">
        <v>141</v>
      </c>
      <c r="C7" s="9" t="s">
        <v>278</v>
      </c>
      <c r="D7" s="10" t="s">
        <v>279</v>
      </c>
      <c r="E7" s="1" t="s">
        <v>152</v>
      </c>
    </row>
    <row r="8" spans="1:6" ht="15.4" x14ac:dyDescent="0.45">
      <c r="B8" t="s">
        <v>141</v>
      </c>
      <c r="C8" s="9" t="s">
        <v>280</v>
      </c>
      <c r="D8" s="10" t="s">
        <v>281</v>
      </c>
      <c r="E8" s="1" t="s">
        <v>152</v>
      </c>
      <c r="F8" s="66" t="s">
        <v>282</v>
      </c>
    </row>
    <row r="9" spans="1:6" ht="14.25" x14ac:dyDescent="0.45">
      <c r="B9" t="s">
        <v>141</v>
      </c>
      <c r="C9" s="9" t="s">
        <v>283</v>
      </c>
      <c r="D9" s="10" t="s">
        <v>284</v>
      </c>
      <c r="E9" s="1" t="s">
        <v>152</v>
      </c>
      <c r="F9" s="42" t="s">
        <v>285</v>
      </c>
    </row>
    <row r="10" spans="1:6" ht="14.25" x14ac:dyDescent="0.45">
      <c r="B10" t="s">
        <v>141</v>
      </c>
      <c r="C10" s="9" t="s">
        <v>286</v>
      </c>
      <c r="D10" s="10" t="s">
        <v>287</v>
      </c>
      <c r="E10" s="1" t="s">
        <v>152</v>
      </c>
      <c r="F10" s="42" t="s">
        <v>285</v>
      </c>
    </row>
    <row r="11" spans="1:6" ht="14.25" x14ac:dyDescent="0.45">
      <c r="B11" t="s">
        <v>141</v>
      </c>
      <c r="C11" s="9" t="s">
        <v>288</v>
      </c>
      <c r="D11" s="10" t="s">
        <v>289</v>
      </c>
      <c r="E11" s="1" t="s">
        <v>152</v>
      </c>
      <c r="F11" s="42" t="s">
        <v>285</v>
      </c>
    </row>
    <row r="12" spans="1:6" ht="14.25" x14ac:dyDescent="0.45">
      <c r="B12" t="s">
        <v>141</v>
      </c>
      <c r="C12" s="9" t="s">
        <v>290</v>
      </c>
      <c r="D12" s="10" t="s">
        <v>291</v>
      </c>
      <c r="E12" s="1" t="s">
        <v>152</v>
      </c>
      <c r="F12" s="42" t="s">
        <v>285</v>
      </c>
    </row>
    <row r="13" spans="1:6" ht="14.25" x14ac:dyDescent="0.45">
      <c r="B13" t="s">
        <v>141</v>
      </c>
      <c r="C13" s="6">
        <v>110163477398</v>
      </c>
      <c r="D13" t="s">
        <v>292</v>
      </c>
      <c r="E13" s="1" t="s">
        <v>152</v>
      </c>
      <c r="F13" s="42" t="s">
        <v>293</v>
      </c>
    </row>
    <row r="14" spans="1:6" ht="14.25" x14ac:dyDescent="0.45">
      <c r="B14" t="s">
        <v>141</v>
      </c>
      <c r="C14" s="6">
        <v>110162729625</v>
      </c>
      <c r="D14" s="10" t="s">
        <v>294</v>
      </c>
      <c r="E14" s="1" t="s">
        <v>152</v>
      </c>
      <c r="F14" s="42" t="s">
        <v>295</v>
      </c>
    </row>
    <row r="15" spans="1:6" ht="14.25" x14ac:dyDescent="0.45">
      <c r="B15" t="s">
        <v>141</v>
      </c>
      <c r="C15" s="6">
        <v>110161548331</v>
      </c>
      <c r="D15" s="10" t="s">
        <v>296</v>
      </c>
      <c r="E15" s="1" t="s">
        <v>152</v>
      </c>
      <c r="F15" s="42" t="s">
        <v>285</v>
      </c>
    </row>
    <row r="18" spans="1:6" ht="14.25" x14ac:dyDescent="0.45">
      <c r="A18" s="2" t="s">
        <v>33</v>
      </c>
      <c r="B18" t="s">
        <v>138</v>
      </c>
      <c r="C18" s="6">
        <v>188949883007</v>
      </c>
      <c r="D18" t="s">
        <v>297</v>
      </c>
      <c r="E18" s="1" t="s">
        <v>152</v>
      </c>
      <c r="F18" t="s">
        <v>298</v>
      </c>
    </row>
    <row r="19" spans="1:6" ht="15" customHeight="1" x14ac:dyDescent="0.45">
      <c r="C19" s="6">
        <v>299924303008</v>
      </c>
      <c r="E19" s="1" t="s">
        <v>152</v>
      </c>
      <c r="F19" t="s">
        <v>299</v>
      </c>
    </row>
    <row r="23" spans="1:6" ht="14.25" x14ac:dyDescent="0.45"/>
  </sheetData>
  <mergeCells count="1">
    <mergeCell ref="A1:E1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FFB3-C74E-4432-A267-CC04F46F5E3C}">
  <dimension ref="A1:F21"/>
  <sheetViews>
    <sheetView workbookViewId="0">
      <selection activeCell="D28" sqref="D28"/>
    </sheetView>
  </sheetViews>
  <sheetFormatPr defaultRowHeight="15" customHeight="1" x14ac:dyDescent="0.45"/>
  <cols>
    <col min="1" max="1" width="31.6640625" customWidth="1"/>
    <col min="2" max="2" width="21.1328125" customWidth="1"/>
    <col min="3" max="3" width="19.53125" customWidth="1"/>
    <col min="4" max="4" width="41.6640625" customWidth="1"/>
    <col min="5" max="5" width="19.6640625" style="1" customWidth="1"/>
  </cols>
  <sheetData>
    <row r="1" spans="1:6" ht="28.5" x14ac:dyDescent="0.85">
      <c r="A1" s="218" t="s">
        <v>34</v>
      </c>
      <c r="B1" s="218"/>
      <c r="C1" s="218"/>
      <c r="D1" s="218"/>
      <c r="E1" s="218"/>
    </row>
    <row r="2" spans="1:6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6" ht="14.25" x14ac:dyDescent="0.45">
      <c r="A3" s="2" t="s">
        <v>28</v>
      </c>
      <c r="B3" t="s">
        <v>141</v>
      </c>
      <c r="C3" s="1">
        <v>6570900297</v>
      </c>
      <c r="D3" t="s">
        <v>300</v>
      </c>
      <c r="E3" s="1" t="s">
        <v>140</v>
      </c>
    </row>
    <row r="4" spans="1:6" ht="14.25" x14ac:dyDescent="0.45">
      <c r="C4" s="1">
        <v>9657990025</v>
      </c>
      <c r="D4" t="s">
        <v>301</v>
      </c>
      <c r="E4" s="1" t="s">
        <v>140</v>
      </c>
    </row>
    <row r="5" spans="1:6" ht="14.25" x14ac:dyDescent="0.45">
      <c r="C5" s="1">
        <v>6338187369</v>
      </c>
      <c r="D5" t="s">
        <v>302</v>
      </c>
      <c r="E5" s="1" t="s">
        <v>140</v>
      </c>
    </row>
    <row r="6" spans="1:6" ht="14.25" x14ac:dyDescent="0.45"/>
    <row r="7" spans="1:6" ht="14.25" x14ac:dyDescent="0.45">
      <c r="A7" s="2" t="s">
        <v>35</v>
      </c>
      <c r="B7" t="s">
        <v>147</v>
      </c>
      <c r="C7" s="1" t="s">
        <v>303</v>
      </c>
      <c r="D7" t="s">
        <v>304</v>
      </c>
      <c r="E7" s="1" t="s">
        <v>140</v>
      </c>
    </row>
    <row r="8" spans="1:6" ht="14.25" x14ac:dyDescent="0.45">
      <c r="C8" s="1" t="s">
        <v>305</v>
      </c>
      <c r="D8" t="s">
        <v>304</v>
      </c>
      <c r="E8" s="1" t="s">
        <v>140</v>
      </c>
    </row>
    <row r="9" spans="1:6" ht="15" customHeight="1" x14ac:dyDescent="0.45">
      <c r="C9" s="1"/>
    </row>
    <row r="10" spans="1:6" ht="14.25" x14ac:dyDescent="0.45">
      <c r="A10" s="2" t="s">
        <v>306</v>
      </c>
      <c r="B10" t="s">
        <v>138</v>
      </c>
      <c r="C10" s="1" t="s">
        <v>307</v>
      </c>
      <c r="D10" t="s">
        <v>308</v>
      </c>
      <c r="E10" s="1" t="s">
        <v>140</v>
      </c>
    </row>
    <row r="13" spans="1:6" ht="15" customHeight="1" x14ac:dyDescent="0.45">
      <c r="A13" s="41" t="s">
        <v>208</v>
      </c>
    </row>
    <row r="14" spans="1:6" ht="15" customHeight="1" x14ac:dyDescent="0.45">
      <c r="A14" s="2" t="s">
        <v>37</v>
      </c>
      <c r="B14" t="s">
        <v>145</v>
      </c>
      <c r="C14" s="63" t="s">
        <v>309</v>
      </c>
      <c r="D14" t="s">
        <v>310</v>
      </c>
      <c r="E14" s="1" t="s">
        <v>152</v>
      </c>
      <c r="F14" t="s">
        <v>311</v>
      </c>
    </row>
    <row r="20" spans="1:6" ht="15" customHeight="1" x14ac:dyDescent="0.45">
      <c r="A20" s="2" t="s">
        <v>312</v>
      </c>
    </row>
    <row r="21" spans="1:6" s="27" customFormat="1" ht="15" customHeight="1" x14ac:dyDescent="0.45">
      <c r="A21" s="34" t="s">
        <v>37</v>
      </c>
      <c r="B21" s="27" t="s">
        <v>145</v>
      </c>
      <c r="C21" s="27" t="s">
        <v>313</v>
      </c>
      <c r="D21" s="27" t="s">
        <v>314</v>
      </c>
      <c r="E21" s="31" t="s">
        <v>152</v>
      </c>
      <c r="F21" s="34" t="s">
        <v>315</v>
      </c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50399-1FD0-491A-9A79-76391E0A733C}">
  <dimension ref="A1:E13"/>
  <sheetViews>
    <sheetView workbookViewId="0">
      <selection activeCell="F8" sqref="F8"/>
    </sheetView>
  </sheetViews>
  <sheetFormatPr defaultRowHeight="15" customHeight="1" x14ac:dyDescent="0.45"/>
  <cols>
    <col min="1" max="1" width="26.6640625" customWidth="1"/>
    <col min="2" max="3" width="18.33203125" customWidth="1"/>
    <col min="4" max="4" width="35.6640625" customWidth="1"/>
    <col min="5" max="5" width="19.6640625" customWidth="1"/>
    <col min="6" max="6" width="17.6640625" customWidth="1"/>
  </cols>
  <sheetData>
    <row r="1" spans="1:5" ht="28.5" x14ac:dyDescent="0.85">
      <c r="A1" s="218" t="s">
        <v>38</v>
      </c>
      <c r="B1" s="218"/>
      <c r="C1" s="218"/>
      <c r="D1" s="218"/>
      <c r="E1" s="218"/>
    </row>
    <row r="2" spans="1:5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ht="14.25" x14ac:dyDescent="0.45">
      <c r="A3" s="2" t="s">
        <v>28</v>
      </c>
      <c r="B3" t="s">
        <v>141</v>
      </c>
      <c r="C3" s="7">
        <v>4251646057</v>
      </c>
      <c r="D3" t="s">
        <v>316</v>
      </c>
      <c r="E3" t="s">
        <v>140</v>
      </c>
    </row>
    <row r="4" spans="1:5" ht="14.25" x14ac:dyDescent="0.45">
      <c r="A4" s="2"/>
      <c r="C4" s="7">
        <v>4408902270</v>
      </c>
      <c r="D4" t="s">
        <v>317</v>
      </c>
      <c r="E4" t="s">
        <v>140</v>
      </c>
    </row>
    <row r="5" spans="1:5" ht="14.25" x14ac:dyDescent="0.45">
      <c r="A5" s="2"/>
      <c r="C5" s="7" t="s">
        <v>318</v>
      </c>
      <c r="D5" t="s">
        <v>319</v>
      </c>
      <c r="E5" t="s">
        <v>152</v>
      </c>
    </row>
    <row r="6" spans="1:5" ht="14.25" x14ac:dyDescent="0.45">
      <c r="A6" s="2"/>
      <c r="C6" s="1">
        <v>7506524060</v>
      </c>
      <c r="D6" t="s">
        <v>320</v>
      </c>
      <c r="E6" t="s">
        <v>152</v>
      </c>
    </row>
    <row r="7" spans="1:5" ht="14.25" x14ac:dyDescent="0.45">
      <c r="A7" s="2"/>
      <c r="C7" s="1"/>
    </row>
    <row r="8" spans="1:5" ht="28.5" x14ac:dyDescent="0.45">
      <c r="A8" s="2" t="s">
        <v>39</v>
      </c>
      <c r="B8" s="3" t="s">
        <v>321</v>
      </c>
      <c r="C8" s="1" t="s">
        <v>322</v>
      </c>
      <c r="D8" t="s">
        <v>323</v>
      </c>
      <c r="E8" t="s">
        <v>140</v>
      </c>
    </row>
    <row r="9" spans="1:5" ht="14.25" x14ac:dyDescent="0.45">
      <c r="A9" s="2"/>
    </row>
    <row r="10" spans="1:5" ht="14.25" x14ac:dyDescent="0.45">
      <c r="A10" s="2"/>
    </row>
    <row r="11" spans="1:5" ht="14.25" x14ac:dyDescent="0.45">
      <c r="A11" s="2" t="s">
        <v>40</v>
      </c>
      <c r="B11" s="27" t="s">
        <v>212</v>
      </c>
      <c r="C11" s="33">
        <v>1122729</v>
      </c>
      <c r="D11" s="27" t="s">
        <v>323</v>
      </c>
      <c r="E11" s="34" t="s">
        <v>152</v>
      </c>
    </row>
    <row r="12" spans="1:5" ht="14.25" x14ac:dyDescent="0.45">
      <c r="A12" s="2"/>
      <c r="C12" s="1">
        <v>1181923</v>
      </c>
      <c r="D12" t="s">
        <v>323</v>
      </c>
      <c r="E12" t="s">
        <v>140</v>
      </c>
    </row>
    <row r="13" spans="1:5" ht="14.25" x14ac:dyDescent="0.45">
      <c r="B13" s="27"/>
      <c r="C13" s="29">
        <v>1129372</v>
      </c>
      <c r="D13" s="27" t="s">
        <v>324</v>
      </c>
      <c r="E13" s="34" t="s">
        <v>152</v>
      </c>
    </row>
  </sheetData>
  <mergeCells count="1">
    <mergeCell ref="A1:E1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5A1A-C71A-4290-A4A8-D57C596045F9}">
  <dimension ref="A1:F11"/>
  <sheetViews>
    <sheetView workbookViewId="0">
      <selection activeCell="C4" sqref="C4"/>
    </sheetView>
  </sheetViews>
  <sheetFormatPr defaultRowHeight="15" customHeight="1" x14ac:dyDescent="0.45"/>
  <cols>
    <col min="1" max="1" width="26.53125" customWidth="1"/>
    <col min="2" max="2" width="18.33203125" customWidth="1"/>
    <col min="3" max="3" width="18.46484375" customWidth="1"/>
    <col min="4" max="4" width="35.6640625" customWidth="1"/>
    <col min="5" max="5" width="16" customWidth="1"/>
  </cols>
  <sheetData>
    <row r="1" spans="1:6" ht="28.5" x14ac:dyDescent="0.85">
      <c r="A1" s="218" t="s">
        <v>41</v>
      </c>
      <c r="B1" s="218"/>
      <c r="C1" s="218"/>
      <c r="D1" s="218"/>
      <c r="E1" s="218"/>
    </row>
    <row r="2" spans="1:6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6" ht="14.25" x14ac:dyDescent="0.45">
      <c r="A3" s="2"/>
    </row>
    <row r="4" spans="1:6" ht="14.25" x14ac:dyDescent="0.45">
      <c r="A4" s="2" t="s">
        <v>42</v>
      </c>
      <c r="B4" t="s">
        <v>147</v>
      </c>
      <c r="C4" s="11">
        <v>1000901242</v>
      </c>
      <c r="D4" t="s">
        <v>325</v>
      </c>
      <c r="E4" t="s">
        <v>140</v>
      </c>
    </row>
    <row r="5" spans="1:6" ht="15" customHeight="1" x14ac:dyDescent="0.45">
      <c r="B5" t="s">
        <v>326</v>
      </c>
      <c r="C5" s="11">
        <v>1000901242</v>
      </c>
      <c r="D5" t="s">
        <v>325</v>
      </c>
      <c r="E5" t="s">
        <v>140</v>
      </c>
    </row>
    <row r="10" spans="1:6" ht="15" customHeight="1" x14ac:dyDescent="0.45">
      <c r="A10" s="41" t="s">
        <v>312</v>
      </c>
    </row>
    <row r="11" spans="1:6" s="27" customFormat="1" ht="15" customHeight="1" x14ac:dyDescent="0.45">
      <c r="A11" s="34" t="s">
        <v>28</v>
      </c>
      <c r="B11" s="27" t="s">
        <v>141</v>
      </c>
      <c r="C11" s="33">
        <v>8767133419</v>
      </c>
      <c r="D11" s="35" t="s">
        <v>327</v>
      </c>
      <c r="E11" s="27" t="s">
        <v>140</v>
      </c>
      <c r="F11" s="34"/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D14A5-A378-4BA1-A5B7-1FAA0415C434}">
  <dimension ref="A1:E6"/>
  <sheetViews>
    <sheetView workbookViewId="0">
      <selection activeCell="C6" sqref="C6"/>
    </sheetView>
  </sheetViews>
  <sheetFormatPr defaultRowHeight="15" customHeight="1" x14ac:dyDescent="0.45"/>
  <cols>
    <col min="1" max="1" width="27" customWidth="1"/>
    <col min="2" max="2" width="19.1328125" customWidth="1"/>
    <col min="3" max="3" width="19.53125" style="1" customWidth="1"/>
    <col min="4" max="4" width="34.53125" customWidth="1"/>
    <col min="5" max="5" width="19.6640625" customWidth="1"/>
  </cols>
  <sheetData>
    <row r="1" spans="1:5" ht="28.5" x14ac:dyDescent="0.85">
      <c r="A1" s="218" t="s">
        <v>43</v>
      </c>
      <c r="B1" s="218"/>
      <c r="C1" s="218"/>
      <c r="D1" s="218"/>
      <c r="E1" s="218"/>
    </row>
    <row r="2" spans="1:5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ht="28.5" x14ac:dyDescent="0.45">
      <c r="A3" s="2" t="s">
        <v>44</v>
      </c>
      <c r="B3" s="3" t="s">
        <v>328</v>
      </c>
      <c r="C3" s="1">
        <v>3448001</v>
      </c>
      <c r="D3" t="s">
        <v>329</v>
      </c>
      <c r="E3" t="s">
        <v>140</v>
      </c>
    </row>
    <row r="4" spans="1:5" ht="14.25" x14ac:dyDescent="0.45">
      <c r="A4" s="2"/>
    </row>
    <row r="5" spans="1:5" ht="28.5" x14ac:dyDescent="0.45">
      <c r="A5" s="2" t="s">
        <v>45</v>
      </c>
      <c r="B5" t="s">
        <v>141</v>
      </c>
      <c r="C5" s="1">
        <v>60672965419</v>
      </c>
      <c r="D5" s="3" t="s">
        <v>330</v>
      </c>
      <c r="E5" t="s">
        <v>140</v>
      </c>
    </row>
    <row r="6" spans="1:5" ht="28.5" x14ac:dyDescent="0.45">
      <c r="B6" t="s">
        <v>141</v>
      </c>
      <c r="C6" s="1">
        <v>3651364253</v>
      </c>
      <c r="D6" s="3" t="s">
        <v>331</v>
      </c>
      <c r="E6" t="s">
        <v>140</v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10AA-CFF6-49C6-B068-6705844921C1}">
  <dimension ref="A1:G27"/>
  <sheetViews>
    <sheetView workbookViewId="0">
      <selection activeCell="H6" sqref="H6"/>
    </sheetView>
  </sheetViews>
  <sheetFormatPr defaultRowHeight="15" customHeight="1" x14ac:dyDescent="0.45"/>
  <cols>
    <col min="1" max="1" width="34.33203125" customWidth="1"/>
    <col min="2" max="2" width="21.46484375" customWidth="1"/>
    <col min="3" max="3" width="17.86328125" style="1" customWidth="1"/>
    <col min="4" max="4" width="38.46484375" customWidth="1"/>
    <col min="5" max="5" width="19.6640625" customWidth="1"/>
  </cols>
  <sheetData>
    <row r="1" spans="1:6" ht="28.5" x14ac:dyDescent="0.85">
      <c r="A1" s="218" t="s">
        <v>46</v>
      </c>
      <c r="B1" s="218"/>
      <c r="C1" s="218"/>
      <c r="D1" s="218"/>
      <c r="E1" s="218"/>
    </row>
    <row r="2" spans="1:6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6" ht="14.25" x14ac:dyDescent="0.45">
      <c r="A3" s="2" t="s">
        <v>48</v>
      </c>
      <c r="B3" t="s">
        <v>141</v>
      </c>
      <c r="C3" s="1">
        <v>2188000</v>
      </c>
      <c r="D3" t="s">
        <v>332</v>
      </c>
      <c r="E3" s="1" t="s">
        <v>140</v>
      </c>
    </row>
    <row r="4" spans="1:6" ht="14.25" x14ac:dyDescent="0.45">
      <c r="B4" t="s">
        <v>141</v>
      </c>
      <c r="C4" s="1">
        <v>2188004</v>
      </c>
      <c r="D4" t="s">
        <v>333</v>
      </c>
      <c r="E4" s="1" t="s">
        <v>140</v>
      </c>
    </row>
    <row r="5" spans="1:6" ht="14.25" x14ac:dyDescent="0.45">
      <c r="B5" t="s">
        <v>141</v>
      </c>
      <c r="C5" s="1">
        <v>2188008</v>
      </c>
      <c r="D5" s="3" t="s">
        <v>334</v>
      </c>
      <c r="E5" s="1" t="s">
        <v>140</v>
      </c>
    </row>
    <row r="6" spans="1:6" ht="14.25" x14ac:dyDescent="0.45">
      <c r="B6" t="s">
        <v>141</v>
      </c>
      <c r="C6" s="1">
        <v>2188009</v>
      </c>
      <c r="D6" s="3" t="s">
        <v>335</v>
      </c>
      <c r="E6" s="1" t="s">
        <v>140</v>
      </c>
    </row>
    <row r="7" spans="1:6" ht="14.25" x14ac:dyDescent="0.45">
      <c r="B7" t="s">
        <v>141</v>
      </c>
      <c r="C7" s="1">
        <v>2188010</v>
      </c>
      <c r="D7" t="s">
        <v>336</v>
      </c>
      <c r="E7" s="1" t="s">
        <v>140</v>
      </c>
    </row>
    <row r="8" spans="1:6" ht="14.25" x14ac:dyDescent="0.45">
      <c r="B8" t="s">
        <v>141</v>
      </c>
      <c r="C8" s="1">
        <v>2188012</v>
      </c>
      <c r="D8" t="s">
        <v>337</v>
      </c>
      <c r="E8" s="1" t="s">
        <v>140</v>
      </c>
    </row>
    <row r="9" spans="1:6" ht="14.25" x14ac:dyDescent="0.45">
      <c r="B9" t="s">
        <v>141</v>
      </c>
      <c r="C9" s="1">
        <v>2188013</v>
      </c>
      <c r="D9" t="s">
        <v>337</v>
      </c>
      <c r="E9" s="1" t="s">
        <v>140</v>
      </c>
    </row>
    <row r="10" spans="1:6" ht="14.25" x14ac:dyDescent="0.45">
      <c r="C10" s="1">
        <v>122850</v>
      </c>
      <c r="D10" t="s">
        <v>338</v>
      </c>
      <c r="E10" s="1" t="s">
        <v>140</v>
      </c>
      <c r="F10" t="s">
        <v>339</v>
      </c>
    </row>
    <row r="11" spans="1:6" ht="14.25" x14ac:dyDescent="0.45">
      <c r="C11" s="1">
        <v>322850</v>
      </c>
      <c r="D11" t="s">
        <v>340</v>
      </c>
      <c r="E11" s="1" t="s">
        <v>140</v>
      </c>
      <c r="F11" t="s">
        <v>339</v>
      </c>
    </row>
    <row r="12" spans="1:6" ht="14.25" x14ac:dyDescent="0.45">
      <c r="C12" s="1">
        <v>372850</v>
      </c>
      <c r="D12" t="s">
        <v>341</v>
      </c>
      <c r="E12" s="1" t="s">
        <v>140</v>
      </c>
      <c r="F12" t="s">
        <v>339</v>
      </c>
    </row>
    <row r="13" spans="1:6" ht="14.25" x14ac:dyDescent="0.45">
      <c r="E13" s="1"/>
    </row>
    <row r="14" spans="1:6" ht="14.25" x14ac:dyDescent="0.45">
      <c r="A14" s="2" t="s">
        <v>208</v>
      </c>
      <c r="E14" s="1"/>
    </row>
    <row r="15" spans="1:6" ht="14.25" x14ac:dyDescent="0.45">
      <c r="A15" s="2" t="s">
        <v>48</v>
      </c>
      <c r="B15" t="s">
        <v>141</v>
      </c>
      <c r="C15" s="1">
        <v>2277165</v>
      </c>
      <c r="D15" s="3" t="s">
        <v>342</v>
      </c>
      <c r="E15" s="24" t="s">
        <v>152</v>
      </c>
      <c r="F15" s="2" t="s">
        <v>285</v>
      </c>
    </row>
    <row r="16" spans="1:6" ht="14.25" x14ac:dyDescent="0.45">
      <c r="A16" s="2"/>
      <c r="D16" s="3"/>
      <c r="E16" s="24"/>
      <c r="F16" s="2"/>
    </row>
    <row r="17" spans="1:7" ht="14.25" x14ac:dyDescent="0.45">
      <c r="E17" s="1"/>
    </row>
    <row r="18" spans="1:7" ht="14.25" x14ac:dyDescent="0.45">
      <c r="A18" s="2" t="s">
        <v>343</v>
      </c>
      <c r="B18" t="s">
        <v>138</v>
      </c>
      <c r="C18" s="6">
        <v>257132773009</v>
      </c>
      <c r="D18" s="3" t="s">
        <v>342</v>
      </c>
      <c r="E18" s="1" t="s">
        <v>140</v>
      </c>
      <c r="F18" s="34"/>
    </row>
    <row r="19" spans="1:7" ht="14.25" x14ac:dyDescent="0.45">
      <c r="C19" s="6"/>
      <c r="D19" s="3"/>
    </row>
    <row r="21" spans="1:7" ht="15" customHeight="1" x14ac:dyDescent="0.45">
      <c r="A21" s="22" t="s">
        <v>47</v>
      </c>
    </row>
    <row r="25" spans="1:7" ht="15" customHeight="1" x14ac:dyDescent="0.45">
      <c r="A25" s="2" t="s">
        <v>215</v>
      </c>
    </row>
    <row r="26" spans="1:7" s="27" customFormat="1" ht="15" customHeight="1" x14ac:dyDescent="0.45">
      <c r="A26" s="34" t="s">
        <v>343</v>
      </c>
      <c r="B26" s="27" t="s">
        <v>138</v>
      </c>
      <c r="C26" s="30">
        <v>255453243003</v>
      </c>
      <c r="D26" s="35" t="s">
        <v>342</v>
      </c>
      <c r="E26" s="31" t="s">
        <v>152</v>
      </c>
      <c r="F26" s="34" t="s">
        <v>263</v>
      </c>
    </row>
    <row r="27" spans="1:7" ht="15" customHeight="1" x14ac:dyDescent="0.45">
      <c r="A27" s="34" t="s">
        <v>48</v>
      </c>
      <c r="B27" s="27" t="s">
        <v>141</v>
      </c>
      <c r="C27" s="29">
        <v>2188006</v>
      </c>
      <c r="D27" s="35" t="s">
        <v>344</v>
      </c>
      <c r="E27" s="31" t="s">
        <v>140</v>
      </c>
      <c r="F27" s="34" t="s">
        <v>251</v>
      </c>
      <c r="G27" s="27"/>
    </row>
  </sheetData>
  <mergeCells count="1">
    <mergeCell ref="A1:E1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3687E-FAD6-416D-BBFE-16043489F70C}">
  <dimension ref="A1:F45"/>
  <sheetViews>
    <sheetView topLeftCell="A15" workbookViewId="0">
      <selection sqref="A1:E2"/>
    </sheetView>
  </sheetViews>
  <sheetFormatPr defaultRowHeight="15" customHeight="1" x14ac:dyDescent="0.45"/>
  <cols>
    <col min="1" max="1" width="34.33203125" customWidth="1"/>
    <col min="2" max="2" width="21.46484375" customWidth="1"/>
    <col min="3" max="3" width="17.86328125" style="1" customWidth="1"/>
    <col min="4" max="4" width="38.46484375" customWidth="1"/>
    <col min="5" max="5" width="19.6640625" customWidth="1"/>
  </cols>
  <sheetData>
    <row r="1" spans="1:6" ht="28.5" x14ac:dyDescent="0.85">
      <c r="A1" s="218" t="s">
        <v>345</v>
      </c>
      <c r="B1" s="218"/>
      <c r="C1" s="218"/>
      <c r="D1" s="218"/>
      <c r="E1" s="218"/>
    </row>
    <row r="2" spans="1:6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6" ht="14.25" x14ac:dyDescent="0.45">
      <c r="A3" s="2" t="s">
        <v>222</v>
      </c>
      <c r="B3" t="s">
        <v>141</v>
      </c>
      <c r="C3" s="67" t="s">
        <v>346</v>
      </c>
      <c r="D3" t="s">
        <v>347</v>
      </c>
      <c r="F3" t="s">
        <v>348</v>
      </c>
    </row>
    <row r="4" spans="1:6" ht="14.25" x14ac:dyDescent="0.45">
      <c r="B4" t="s">
        <v>141</v>
      </c>
      <c r="C4" s="67" t="s">
        <v>349</v>
      </c>
      <c r="D4" t="s">
        <v>350</v>
      </c>
      <c r="F4" t="s">
        <v>348</v>
      </c>
    </row>
    <row r="5" spans="1:6" ht="14.25" x14ac:dyDescent="0.45">
      <c r="B5" t="s">
        <v>141</v>
      </c>
      <c r="C5" s="69" t="s">
        <v>351</v>
      </c>
      <c r="D5" s="3" t="s">
        <v>352</v>
      </c>
      <c r="E5" t="s">
        <v>353</v>
      </c>
    </row>
    <row r="6" spans="1:6" ht="14.25" x14ac:dyDescent="0.45">
      <c r="B6" t="s">
        <v>141</v>
      </c>
      <c r="C6" s="1" t="s">
        <v>354</v>
      </c>
      <c r="D6" s="3" t="s">
        <v>355</v>
      </c>
      <c r="F6" t="s">
        <v>348</v>
      </c>
    </row>
    <row r="7" spans="1:6" ht="14.25" x14ac:dyDescent="0.45">
      <c r="B7" t="s">
        <v>141</v>
      </c>
      <c r="C7" s="1" t="s">
        <v>356</v>
      </c>
      <c r="D7" s="3" t="s">
        <v>357</v>
      </c>
      <c r="F7" t="s">
        <v>348</v>
      </c>
    </row>
    <row r="8" spans="1:6" ht="14.25" x14ac:dyDescent="0.45">
      <c r="B8" t="s">
        <v>141</v>
      </c>
      <c r="C8" s="1" t="s">
        <v>358</v>
      </c>
      <c r="D8" t="s">
        <v>359</v>
      </c>
      <c r="F8" t="s">
        <v>348</v>
      </c>
    </row>
    <row r="9" spans="1:6" ht="14.25" x14ac:dyDescent="0.45">
      <c r="C9" s="69" t="s">
        <v>360</v>
      </c>
      <c r="D9" s="3" t="s">
        <v>361</v>
      </c>
      <c r="E9" t="s">
        <v>353</v>
      </c>
    </row>
    <row r="10" spans="1:6" ht="14.25" x14ac:dyDescent="0.45">
      <c r="C10" s="69" t="s">
        <v>362</v>
      </c>
      <c r="D10" s="3" t="s">
        <v>363</v>
      </c>
    </row>
    <row r="11" spans="1:6" ht="14.25" x14ac:dyDescent="0.45">
      <c r="C11" s="69" t="s">
        <v>364</v>
      </c>
      <c r="D11" s="3" t="s">
        <v>365</v>
      </c>
      <c r="E11" t="s">
        <v>353</v>
      </c>
    </row>
    <row r="12" spans="1:6" ht="14.25" x14ac:dyDescent="0.45">
      <c r="C12" s="69" t="s">
        <v>366</v>
      </c>
      <c r="D12" s="3" t="s">
        <v>367</v>
      </c>
      <c r="E12" t="s">
        <v>353</v>
      </c>
    </row>
    <row r="13" spans="1:6" ht="14.25" x14ac:dyDescent="0.45">
      <c r="C13" s="69" t="s">
        <v>368</v>
      </c>
      <c r="D13" s="3" t="s">
        <v>369</v>
      </c>
    </row>
    <row r="14" spans="1:6" ht="14.25" x14ac:dyDescent="0.45">
      <c r="C14" s="98" t="s">
        <v>370</v>
      </c>
      <c r="D14" s="3" t="s">
        <v>371</v>
      </c>
    </row>
    <row r="15" spans="1:6" ht="14.25" x14ac:dyDescent="0.45">
      <c r="C15" s="98" t="s">
        <v>372</v>
      </c>
      <c r="D15" s="3" t="s">
        <v>373</v>
      </c>
    </row>
    <row r="16" spans="1:6" ht="14.25" x14ac:dyDescent="0.45">
      <c r="C16" s="98" t="s">
        <v>374</v>
      </c>
      <c r="D16" t="s">
        <v>375</v>
      </c>
    </row>
    <row r="17" spans="1:6" ht="14.25" x14ac:dyDescent="0.45">
      <c r="C17" s="98" t="s">
        <v>376</v>
      </c>
      <c r="D17" t="s">
        <v>377</v>
      </c>
    </row>
    <row r="18" spans="1:6" ht="14.25" x14ac:dyDescent="0.45">
      <c r="A18" s="2" t="s">
        <v>222</v>
      </c>
      <c r="B18" t="s">
        <v>141</v>
      </c>
      <c r="C18" s="98" t="s">
        <v>378</v>
      </c>
      <c r="D18" s="3" t="s">
        <v>379</v>
      </c>
      <c r="F18" t="s">
        <v>380</v>
      </c>
    </row>
    <row r="19" spans="1:6" ht="14.25" x14ac:dyDescent="0.45">
      <c r="B19" t="s">
        <v>141</v>
      </c>
      <c r="C19" s="98" t="s">
        <v>381</v>
      </c>
      <c r="D19" s="3" t="s">
        <v>382</v>
      </c>
      <c r="F19" t="s">
        <v>380</v>
      </c>
    </row>
    <row r="20" spans="1:6" ht="14.25" x14ac:dyDescent="0.45">
      <c r="B20" t="s">
        <v>141</v>
      </c>
      <c r="C20" s="98" t="s">
        <v>383</v>
      </c>
      <c r="D20" s="3" t="s">
        <v>384</v>
      </c>
      <c r="F20" t="s">
        <v>380</v>
      </c>
    </row>
    <row r="21" spans="1:6" ht="14.25" x14ac:dyDescent="0.45">
      <c r="B21" t="s">
        <v>141</v>
      </c>
      <c r="C21" s="98" t="s">
        <v>385</v>
      </c>
      <c r="D21" s="3" t="s">
        <v>386</v>
      </c>
      <c r="F21" t="s">
        <v>380</v>
      </c>
    </row>
    <row r="22" spans="1:6" ht="14.25" x14ac:dyDescent="0.45">
      <c r="B22" t="s">
        <v>141</v>
      </c>
      <c r="C22" s="98" t="s">
        <v>387</v>
      </c>
      <c r="D22" s="3" t="s">
        <v>388</v>
      </c>
      <c r="F22" t="s">
        <v>380</v>
      </c>
    </row>
    <row r="23" spans="1:6" ht="14.25" x14ac:dyDescent="0.45">
      <c r="B23" t="s">
        <v>141</v>
      </c>
      <c r="C23" s="98" t="s">
        <v>389</v>
      </c>
      <c r="D23" s="3" t="s">
        <v>390</v>
      </c>
      <c r="F23" t="s">
        <v>380</v>
      </c>
    </row>
    <row r="24" spans="1:6" ht="14.25" x14ac:dyDescent="0.45">
      <c r="B24" t="s">
        <v>141</v>
      </c>
      <c r="C24" s="98" t="s">
        <v>391</v>
      </c>
      <c r="D24" s="3" t="s">
        <v>392</v>
      </c>
      <c r="F24" t="s">
        <v>380</v>
      </c>
    </row>
    <row r="25" spans="1:6" ht="14.25" x14ac:dyDescent="0.45">
      <c r="B25" t="s">
        <v>141</v>
      </c>
      <c r="C25" s="98" t="s">
        <v>393</v>
      </c>
      <c r="D25" s="3" t="s">
        <v>394</v>
      </c>
      <c r="F25" t="s">
        <v>380</v>
      </c>
    </row>
    <row r="26" spans="1:6" ht="14.25" x14ac:dyDescent="0.45">
      <c r="B26" t="s">
        <v>141</v>
      </c>
      <c r="C26" s="98" t="s">
        <v>395</v>
      </c>
      <c r="D26" s="3" t="s">
        <v>396</v>
      </c>
      <c r="F26" t="s">
        <v>380</v>
      </c>
    </row>
    <row r="27" spans="1:6" ht="14.25" x14ac:dyDescent="0.45">
      <c r="B27" t="s">
        <v>141</v>
      </c>
      <c r="C27" s="98" t="s">
        <v>397</v>
      </c>
      <c r="D27" s="3" t="s">
        <v>398</v>
      </c>
      <c r="F27" t="s">
        <v>380</v>
      </c>
    </row>
    <row r="28" spans="1:6" ht="14.25" x14ac:dyDescent="0.45">
      <c r="B28" t="s">
        <v>141</v>
      </c>
      <c r="C28" s="1" t="s">
        <v>399</v>
      </c>
      <c r="D28" s="3" t="s">
        <v>400</v>
      </c>
      <c r="F28" t="s">
        <v>380</v>
      </c>
    </row>
    <row r="29" spans="1:6" ht="14.25" x14ac:dyDescent="0.45">
      <c r="B29" t="s">
        <v>141</v>
      </c>
      <c r="C29" s="1" t="s">
        <v>401</v>
      </c>
      <c r="D29" s="3" t="s">
        <v>402</v>
      </c>
      <c r="F29" t="s">
        <v>380</v>
      </c>
    </row>
    <row r="30" spans="1:6" ht="14.25" x14ac:dyDescent="0.45">
      <c r="C30" s="1" t="s">
        <v>403</v>
      </c>
      <c r="D30" s="3" t="s">
        <v>404</v>
      </c>
    </row>
    <row r="31" spans="1:6" ht="14.25" x14ac:dyDescent="0.45">
      <c r="C31" s="1" t="s">
        <v>405</v>
      </c>
      <c r="D31" s="3" t="s">
        <v>406</v>
      </c>
    </row>
    <row r="32" spans="1:6" ht="14.25" x14ac:dyDescent="0.45">
      <c r="C32" s="1" t="s">
        <v>407</v>
      </c>
      <c r="D32" t="s">
        <v>408</v>
      </c>
    </row>
    <row r="33" spans="1:6" ht="14.25" x14ac:dyDescent="0.45">
      <c r="C33" s="1" t="s">
        <v>409</v>
      </c>
      <c r="D33" s="3" t="s">
        <v>410</v>
      </c>
    </row>
    <row r="34" spans="1:6" ht="14.25" x14ac:dyDescent="0.45">
      <c r="C34" s="1" t="s">
        <v>411</v>
      </c>
      <c r="D34" s="3" t="s">
        <v>412</v>
      </c>
    </row>
    <row r="35" spans="1:6" ht="14.25" x14ac:dyDescent="0.45">
      <c r="C35" s="1" t="s">
        <v>413</v>
      </c>
      <c r="D35" s="3" t="s">
        <v>414</v>
      </c>
    </row>
    <row r="36" spans="1:6" ht="14.25" x14ac:dyDescent="0.45">
      <c r="D36" s="3"/>
    </row>
    <row r="37" spans="1:6" ht="14.25" x14ac:dyDescent="0.45">
      <c r="A37" s="2" t="s">
        <v>415</v>
      </c>
      <c r="B37" t="s">
        <v>326</v>
      </c>
      <c r="C37" s="1" t="s">
        <v>416</v>
      </c>
      <c r="D37" t="s">
        <v>416</v>
      </c>
      <c r="E37" s="34"/>
      <c r="F37" s="34"/>
    </row>
    <row r="38" spans="1:6" ht="14.25" x14ac:dyDescent="0.45"/>
    <row r="39" spans="1:6" ht="14.25" x14ac:dyDescent="0.45">
      <c r="A39" s="2" t="s">
        <v>252</v>
      </c>
      <c r="B39" t="s">
        <v>206</v>
      </c>
      <c r="C39" s="1" t="s">
        <v>417</v>
      </c>
      <c r="D39" t="s">
        <v>418</v>
      </c>
      <c r="F39" s="27" t="s">
        <v>419</v>
      </c>
    </row>
    <row r="40" spans="1:6" ht="14.25" x14ac:dyDescent="0.45">
      <c r="B40" t="s">
        <v>420</v>
      </c>
      <c r="C40" s="1" t="s">
        <v>421</v>
      </c>
      <c r="D40" t="s">
        <v>418</v>
      </c>
      <c r="F40" s="27" t="s">
        <v>419</v>
      </c>
    </row>
    <row r="41" spans="1:6" ht="14.25" x14ac:dyDescent="0.45"/>
    <row r="42" spans="1:6" ht="14.25" x14ac:dyDescent="0.45">
      <c r="A42" s="2" t="s">
        <v>416</v>
      </c>
      <c r="B42" t="s">
        <v>147</v>
      </c>
      <c r="C42" s="1" t="s">
        <v>416</v>
      </c>
      <c r="D42" t="s">
        <v>416</v>
      </c>
      <c r="E42" s="34"/>
      <c r="F42" s="34"/>
    </row>
    <row r="43" spans="1:6" ht="14.25" x14ac:dyDescent="0.45">
      <c r="C43" s="6"/>
      <c r="D43" s="3"/>
    </row>
    <row r="45" spans="1:6" ht="15" customHeight="1" x14ac:dyDescent="0.45">
      <c r="A45" s="22"/>
    </row>
  </sheetData>
  <mergeCells count="1">
    <mergeCell ref="A1:E1"/>
  </mergeCells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21B6-29E1-4E0A-A710-4939E8B58EBA}">
  <dimension ref="A1:F22"/>
  <sheetViews>
    <sheetView workbookViewId="0">
      <selection activeCell="H20" sqref="H20"/>
    </sheetView>
  </sheetViews>
  <sheetFormatPr defaultRowHeight="15" customHeight="1" x14ac:dyDescent="0.45"/>
  <cols>
    <col min="1" max="1" width="30.6640625" style="2" customWidth="1"/>
    <col min="2" max="2" width="21.6640625" customWidth="1"/>
    <col min="3" max="3" width="22.33203125" style="1" customWidth="1"/>
    <col min="4" max="4" width="35.46484375" customWidth="1"/>
    <col min="5" max="5" width="19.6640625" customWidth="1"/>
  </cols>
  <sheetData>
    <row r="1" spans="1:6" ht="28.5" x14ac:dyDescent="0.85">
      <c r="A1" s="220" t="s">
        <v>49</v>
      </c>
      <c r="B1" s="220"/>
      <c r="C1" s="220"/>
      <c r="D1" s="220"/>
      <c r="E1" s="220"/>
    </row>
    <row r="2" spans="1:6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6" ht="14.25" x14ac:dyDescent="0.45">
      <c r="A3" s="2" t="s">
        <v>422</v>
      </c>
      <c r="B3" t="s">
        <v>141</v>
      </c>
      <c r="C3" s="1">
        <v>768012612</v>
      </c>
      <c r="D3" t="s">
        <v>423</v>
      </c>
      <c r="E3" t="s">
        <v>140</v>
      </c>
    </row>
    <row r="4" spans="1:6" ht="14.25" x14ac:dyDescent="0.45">
      <c r="B4" t="s">
        <v>141</v>
      </c>
      <c r="C4" s="1">
        <v>768012701</v>
      </c>
      <c r="D4" t="s">
        <v>424</v>
      </c>
      <c r="E4" t="s">
        <v>140</v>
      </c>
    </row>
    <row r="5" spans="1:6" ht="14.25" x14ac:dyDescent="0.45">
      <c r="B5" s="2" t="s">
        <v>141</v>
      </c>
      <c r="C5" s="24">
        <v>768012211</v>
      </c>
      <c r="D5" s="2" t="s">
        <v>425</v>
      </c>
      <c r="E5" t="s">
        <v>140</v>
      </c>
    </row>
    <row r="6" spans="1:6" ht="14.25" x14ac:dyDescent="0.45"/>
    <row r="7" spans="1:6" ht="14.25" x14ac:dyDescent="0.45">
      <c r="A7" s="2" t="s">
        <v>50</v>
      </c>
      <c r="B7" t="s">
        <v>205</v>
      </c>
      <c r="C7" s="1" t="s">
        <v>426</v>
      </c>
      <c r="D7" t="s">
        <v>423</v>
      </c>
      <c r="E7" t="s">
        <v>140</v>
      </c>
    </row>
    <row r="8" spans="1:6" ht="14.25" x14ac:dyDescent="0.45">
      <c r="B8" t="s">
        <v>205</v>
      </c>
      <c r="C8" s="1" t="s">
        <v>427</v>
      </c>
      <c r="D8" t="s">
        <v>424</v>
      </c>
      <c r="E8" t="s">
        <v>140</v>
      </c>
    </row>
    <row r="9" spans="1:6" ht="14.25" x14ac:dyDescent="0.45">
      <c r="B9" t="s">
        <v>205</v>
      </c>
      <c r="C9" s="1" t="s">
        <v>428</v>
      </c>
      <c r="D9" t="s">
        <v>423</v>
      </c>
      <c r="E9" t="s">
        <v>140</v>
      </c>
    </row>
    <row r="10" spans="1:6" ht="14.25" x14ac:dyDescent="0.45">
      <c r="B10" t="s">
        <v>205</v>
      </c>
      <c r="C10" s="1" t="s">
        <v>429</v>
      </c>
      <c r="D10" t="s">
        <v>430</v>
      </c>
      <c r="E10" t="s">
        <v>140</v>
      </c>
      <c r="F10" s="2"/>
    </row>
    <row r="11" spans="1:6" ht="14.25" x14ac:dyDescent="0.45"/>
    <row r="12" spans="1:6" ht="28.5" x14ac:dyDescent="0.45">
      <c r="A12" s="17" t="s">
        <v>343</v>
      </c>
      <c r="B12" t="s">
        <v>138</v>
      </c>
      <c r="C12" s="6">
        <v>271614913009</v>
      </c>
      <c r="D12" t="s">
        <v>424</v>
      </c>
      <c r="E12" t="s">
        <v>140</v>
      </c>
    </row>
    <row r="13" spans="1:6" ht="14.25" x14ac:dyDescent="0.45"/>
    <row r="14" spans="1:6" ht="14.25" x14ac:dyDescent="0.45"/>
    <row r="15" spans="1:6" ht="14.25" x14ac:dyDescent="0.45">
      <c r="A15" s="2" t="s">
        <v>101</v>
      </c>
      <c r="B15" t="s">
        <v>431</v>
      </c>
      <c r="C15" s="1">
        <v>204019977</v>
      </c>
      <c r="D15" t="s">
        <v>424</v>
      </c>
      <c r="E15" t="s">
        <v>140</v>
      </c>
    </row>
    <row r="16" spans="1:6" ht="14.25" x14ac:dyDescent="0.45"/>
    <row r="17" spans="1:5" ht="14.25" x14ac:dyDescent="0.45">
      <c r="A17" s="2" t="s">
        <v>432</v>
      </c>
      <c r="B17" t="s">
        <v>212</v>
      </c>
      <c r="C17" s="1">
        <v>3349844</v>
      </c>
      <c r="D17" t="s">
        <v>424</v>
      </c>
      <c r="E17" t="s">
        <v>140</v>
      </c>
    </row>
    <row r="18" spans="1:5" ht="14.25" x14ac:dyDescent="0.45"/>
    <row r="19" spans="1:5" ht="14.25" x14ac:dyDescent="0.45">
      <c r="A19" s="2" t="s">
        <v>433</v>
      </c>
      <c r="B19" t="s">
        <v>434</v>
      </c>
      <c r="C19" s="1">
        <v>323089107</v>
      </c>
      <c r="D19" t="s">
        <v>424</v>
      </c>
      <c r="E19" s="34" t="s">
        <v>152</v>
      </c>
    </row>
    <row r="20" spans="1:5" ht="14.25" x14ac:dyDescent="0.45">
      <c r="B20" t="s">
        <v>435</v>
      </c>
      <c r="C20" s="60" t="s">
        <v>436</v>
      </c>
      <c r="D20" t="s">
        <v>424</v>
      </c>
      <c r="E20" t="s">
        <v>152</v>
      </c>
    </row>
    <row r="21" spans="1:5" ht="14.25" x14ac:dyDescent="0.45">
      <c r="C21" s="60"/>
    </row>
    <row r="22" spans="1:5" ht="14.25" x14ac:dyDescent="0.45">
      <c r="A22" s="2" t="s">
        <v>103</v>
      </c>
      <c r="B22" t="s">
        <v>437</v>
      </c>
      <c r="C22" s="7" t="s">
        <v>438</v>
      </c>
      <c r="D22" t="s">
        <v>439</v>
      </c>
      <c r="E22" s="34" t="s">
        <v>152</v>
      </c>
    </row>
  </sheetData>
  <mergeCells count="1">
    <mergeCell ref="A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3771F-CC3A-4D69-B2A2-BE73108289DA}">
  <dimension ref="A1:G22"/>
  <sheetViews>
    <sheetView workbookViewId="0">
      <selection activeCell="C7" sqref="C7"/>
    </sheetView>
  </sheetViews>
  <sheetFormatPr defaultRowHeight="15" customHeight="1" x14ac:dyDescent="0.45"/>
  <cols>
    <col min="1" max="1" width="30.6640625" style="2" customWidth="1"/>
    <col min="2" max="2" width="21.6640625" customWidth="1"/>
    <col min="3" max="3" width="31.1328125" style="1" customWidth="1"/>
    <col min="4" max="4" width="37.1328125" customWidth="1"/>
    <col min="5" max="5" width="22.33203125" customWidth="1"/>
  </cols>
  <sheetData>
    <row r="1" spans="1:7" ht="29" customHeight="1" x14ac:dyDescent="0.85">
      <c r="A1" s="220" t="s">
        <v>440</v>
      </c>
      <c r="B1" s="220"/>
      <c r="C1" s="221"/>
      <c r="D1" s="221"/>
      <c r="E1" s="220"/>
    </row>
    <row r="2" spans="1:7" ht="14.25" x14ac:dyDescent="0.45">
      <c r="A2" s="5" t="s">
        <v>133</v>
      </c>
      <c r="B2" s="151" t="s">
        <v>134</v>
      </c>
      <c r="C2" s="155" t="s">
        <v>135</v>
      </c>
      <c r="D2" s="153" t="s">
        <v>136</v>
      </c>
      <c r="E2" s="152" t="s">
        <v>137</v>
      </c>
    </row>
    <row r="3" spans="1:7" ht="14.25" x14ac:dyDescent="0.45">
      <c r="A3" s="2" t="s">
        <v>441</v>
      </c>
      <c r="B3" t="s">
        <v>141</v>
      </c>
      <c r="C3" s="150" t="s">
        <v>442</v>
      </c>
      <c r="D3" s="154" t="s">
        <v>443</v>
      </c>
      <c r="E3" s="1" t="s">
        <v>152</v>
      </c>
      <c r="F3" t="s">
        <v>182</v>
      </c>
    </row>
    <row r="4" spans="1:7" ht="14.25" x14ac:dyDescent="0.45">
      <c r="C4" s="150" t="s">
        <v>444</v>
      </c>
      <c r="D4" s="154" t="s">
        <v>443</v>
      </c>
      <c r="E4" s="1" t="s">
        <v>152</v>
      </c>
      <c r="F4" t="s">
        <v>182</v>
      </c>
    </row>
    <row r="5" spans="1:7" ht="14.25" x14ac:dyDescent="0.45">
      <c r="B5" s="2"/>
      <c r="C5" s="150" t="s">
        <v>445</v>
      </c>
      <c r="D5" s="154" t="s">
        <v>443</v>
      </c>
      <c r="E5" s="1" t="s">
        <v>152</v>
      </c>
      <c r="F5" t="s">
        <v>182</v>
      </c>
    </row>
    <row r="6" spans="1:7" ht="14.25" x14ac:dyDescent="0.45">
      <c r="E6" s="1"/>
    </row>
    <row r="7" spans="1:7" ht="14.25" x14ac:dyDescent="0.45">
      <c r="A7" s="2" t="s">
        <v>446</v>
      </c>
      <c r="B7" t="s">
        <v>147</v>
      </c>
      <c r="C7" s="164" t="s">
        <v>447</v>
      </c>
      <c r="D7" t="s">
        <v>448</v>
      </c>
      <c r="E7" s="1" t="s">
        <v>152</v>
      </c>
    </row>
    <row r="8" spans="1:7" ht="14.25" x14ac:dyDescent="0.45">
      <c r="E8" s="1"/>
    </row>
    <row r="9" spans="1:7" ht="14.25" x14ac:dyDescent="0.45">
      <c r="A9" s="2" t="s">
        <v>449</v>
      </c>
      <c r="B9" t="s">
        <v>206</v>
      </c>
      <c r="C9" s="164">
        <v>6126471183</v>
      </c>
      <c r="D9" t="s">
        <v>448</v>
      </c>
      <c r="E9" s="1" t="s">
        <v>152</v>
      </c>
      <c r="F9" t="s">
        <v>182</v>
      </c>
      <c r="G9" s="27" t="s">
        <v>450</v>
      </c>
    </row>
    <row r="10" spans="1:7" ht="14.25" x14ac:dyDescent="0.45">
      <c r="F10" s="2"/>
    </row>
    <row r="11" spans="1:7" ht="14.25" x14ac:dyDescent="0.45">
      <c r="A11" s="2" t="s">
        <v>191</v>
      </c>
      <c r="B11" t="s">
        <v>451</v>
      </c>
      <c r="C11" s="164" t="s">
        <v>452</v>
      </c>
      <c r="D11" t="s">
        <v>453</v>
      </c>
      <c r="E11" s="1" t="s">
        <v>152</v>
      </c>
    </row>
    <row r="12" spans="1:7" ht="14.25" x14ac:dyDescent="0.45">
      <c r="A12" s="17"/>
      <c r="C12" s="6"/>
    </row>
    <row r="13" spans="1:7" ht="14.25" x14ac:dyDescent="0.45"/>
    <row r="14" spans="1:7" ht="14.25" x14ac:dyDescent="0.45"/>
    <row r="15" spans="1:7" ht="14.25" x14ac:dyDescent="0.45"/>
    <row r="16" spans="1:7" ht="14.25" x14ac:dyDescent="0.45"/>
    <row r="17" spans="3:5" ht="14.25" x14ac:dyDescent="0.45"/>
    <row r="18" spans="3:5" ht="14.25" x14ac:dyDescent="0.45"/>
    <row r="19" spans="3:5" ht="14.25" x14ac:dyDescent="0.45">
      <c r="E19" s="34"/>
    </row>
    <row r="20" spans="3:5" ht="14.25" x14ac:dyDescent="0.45">
      <c r="C20" s="60"/>
    </row>
    <row r="21" spans="3:5" ht="14.25" x14ac:dyDescent="0.45">
      <c r="C21" s="9"/>
    </row>
    <row r="22" spans="3:5" ht="14.25" x14ac:dyDescent="0.45">
      <c r="C22" s="7"/>
      <c r="E22" s="34"/>
    </row>
  </sheetData>
  <mergeCells count="1">
    <mergeCell ref="A1:E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CB59-B610-40BF-9F26-095E974A83CA}">
  <dimension ref="A1:G23"/>
  <sheetViews>
    <sheetView workbookViewId="0">
      <selection activeCell="C9" sqref="C9"/>
    </sheetView>
  </sheetViews>
  <sheetFormatPr defaultRowHeight="15" customHeight="1" x14ac:dyDescent="0.45"/>
  <cols>
    <col min="1" max="1" width="33.6640625" customWidth="1"/>
    <col min="2" max="2" width="22.6640625" customWidth="1"/>
    <col min="3" max="3" width="23" customWidth="1"/>
    <col min="4" max="4" width="42" customWidth="1"/>
    <col min="5" max="5" width="19.6640625" customWidth="1"/>
  </cols>
  <sheetData>
    <row r="1" spans="1:7" ht="28.5" x14ac:dyDescent="0.85">
      <c r="A1" s="218" t="s">
        <v>54</v>
      </c>
      <c r="B1" s="218"/>
      <c r="C1" s="218"/>
      <c r="D1" s="218"/>
      <c r="E1" s="218"/>
    </row>
    <row r="2" spans="1:7" ht="14.25" x14ac:dyDescent="0.45">
      <c r="A2" s="114" t="s">
        <v>133</v>
      </c>
      <c r="B2" s="114" t="s">
        <v>134</v>
      </c>
      <c r="C2" s="114" t="s">
        <v>135</v>
      </c>
      <c r="D2" s="114" t="s">
        <v>136</v>
      </c>
      <c r="E2" s="114" t="s">
        <v>137</v>
      </c>
    </row>
    <row r="3" spans="1:7" ht="15.75" x14ac:dyDescent="0.5">
      <c r="A3" s="109" t="s">
        <v>48</v>
      </c>
      <c r="B3" s="109" t="s">
        <v>141</v>
      </c>
      <c r="C3" s="112">
        <v>2175766</v>
      </c>
      <c r="D3" s="109" t="s">
        <v>454</v>
      </c>
      <c r="E3" s="112" t="s">
        <v>140</v>
      </c>
      <c r="F3" s="2" t="s">
        <v>254</v>
      </c>
    </row>
    <row r="4" spans="1:7" ht="15.75" x14ac:dyDescent="0.5">
      <c r="A4" s="109" t="s">
        <v>48</v>
      </c>
      <c r="B4" s="109" t="s">
        <v>141</v>
      </c>
      <c r="C4" s="112" t="s">
        <v>455</v>
      </c>
      <c r="D4" s="109" t="s">
        <v>454</v>
      </c>
      <c r="E4" s="112" t="s">
        <v>140</v>
      </c>
      <c r="F4" s="2" t="s">
        <v>254</v>
      </c>
      <c r="G4" s="2"/>
    </row>
    <row r="5" spans="1:7" ht="15.75" x14ac:dyDescent="0.5">
      <c r="A5" s="109" t="s">
        <v>48</v>
      </c>
      <c r="B5" s="109" t="s">
        <v>141</v>
      </c>
      <c r="C5" s="112" t="s">
        <v>456</v>
      </c>
      <c r="D5" s="109" t="s">
        <v>454</v>
      </c>
      <c r="E5" s="112" t="s">
        <v>140</v>
      </c>
      <c r="F5" s="2" t="s">
        <v>254</v>
      </c>
      <c r="G5" s="2"/>
    </row>
    <row r="6" spans="1:7" ht="15" customHeight="1" x14ac:dyDescent="0.5">
      <c r="A6" s="109"/>
      <c r="B6" s="109"/>
      <c r="C6" s="112"/>
      <c r="D6" s="109"/>
      <c r="E6" s="112"/>
    </row>
    <row r="7" spans="1:7" ht="15.75" x14ac:dyDescent="0.5">
      <c r="A7" s="109" t="s">
        <v>56</v>
      </c>
      <c r="B7" s="109" t="s">
        <v>138</v>
      </c>
      <c r="C7" s="112" t="s">
        <v>457</v>
      </c>
      <c r="D7" s="109" t="s">
        <v>454</v>
      </c>
      <c r="E7" s="112" t="s">
        <v>140</v>
      </c>
      <c r="F7" s="2" t="s">
        <v>254</v>
      </c>
    </row>
    <row r="8" spans="1:7" ht="15.75" x14ac:dyDescent="0.5">
      <c r="A8" s="109"/>
      <c r="B8" s="109"/>
      <c r="C8" s="112"/>
      <c r="D8" s="109"/>
      <c r="E8" s="112"/>
    </row>
    <row r="9" spans="1:7" ht="15.75" x14ac:dyDescent="0.5">
      <c r="A9" s="109" t="s">
        <v>201</v>
      </c>
      <c r="B9" s="109" t="s">
        <v>138</v>
      </c>
      <c r="C9" s="112" t="s">
        <v>458</v>
      </c>
      <c r="D9" s="109" t="s">
        <v>459</v>
      </c>
      <c r="E9" s="112" t="s">
        <v>140</v>
      </c>
      <c r="F9" s="2" t="s">
        <v>254</v>
      </c>
    </row>
    <row r="10" spans="1:7" ht="15.75" x14ac:dyDescent="0.5">
      <c r="A10" s="109"/>
      <c r="B10" s="109"/>
      <c r="C10" s="112"/>
      <c r="D10" s="109"/>
      <c r="E10" s="112"/>
    </row>
    <row r="11" spans="1:7" ht="15.75" x14ac:dyDescent="0.5">
      <c r="A11" s="109" t="s">
        <v>460</v>
      </c>
      <c r="B11" s="109" t="s">
        <v>326</v>
      </c>
      <c r="C11" s="112">
        <v>7500006315</v>
      </c>
      <c r="D11" s="109" t="s">
        <v>459</v>
      </c>
      <c r="E11" s="112" t="s">
        <v>140</v>
      </c>
      <c r="F11" s="2" t="s">
        <v>254</v>
      </c>
    </row>
    <row r="12" spans="1:7" ht="15" customHeight="1" x14ac:dyDescent="0.5">
      <c r="A12" s="109" t="s">
        <v>460</v>
      </c>
      <c r="B12" s="109" t="s">
        <v>326</v>
      </c>
      <c r="C12" s="112">
        <v>7500005848</v>
      </c>
      <c r="D12" s="109" t="s">
        <v>461</v>
      </c>
      <c r="E12" s="112" t="s">
        <v>140</v>
      </c>
      <c r="F12" s="2" t="s">
        <v>254</v>
      </c>
    </row>
    <row r="13" spans="1:7" ht="15" customHeight="1" x14ac:dyDescent="0.45">
      <c r="A13" s="2"/>
      <c r="B13" s="2"/>
      <c r="C13" s="2"/>
      <c r="D13" s="2"/>
      <c r="E13" s="2"/>
    </row>
    <row r="14" spans="1:7" ht="14.25" x14ac:dyDescent="0.45">
      <c r="A14" s="2" t="s">
        <v>18</v>
      </c>
      <c r="B14" s="27" t="s">
        <v>145</v>
      </c>
      <c r="C14" s="29" t="s">
        <v>462</v>
      </c>
      <c r="D14" s="27" t="s">
        <v>463</v>
      </c>
      <c r="E14" s="34" t="s">
        <v>464</v>
      </c>
    </row>
    <row r="15" spans="1:7" ht="15" customHeight="1" x14ac:dyDescent="0.45">
      <c r="B15" s="27"/>
      <c r="C15" s="1" t="s">
        <v>465</v>
      </c>
      <c r="D15" s="27" t="s">
        <v>466</v>
      </c>
      <c r="E15" s="34" t="s">
        <v>152</v>
      </c>
    </row>
    <row r="16" spans="1:7" ht="15" customHeight="1" x14ac:dyDescent="0.45">
      <c r="B16" s="27"/>
      <c r="C16" s="1"/>
      <c r="D16" s="27"/>
      <c r="E16" s="34"/>
    </row>
    <row r="17" spans="1:5" ht="15" customHeight="1" x14ac:dyDescent="0.45">
      <c r="A17" s="17" t="s">
        <v>55</v>
      </c>
      <c r="B17" s="27" t="s">
        <v>147</v>
      </c>
      <c r="C17" s="29" t="s">
        <v>467</v>
      </c>
      <c r="D17" s="27" t="s">
        <v>468</v>
      </c>
      <c r="E17" s="34" t="s">
        <v>152</v>
      </c>
    </row>
    <row r="23" spans="1:5" ht="15" customHeight="1" x14ac:dyDescent="0.45">
      <c r="A23" s="2"/>
      <c r="B23" s="2"/>
      <c r="C23" s="2"/>
      <c r="D23" s="2"/>
      <c r="E23" s="2"/>
    </row>
  </sheetData>
  <mergeCells count="1">
    <mergeCell ref="A1:E1"/>
  </mergeCells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581C-5EFA-475E-9564-9DFB222D9C18}">
  <dimension ref="A1:F15"/>
  <sheetViews>
    <sheetView zoomScale="87" zoomScaleNormal="87" workbookViewId="0">
      <selection activeCell="D13" sqref="D13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34.46484375" customWidth="1"/>
    <col min="5" max="5" width="18.33203125" customWidth="1"/>
  </cols>
  <sheetData>
    <row r="1" spans="1:6" ht="28.5" x14ac:dyDescent="0.85">
      <c r="A1" s="218" t="s">
        <v>57</v>
      </c>
      <c r="B1" s="218"/>
      <c r="C1" s="218"/>
      <c r="D1" s="218"/>
      <c r="E1" s="218"/>
    </row>
    <row r="2" spans="1:6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6" ht="14.25" x14ac:dyDescent="0.45">
      <c r="A3" s="2" t="s">
        <v>28</v>
      </c>
      <c r="B3" s="1" t="s">
        <v>141</v>
      </c>
      <c r="C3" s="13">
        <v>4338225487</v>
      </c>
      <c r="D3" s="4" t="s">
        <v>469</v>
      </c>
      <c r="E3" t="s">
        <v>140</v>
      </c>
    </row>
    <row r="4" spans="1:6" ht="14.25" x14ac:dyDescent="0.45">
      <c r="A4" s="2"/>
      <c r="C4" s="13">
        <v>4976007437</v>
      </c>
      <c r="D4" s="4" t="s">
        <v>470</v>
      </c>
      <c r="E4" t="s">
        <v>140</v>
      </c>
    </row>
    <row r="5" spans="1:6" ht="14.25" x14ac:dyDescent="0.45">
      <c r="A5" s="2"/>
      <c r="C5" s="13">
        <v>7393183186</v>
      </c>
      <c r="D5" s="4" t="s">
        <v>471</v>
      </c>
      <c r="E5" t="s">
        <v>140</v>
      </c>
    </row>
    <row r="6" spans="1:6" ht="14.25" x14ac:dyDescent="0.45">
      <c r="A6" s="2"/>
      <c r="C6" s="13">
        <v>1984112076</v>
      </c>
      <c r="D6" s="4" t="s">
        <v>472</v>
      </c>
      <c r="F6" s="27" t="s">
        <v>285</v>
      </c>
    </row>
    <row r="7" spans="1:6" ht="14.25" x14ac:dyDescent="0.45">
      <c r="A7" s="2"/>
      <c r="C7" s="13">
        <v>5456358398</v>
      </c>
      <c r="D7" s="14" t="s">
        <v>473</v>
      </c>
      <c r="F7" s="27" t="s">
        <v>285</v>
      </c>
    </row>
    <row r="8" spans="1:6" ht="14.25" x14ac:dyDescent="0.45">
      <c r="A8" s="2"/>
      <c r="C8" s="13">
        <v>9539978214</v>
      </c>
      <c r="D8" s="4" t="s">
        <v>474</v>
      </c>
      <c r="F8" s="34" t="s">
        <v>263</v>
      </c>
    </row>
    <row r="9" spans="1:6" ht="14.25" x14ac:dyDescent="0.45">
      <c r="A9" s="2"/>
    </row>
    <row r="10" spans="1:6" ht="14.25" x14ac:dyDescent="0.45">
      <c r="A10" s="2"/>
    </row>
    <row r="12" spans="1:6" ht="14.25" x14ac:dyDescent="0.45">
      <c r="A12" s="2" t="s">
        <v>39</v>
      </c>
      <c r="B12" s="1" t="s">
        <v>205</v>
      </c>
      <c r="C12" s="1" t="s">
        <v>475</v>
      </c>
      <c r="D12" s="4" t="s">
        <v>474</v>
      </c>
      <c r="E12" t="s">
        <v>140</v>
      </c>
    </row>
    <row r="15" spans="1:6" ht="14.25" x14ac:dyDescent="0.45">
      <c r="A15" s="2" t="s">
        <v>40</v>
      </c>
      <c r="B15" s="1" t="s">
        <v>212</v>
      </c>
      <c r="C15" s="1">
        <v>1181922</v>
      </c>
      <c r="D15" s="4" t="s">
        <v>476</v>
      </c>
      <c r="E15" t="s">
        <v>140</v>
      </c>
    </row>
  </sheetData>
  <mergeCells count="1">
    <mergeCell ref="A1:E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5C163-B512-4050-B675-5B2720F9CE8F}">
  <dimension ref="A1:F15"/>
  <sheetViews>
    <sheetView zoomScale="87" zoomScaleNormal="87" workbookViewId="0">
      <selection activeCell="E7" sqref="E7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1.86328125" style="1" customWidth="1"/>
    <col min="4" max="4" width="39.86328125" customWidth="1"/>
    <col min="5" max="5" width="18.33203125" customWidth="1"/>
  </cols>
  <sheetData>
    <row r="1" spans="1:6" ht="28.5" x14ac:dyDescent="0.85">
      <c r="A1" s="218" t="s">
        <v>477</v>
      </c>
      <c r="B1" s="218"/>
      <c r="C1" s="218"/>
      <c r="D1" s="218"/>
      <c r="E1" s="218"/>
    </row>
    <row r="2" spans="1:6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6" ht="14.25" x14ac:dyDescent="0.45">
      <c r="A3" s="2" t="s">
        <v>478</v>
      </c>
      <c r="B3" s="1" t="s">
        <v>141</v>
      </c>
      <c r="C3" s="13" t="s">
        <v>479</v>
      </c>
      <c r="D3" s="4" t="s">
        <v>480</v>
      </c>
      <c r="E3" s="1" t="s">
        <v>152</v>
      </c>
    </row>
    <row r="4" spans="1:6" ht="14.25" x14ac:dyDescent="0.45">
      <c r="A4" s="2"/>
      <c r="C4" s="13"/>
      <c r="D4" s="4"/>
      <c r="E4" s="1"/>
    </row>
    <row r="5" spans="1:6" ht="14.25" x14ac:dyDescent="0.45">
      <c r="A5" s="2" t="s">
        <v>481</v>
      </c>
      <c r="B5" s="1" t="s">
        <v>206</v>
      </c>
      <c r="C5" s="13" t="s">
        <v>482</v>
      </c>
      <c r="D5" s="4" t="s">
        <v>483</v>
      </c>
      <c r="E5" s="1" t="s">
        <v>152</v>
      </c>
    </row>
    <row r="6" spans="1:6" ht="14.25" x14ac:dyDescent="0.45">
      <c r="A6" s="2"/>
      <c r="C6" s="13"/>
      <c r="D6" s="4"/>
      <c r="F6" s="27"/>
    </row>
    <row r="7" spans="1:6" ht="14.25" x14ac:dyDescent="0.45">
      <c r="A7" s="171" t="s">
        <v>484</v>
      </c>
      <c r="B7" s="1" t="s">
        <v>326</v>
      </c>
      <c r="C7" s="13" t="s">
        <v>485</v>
      </c>
      <c r="D7" s="14" t="s">
        <v>486</v>
      </c>
      <c r="F7" s="27"/>
    </row>
    <row r="8" spans="1:6" ht="14.25" x14ac:dyDescent="0.45">
      <c r="A8" s="2"/>
      <c r="C8" s="13"/>
      <c r="D8" s="4"/>
      <c r="F8" s="34"/>
    </row>
    <row r="9" spans="1:6" ht="14.25" x14ac:dyDescent="0.45">
      <c r="A9" s="2"/>
    </row>
    <row r="10" spans="1:6" ht="14.25" x14ac:dyDescent="0.45">
      <c r="A10" s="2"/>
    </row>
    <row r="12" spans="1:6" ht="14.25" x14ac:dyDescent="0.45">
      <c r="A12" s="2"/>
      <c r="D12" s="4"/>
    </row>
    <row r="15" spans="1:6" ht="14.25" x14ac:dyDescent="0.45">
      <c r="A15" s="2"/>
      <c r="D15" s="4"/>
    </row>
  </sheetData>
  <mergeCells count="1">
    <mergeCell ref="A1:E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377B-BB5F-4BC8-A9D4-ED2B65D1D5C1}">
  <dimension ref="A1:G17"/>
  <sheetViews>
    <sheetView zoomScale="87" zoomScaleNormal="87" workbookViewId="0">
      <selection activeCell="E4" sqref="E4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41.86328125" customWidth="1"/>
    <col min="5" max="5" width="18.86328125" style="1" customWidth="1"/>
    <col min="6" max="6" width="18" customWidth="1"/>
  </cols>
  <sheetData>
    <row r="1" spans="1:6" ht="28.5" x14ac:dyDescent="0.85">
      <c r="A1" s="218" t="s">
        <v>58</v>
      </c>
      <c r="B1" s="218"/>
      <c r="C1" s="218"/>
      <c r="D1" s="218"/>
      <c r="E1" s="218"/>
    </row>
    <row r="2" spans="1:6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6" ht="14.25" x14ac:dyDescent="0.45">
      <c r="A3" s="2" t="s">
        <v>25</v>
      </c>
      <c r="B3" s="1" t="s">
        <v>141</v>
      </c>
      <c r="C3" s="30">
        <v>910170355830</v>
      </c>
      <c r="D3" s="27" t="s">
        <v>487</v>
      </c>
      <c r="F3" s="34" t="s">
        <v>214</v>
      </c>
    </row>
    <row r="4" spans="1:6" ht="14.25" x14ac:dyDescent="0.45">
      <c r="A4" s="2"/>
      <c r="C4" s="30"/>
      <c r="D4" s="27"/>
      <c r="F4" s="34"/>
    </row>
    <row r="5" spans="1:6" ht="14.25" x14ac:dyDescent="0.45">
      <c r="A5" s="2"/>
    </row>
    <row r="6" spans="1:6" ht="20.45" customHeight="1" x14ac:dyDescent="0.45">
      <c r="A6" s="2"/>
      <c r="D6" s="3"/>
    </row>
    <row r="7" spans="1:6" ht="17.25" customHeight="1" x14ac:dyDescent="0.45">
      <c r="A7" s="2" t="s">
        <v>488</v>
      </c>
      <c r="B7" s="1" t="s">
        <v>138</v>
      </c>
      <c r="C7" s="12" t="s">
        <v>489</v>
      </c>
      <c r="D7" s="4" t="s">
        <v>490</v>
      </c>
      <c r="E7" s="1" t="s">
        <v>491</v>
      </c>
    </row>
    <row r="8" spans="1:6" ht="14.25" x14ac:dyDescent="0.45">
      <c r="A8" s="2"/>
      <c r="C8" s="6"/>
    </row>
    <row r="9" spans="1:6" ht="14.25" x14ac:dyDescent="0.45">
      <c r="A9" s="2"/>
    </row>
    <row r="10" spans="1:6" ht="14.25" x14ac:dyDescent="0.45">
      <c r="A10" s="2" t="s">
        <v>59</v>
      </c>
      <c r="B10" s="1" t="s">
        <v>205</v>
      </c>
      <c r="C10" s="1">
        <v>1010027600</v>
      </c>
      <c r="D10" t="s">
        <v>492</v>
      </c>
      <c r="E10" s="1" t="s">
        <v>491</v>
      </c>
    </row>
    <row r="11" spans="1:6" ht="15" customHeight="1" x14ac:dyDescent="0.45">
      <c r="C11" s="1">
        <v>1010028605</v>
      </c>
      <c r="D11" t="s">
        <v>493</v>
      </c>
      <c r="E11" s="1" t="s">
        <v>491</v>
      </c>
    </row>
    <row r="12" spans="1:6" s="34" customFormat="1" ht="15" customHeight="1" x14ac:dyDescent="0.45">
      <c r="B12" s="31"/>
      <c r="C12" s="31" t="s">
        <v>494</v>
      </c>
      <c r="D12" s="34" t="s">
        <v>495</v>
      </c>
      <c r="E12" s="31" t="s">
        <v>491</v>
      </c>
      <c r="F12" s="34" t="s">
        <v>496</v>
      </c>
    </row>
    <row r="15" spans="1:6" ht="15" customHeight="1" x14ac:dyDescent="0.45">
      <c r="A15" s="2" t="s">
        <v>497</v>
      </c>
    </row>
    <row r="16" spans="1:6" ht="15" customHeight="1" x14ac:dyDescent="0.45">
      <c r="A16" s="2"/>
    </row>
    <row r="17" spans="1:7" s="34" customFormat="1" ht="15" customHeight="1" x14ac:dyDescent="0.45">
      <c r="A17" s="34" t="s">
        <v>25</v>
      </c>
      <c r="B17" s="31" t="s">
        <v>141</v>
      </c>
      <c r="C17" s="142">
        <v>910088576676</v>
      </c>
      <c r="D17" s="34" t="s">
        <v>492</v>
      </c>
      <c r="E17" s="31" t="s">
        <v>491</v>
      </c>
      <c r="F17" s="34" t="s">
        <v>255</v>
      </c>
      <c r="G17" s="34" t="s">
        <v>498</v>
      </c>
    </row>
  </sheetData>
  <mergeCells count="1">
    <mergeCell ref="A1:E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EFFE-2E47-4C1B-BAA5-9494A9689B7E}">
  <dimension ref="A1:G21"/>
  <sheetViews>
    <sheetView zoomScale="87" zoomScaleNormal="87" workbookViewId="0">
      <selection activeCell="C19" sqref="C19"/>
    </sheetView>
  </sheetViews>
  <sheetFormatPr defaultRowHeight="15" customHeight="1" x14ac:dyDescent="0.45"/>
  <cols>
    <col min="1" max="1" width="28.1328125" customWidth="1"/>
    <col min="2" max="2" width="18.33203125" style="1" customWidth="1"/>
    <col min="3" max="3" width="20.33203125" style="1" customWidth="1"/>
    <col min="4" max="4" width="41.1328125" customWidth="1"/>
    <col min="5" max="5" width="18.6640625" customWidth="1"/>
    <col min="7" max="7" width="13.33203125" customWidth="1"/>
  </cols>
  <sheetData>
    <row r="1" spans="1:7" ht="28.5" x14ac:dyDescent="0.85">
      <c r="A1" s="218" t="s">
        <v>60</v>
      </c>
      <c r="B1" s="218"/>
      <c r="C1" s="218"/>
      <c r="D1" s="218"/>
      <c r="E1" s="218"/>
    </row>
    <row r="2" spans="1:7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  <c r="F2" s="40" t="s">
        <v>499</v>
      </c>
    </row>
    <row r="3" spans="1:7" ht="14.25" x14ac:dyDescent="0.45">
      <c r="A3" s="2" t="s">
        <v>28</v>
      </c>
      <c r="B3" s="1" t="s">
        <v>141</v>
      </c>
      <c r="C3" s="12" t="s">
        <v>500</v>
      </c>
      <c r="D3" s="4" t="s">
        <v>501</v>
      </c>
      <c r="E3" t="s">
        <v>140</v>
      </c>
    </row>
    <row r="4" spans="1:7" ht="14.25" x14ac:dyDescent="0.45">
      <c r="A4" s="2"/>
      <c r="C4" s="12" t="s">
        <v>502</v>
      </c>
      <c r="D4" s="4" t="s">
        <v>503</v>
      </c>
      <c r="E4" t="s">
        <v>140</v>
      </c>
    </row>
    <row r="5" spans="1:7" ht="14.25" x14ac:dyDescent="0.45">
      <c r="A5" s="2"/>
      <c r="C5" s="13">
        <v>5053124383</v>
      </c>
      <c r="D5" s="4" t="s">
        <v>504</v>
      </c>
      <c r="E5" t="s">
        <v>140</v>
      </c>
    </row>
    <row r="6" spans="1:7" ht="14.25" x14ac:dyDescent="0.45">
      <c r="A6" s="2"/>
      <c r="D6" s="14"/>
    </row>
    <row r="7" spans="1:7" ht="14.25" x14ac:dyDescent="0.45">
      <c r="A7" s="2" t="s">
        <v>488</v>
      </c>
      <c r="B7" s="1" t="s">
        <v>138</v>
      </c>
      <c r="C7" s="12" t="s">
        <v>505</v>
      </c>
      <c r="D7" s="4" t="s">
        <v>506</v>
      </c>
      <c r="E7" t="s">
        <v>140</v>
      </c>
    </row>
    <row r="8" spans="1:7" ht="14.25" x14ac:dyDescent="0.45">
      <c r="A8" s="2"/>
      <c r="C8" s="8" t="s">
        <v>507</v>
      </c>
      <c r="D8" t="s">
        <v>506</v>
      </c>
      <c r="E8" t="s">
        <v>140</v>
      </c>
    </row>
    <row r="9" spans="1:7" ht="14.25" x14ac:dyDescent="0.45">
      <c r="A9" s="2"/>
    </row>
    <row r="10" spans="1:7" ht="14.25" x14ac:dyDescent="0.45">
      <c r="A10" s="2" t="s">
        <v>61</v>
      </c>
      <c r="B10" s="1" t="s">
        <v>205</v>
      </c>
      <c r="C10" s="1">
        <v>9770982677</v>
      </c>
      <c r="D10" t="s">
        <v>508</v>
      </c>
      <c r="E10" t="s">
        <v>140</v>
      </c>
    </row>
    <row r="12" spans="1:7" ht="14.25" x14ac:dyDescent="0.45">
      <c r="A12" s="2" t="s">
        <v>509</v>
      </c>
      <c r="B12" s="24" t="s">
        <v>145</v>
      </c>
      <c r="C12" s="25" t="s">
        <v>510</v>
      </c>
      <c r="D12" s="2" t="s">
        <v>511</v>
      </c>
      <c r="E12" s="34" t="s">
        <v>152</v>
      </c>
      <c r="F12" t="s">
        <v>491</v>
      </c>
      <c r="G12" t="s">
        <v>512</v>
      </c>
    </row>
    <row r="21" spans="1:1" ht="14.25" x14ac:dyDescent="0.45">
      <c r="A21">
        <v>838</v>
      </c>
    </row>
  </sheetData>
  <mergeCells count="1">
    <mergeCell ref="A1:E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F164-A279-48E0-BE4E-8EEB3A15FE8C}">
  <dimension ref="A1:F14"/>
  <sheetViews>
    <sheetView zoomScale="87" zoomScaleNormal="87" workbookViewId="0">
      <selection activeCell="E14" sqref="E14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39.1328125" customWidth="1"/>
    <col min="5" max="5" width="21" customWidth="1"/>
  </cols>
  <sheetData>
    <row r="1" spans="1:6" ht="28.5" x14ac:dyDescent="0.85">
      <c r="A1" s="218" t="s">
        <v>62</v>
      </c>
      <c r="B1" s="218"/>
      <c r="C1" s="218"/>
      <c r="D1" s="218"/>
      <c r="E1" s="218"/>
    </row>
    <row r="2" spans="1:6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6" ht="42.75" x14ac:dyDescent="0.45">
      <c r="A3" s="2" t="s">
        <v>169</v>
      </c>
      <c r="B3" s="1" t="s">
        <v>141</v>
      </c>
      <c r="C3" s="12" t="s">
        <v>513</v>
      </c>
      <c r="D3" s="14" t="s">
        <v>514</v>
      </c>
      <c r="E3" t="s">
        <v>140</v>
      </c>
    </row>
    <row r="4" spans="1:6" ht="42.75" x14ac:dyDescent="0.45">
      <c r="A4" s="2"/>
      <c r="C4" s="7" t="s">
        <v>515</v>
      </c>
      <c r="D4" s="3" t="s">
        <v>514</v>
      </c>
      <c r="E4" t="s">
        <v>140</v>
      </c>
    </row>
    <row r="5" spans="1:6" ht="42.75" x14ac:dyDescent="0.45">
      <c r="A5" s="2"/>
      <c r="C5" s="7" t="s">
        <v>516</v>
      </c>
      <c r="D5" s="3" t="s">
        <v>514</v>
      </c>
      <c r="E5" t="s">
        <v>140</v>
      </c>
    </row>
    <row r="6" spans="1:6" ht="42.75" x14ac:dyDescent="0.45">
      <c r="A6" s="2"/>
      <c r="C6" s="7" t="s">
        <v>517</v>
      </c>
      <c r="D6" s="3" t="s">
        <v>518</v>
      </c>
      <c r="E6" t="s">
        <v>140</v>
      </c>
    </row>
    <row r="7" spans="1:6" ht="14.25" x14ac:dyDescent="0.45">
      <c r="C7" s="7" t="s">
        <v>519</v>
      </c>
      <c r="D7" s="3" t="s">
        <v>520</v>
      </c>
      <c r="E7" t="s">
        <v>140</v>
      </c>
    </row>
    <row r="8" spans="1:6" ht="14.25" x14ac:dyDescent="0.45">
      <c r="A8" s="2"/>
    </row>
    <row r="9" spans="1:6" ht="28.5" x14ac:dyDescent="0.45">
      <c r="A9" s="2" t="s">
        <v>521</v>
      </c>
      <c r="B9" s="1" t="s">
        <v>522</v>
      </c>
      <c r="C9" s="12" t="s">
        <v>523</v>
      </c>
      <c r="D9" s="14" t="s">
        <v>524</v>
      </c>
      <c r="E9" t="s">
        <v>140</v>
      </c>
    </row>
    <row r="10" spans="1:6" ht="14.25" x14ac:dyDescent="0.45">
      <c r="A10" s="2"/>
    </row>
    <row r="11" spans="1:6" ht="14.25" x14ac:dyDescent="0.45">
      <c r="A11" s="2" t="s">
        <v>64</v>
      </c>
      <c r="B11" s="1" t="s">
        <v>138</v>
      </c>
      <c r="C11" s="1" t="s">
        <v>525</v>
      </c>
      <c r="D11" t="s">
        <v>526</v>
      </c>
      <c r="E11" t="s">
        <v>140</v>
      </c>
    </row>
    <row r="12" spans="1:6" ht="15" customHeight="1" x14ac:dyDescent="0.45">
      <c r="C12" s="1" t="s">
        <v>527</v>
      </c>
      <c r="D12" t="s">
        <v>526</v>
      </c>
      <c r="E12" t="s">
        <v>140</v>
      </c>
    </row>
    <row r="14" spans="1:6" ht="15" customHeight="1" x14ac:dyDescent="0.45">
      <c r="A14" t="s">
        <v>431</v>
      </c>
      <c r="F14" t="s">
        <v>528</v>
      </c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6764E-A59E-4176-9B07-010B5B5284F4}">
  <dimension ref="A1:E11"/>
  <sheetViews>
    <sheetView zoomScale="87" zoomScaleNormal="87" workbookViewId="0">
      <selection activeCell="E9" sqref="E9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41.6640625" customWidth="1"/>
    <col min="5" max="5" width="17.1328125" customWidth="1"/>
  </cols>
  <sheetData>
    <row r="1" spans="1:5" ht="28.5" x14ac:dyDescent="0.85">
      <c r="A1" s="218" t="s">
        <v>65</v>
      </c>
      <c r="B1" s="218"/>
      <c r="C1" s="218"/>
      <c r="D1" s="218"/>
      <c r="E1" s="218"/>
    </row>
    <row r="2" spans="1:5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ht="47.25" x14ac:dyDescent="0.5">
      <c r="A3" s="109" t="s">
        <v>169</v>
      </c>
      <c r="B3" s="109" t="s">
        <v>141</v>
      </c>
      <c r="C3" s="110" t="s">
        <v>529</v>
      </c>
      <c r="D3" s="111" t="s">
        <v>530</v>
      </c>
      <c r="E3" s="112" t="s">
        <v>140</v>
      </c>
    </row>
    <row r="4" spans="1:5" ht="47.25" x14ac:dyDescent="0.5">
      <c r="A4" s="109" t="s">
        <v>169</v>
      </c>
      <c r="B4" s="109" t="s">
        <v>141</v>
      </c>
      <c r="C4" s="113" t="s">
        <v>531</v>
      </c>
      <c r="D4" s="111" t="s">
        <v>532</v>
      </c>
      <c r="E4" s="112" t="s">
        <v>140</v>
      </c>
    </row>
    <row r="5" spans="1:5" ht="47.25" x14ac:dyDescent="0.5">
      <c r="A5" s="109" t="s">
        <v>169</v>
      </c>
      <c r="B5" s="109" t="s">
        <v>141</v>
      </c>
      <c r="C5" s="113" t="s">
        <v>533</v>
      </c>
      <c r="D5" s="111" t="s">
        <v>534</v>
      </c>
      <c r="E5" s="112" t="s">
        <v>140</v>
      </c>
    </row>
    <row r="6" spans="1:5" ht="15.75" x14ac:dyDescent="0.5">
      <c r="A6" s="109"/>
      <c r="B6" s="109"/>
      <c r="C6" s="112"/>
      <c r="D6" s="111"/>
      <c r="E6" s="112"/>
    </row>
    <row r="7" spans="1:5" ht="31.5" x14ac:dyDescent="0.5">
      <c r="A7" s="109" t="s">
        <v>66</v>
      </c>
      <c r="B7" s="109" t="s">
        <v>205</v>
      </c>
      <c r="C7" s="112">
        <v>51079</v>
      </c>
      <c r="D7" s="111" t="s">
        <v>535</v>
      </c>
      <c r="E7" s="112" t="s">
        <v>140</v>
      </c>
    </row>
    <row r="8" spans="1:5" ht="15.75" x14ac:dyDescent="0.5">
      <c r="A8" s="109"/>
      <c r="B8" s="109"/>
      <c r="C8" s="112"/>
      <c r="D8" s="109"/>
      <c r="E8" s="112"/>
    </row>
    <row r="9" spans="1:5" ht="31.5" x14ac:dyDescent="0.5">
      <c r="A9" s="109" t="s">
        <v>56</v>
      </c>
      <c r="B9" s="109" t="s">
        <v>138</v>
      </c>
      <c r="C9" s="112" t="s">
        <v>536</v>
      </c>
      <c r="D9" s="111" t="s">
        <v>535</v>
      </c>
      <c r="E9" s="112" t="s">
        <v>140</v>
      </c>
    </row>
    <row r="11" spans="1:5" ht="36" customHeight="1" x14ac:dyDescent="0.45">
      <c r="A11" s="34" t="s">
        <v>509</v>
      </c>
      <c r="B11" s="29" t="s">
        <v>145</v>
      </c>
      <c r="C11" s="28" t="s">
        <v>537</v>
      </c>
      <c r="D11" s="36" t="s">
        <v>538</v>
      </c>
      <c r="E11" s="27" t="s">
        <v>152</v>
      </c>
    </row>
  </sheetData>
  <mergeCells count="1">
    <mergeCell ref="A1:E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BB51-F761-4BB7-9E14-2CD6A9B4E6A7}">
  <dimension ref="A1:E11"/>
  <sheetViews>
    <sheetView zoomScale="87" zoomScaleNormal="87" workbookViewId="0">
      <selection activeCell="G13" sqref="G13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3.1328125" style="1" customWidth="1"/>
    <col min="4" max="4" width="40.46484375" customWidth="1"/>
    <col min="5" max="5" width="19.6640625" customWidth="1"/>
  </cols>
  <sheetData>
    <row r="1" spans="1:5" ht="28.5" x14ac:dyDescent="0.85">
      <c r="A1" s="218" t="s">
        <v>67</v>
      </c>
      <c r="B1" s="218"/>
      <c r="C1" s="218"/>
      <c r="D1" s="218"/>
      <c r="E1" s="218"/>
    </row>
    <row r="2" spans="1:5" ht="14.25" x14ac:dyDescent="0.45">
      <c r="A2" s="114" t="s">
        <v>133</v>
      </c>
      <c r="B2" s="114" t="s">
        <v>134</v>
      </c>
      <c r="C2" s="114" t="s">
        <v>135</v>
      </c>
      <c r="D2" s="114" t="s">
        <v>136</v>
      </c>
      <c r="E2" s="114" t="s">
        <v>137</v>
      </c>
    </row>
    <row r="3" spans="1:5" ht="28.5" x14ac:dyDescent="0.45">
      <c r="A3" s="123" t="s">
        <v>69</v>
      </c>
      <c r="B3" s="124" t="s">
        <v>141</v>
      </c>
      <c r="C3" s="172">
        <v>103028670257</v>
      </c>
      <c r="D3" s="126" t="s">
        <v>539</v>
      </c>
      <c r="E3" s="127" t="s">
        <v>140</v>
      </c>
    </row>
    <row r="4" spans="1:5" ht="14.25" x14ac:dyDescent="0.45">
      <c r="A4" s="123" t="s">
        <v>69</v>
      </c>
      <c r="B4" s="124" t="s">
        <v>212</v>
      </c>
      <c r="C4" s="172">
        <v>30028180411</v>
      </c>
      <c r="D4" s="126" t="s">
        <v>540</v>
      </c>
      <c r="E4" s="127"/>
    </row>
    <row r="5" spans="1:5" ht="28.5" x14ac:dyDescent="0.45">
      <c r="A5" s="123" t="s">
        <v>68</v>
      </c>
      <c r="B5" s="124" t="s">
        <v>147</v>
      </c>
      <c r="C5" s="124" t="s">
        <v>541</v>
      </c>
      <c r="D5" s="126" t="s">
        <v>539</v>
      </c>
      <c r="E5" s="127" t="s">
        <v>140</v>
      </c>
    </row>
    <row r="6" spans="1:5" ht="28.5" x14ac:dyDescent="0.45">
      <c r="A6" s="130" t="s">
        <v>68</v>
      </c>
      <c r="B6" s="131" t="s">
        <v>326</v>
      </c>
      <c r="C6" s="131" t="s">
        <v>541</v>
      </c>
      <c r="D6" s="180" t="s">
        <v>539</v>
      </c>
      <c r="E6" s="132" t="s">
        <v>140</v>
      </c>
    </row>
    <row r="7" spans="1:5" ht="14.25" x14ac:dyDescent="0.45">
      <c r="A7" s="123" t="s">
        <v>64</v>
      </c>
      <c r="B7" s="124" t="s">
        <v>138</v>
      </c>
      <c r="C7" s="124" t="s">
        <v>542</v>
      </c>
      <c r="D7" s="126" t="s">
        <v>543</v>
      </c>
      <c r="E7" s="127" t="s">
        <v>140</v>
      </c>
    </row>
    <row r="8" spans="1:5" ht="14.25" x14ac:dyDescent="0.45"/>
    <row r="9" spans="1:5" ht="14.25" x14ac:dyDescent="0.45"/>
    <row r="10" spans="1:5" ht="14.25" x14ac:dyDescent="0.45"/>
    <row r="11" spans="1:5" ht="14.25" x14ac:dyDescent="0.45"/>
  </sheetData>
  <mergeCells count="1">
    <mergeCell ref="A1:E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9D379-55C1-4603-ACF0-3E1DA3BF312F}">
  <dimension ref="A1:F105"/>
  <sheetViews>
    <sheetView topLeftCell="A72" zoomScale="87" zoomScaleNormal="87" workbookViewId="0">
      <selection activeCell="F96" sqref="F96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40.46484375" customWidth="1"/>
    <col min="5" max="5" width="19.6640625" customWidth="1"/>
  </cols>
  <sheetData>
    <row r="1" spans="1:6" ht="28.5" x14ac:dyDescent="0.85">
      <c r="A1" s="218" t="s">
        <v>70</v>
      </c>
      <c r="B1" s="218"/>
      <c r="C1" s="218"/>
      <c r="D1" s="218"/>
      <c r="E1" s="218"/>
    </row>
    <row r="2" spans="1:6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6" ht="14.25" x14ac:dyDescent="0.45">
      <c r="A3" s="2" t="s">
        <v>28</v>
      </c>
      <c r="B3" s="1" t="s">
        <v>141</v>
      </c>
      <c r="C3" s="12" t="s">
        <v>544</v>
      </c>
      <c r="D3" s="4" t="s">
        <v>545</v>
      </c>
      <c r="E3" t="s">
        <v>140</v>
      </c>
    </row>
    <row r="4" spans="1:6" ht="15" customHeight="1" x14ac:dyDescent="0.45">
      <c r="A4" s="2"/>
      <c r="C4" s="46" t="s">
        <v>546</v>
      </c>
      <c r="D4" s="47" t="s">
        <v>547</v>
      </c>
      <c r="E4" s="48" t="s">
        <v>140</v>
      </c>
      <c r="F4" s="44"/>
    </row>
    <row r="5" spans="1:6" ht="14.25" x14ac:dyDescent="0.45">
      <c r="A5" s="2"/>
      <c r="C5" s="12" t="s">
        <v>548</v>
      </c>
      <c r="D5" s="4" t="s">
        <v>549</v>
      </c>
      <c r="E5" t="s">
        <v>140</v>
      </c>
    </row>
    <row r="6" spans="1:6" ht="14.25" x14ac:dyDescent="0.45">
      <c r="A6" s="2"/>
      <c r="C6" s="7" t="s">
        <v>550</v>
      </c>
      <c r="D6" s="3" t="s">
        <v>551</v>
      </c>
      <c r="E6" t="s">
        <v>140</v>
      </c>
    </row>
    <row r="7" spans="1:6" ht="14.25" x14ac:dyDescent="0.45">
      <c r="A7" s="2"/>
      <c r="C7" s="7" t="s">
        <v>552</v>
      </c>
      <c r="D7" t="s">
        <v>553</v>
      </c>
      <c r="E7" t="s">
        <v>140</v>
      </c>
    </row>
    <row r="8" spans="1:6" ht="14.25" x14ac:dyDescent="0.45">
      <c r="A8" s="2"/>
      <c r="C8" s="8" t="s">
        <v>554</v>
      </c>
      <c r="D8" t="s">
        <v>555</v>
      </c>
      <c r="E8" t="s">
        <v>140</v>
      </c>
    </row>
    <row r="9" spans="1:6" ht="14.25" x14ac:dyDescent="0.45">
      <c r="A9" s="2"/>
      <c r="C9" s="7" t="s">
        <v>556</v>
      </c>
      <c r="D9" t="s">
        <v>557</v>
      </c>
      <c r="E9" t="s">
        <v>140</v>
      </c>
    </row>
    <row r="10" spans="1:6" ht="14.25" x14ac:dyDescent="0.45">
      <c r="A10" s="2"/>
      <c r="C10" s="7" t="s">
        <v>558</v>
      </c>
      <c r="D10" t="s">
        <v>559</v>
      </c>
      <c r="E10" t="s">
        <v>140</v>
      </c>
    </row>
    <row r="11" spans="1:6" ht="14.25" x14ac:dyDescent="0.45">
      <c r="C11" s="1">
        <v>1149228221</v>
      </c>
      <c r="D11" t="s">
        <v>560</v>
      </c>
      <c r="E11" t="s">
        <v>140</v>
      </c>
    </row>
    <row r="12" spans="1:6" ht="14.25" x14ac:dyDescent="0.45">
      <c r="C12" s="1">
        <v>1246361461</v>
      </c>
      <c r="D12" t="s">
        <v>561</v>
      </c>
      <c r="E12" t="s">
        <v>140</v>
      </c>
    </row>
    <row r="13" spans="1:6" ht="14.25" x14ac:dyDescent="0.45">
      <c r="C13" s="1">
        <v>1309251468</v>
      </c>
      <c r="D13" t="s">
        <v>562</v>
      </c>
      <c r="E13" t="s">
        <v>140</v>
      </c>
    </row>
    <row r="14" spans="1:6" ht="14.25" x14ac:dyDescent="0.45">
      <c r="C14" s="1">
        <v>1412314005</v>
      </c>
      <c r="D14" t="s">
        <v>563</v>
      </c>
      <c r="E14" t="s">
        <v>140</v>
      </c>
    </row>
    <row r="15" spans="1:6" ht="14.25" x14ac:dyDescent="0.45">
      <c r="C15" s="1">
        <v>1515099024</v>
      </c>
      <c r="D15" t="s">
        <v>564</v>
      </c>
      <c r="E15" t="s">
        <v>140</v>
      </c>
    </row>
    <row r="16" spans="1:6" ht="14.25" x14ac:dyDescent="0.45">
      <c r="C16" s="1">
        <v>1519230401</v>
      </c>
      <c r="D16" t="s">
        <v>565</v>
      </c>
      <c r="E16" t="s">
        <v>140</v>
      </c>
    </row>
    <row r="17" spans="3:5" ht="14.25" x14ac:dyDescent="0.45">
      <c r="C17" s="1">
        <v>1781829245</v>
      </c>
      <c r="D17" t="s">
        <v>566</v>
      </c>
      <c r="E17" t="s">
        <v>140</v>
      </c>
    </row>
    <row r="18" spans="3:5" ht="14.25" x14ac:dyDescent="0.45">
      <c r="C18" s="13">
        <v>1905585137</v>
      </c>
      <c r="D18" t="s">
        <v>567</v>
      </c>
      <c r="E18" t="s">
        <v>140</v>
      </c>
    </row>
    <row r="19" spans="3:5" ht="14.25" x14ac:dyDescent="0.45">
      <c r="C19" s="13">
        <v>4008320402</v>
      </c>
      <c r="D19" t="s">
        <v>568</v>
      </c>
      <c r="E19" t="s">
        <v>140</v>
      </c>
    </row>
    <row r="20" spans="3:5" ht="14.25" x14ac:dyDescent="0.45">
      <c r="C20" s="13">
        <v>4102999028</v>
      </c>
      <c r="D20" t="s">
        <v>569</v>
      </c>
      <c r="E20" t="s">
        <v>140</v>
      </c>
    </row>
    <row r="21" spans="3:5" ht="14.25" x14ac:dyDescent="0.45">
      <c r="C21" s="13">
        <v>4161604469</v>
      </c>
      <c r="D21" t="s">
        <v>570</v>
      </c>
      <c r="E21" t="s">
        <v>140</v>
      </c>
    </row>
    <row r="22" spans="3:5" ht="14.25" x14ac:dyDescent="0.45">
      <c r="C22" s="13">
        <v>4307255473</v>
      </c>
      <c r="D22" t="s">
        <v>571</v>
      </c>
      <c r="E22" t="s">
        <v>140</v>
      </c>
    </row>
    <row r="23" spans="3:5" ht="14.25" x14ac:dyDescent="0.45">
      <c r="C23" s="13">
        <v>4307771370</v>
      </c>
      <c r="D23" t="s">
        <v>572</v>
      </c>
      <c r="E23" t="s">
        <v>140</v>
      </c>
    </row>
    <row r="24" spans="3:5" ht="14.25" x14ac:dyDescent="0.45">
      <c r="C24" s="13">
        <v>4325169565</v>
      </c>
      <c r="D24" t="s">
        <v>573</v>
      </c>
      <c r="E24" t="s">
        <v>140</v>
      </c>
    </row>
    <row r="25" spans="3:5" ht="14.25" x14ac:dyDescent="0.45">
      <c r="C25" s="13">
        <v>4422011421</v>
      </c>
      <c r="D25" t="s">
        <v>574</v>
      </c>
      <c r="E25" t="s">
        <v>140</v>
      </c>
    </row>
    <row r="26" spans="3:5" ht="14.25" x14ac:dyDescent="0.45">
      <c r="C26" s="13">
        <v>4466574276</v>
      </c>
      <c r="D26" t="s">
        <v>575</v>
      </c>
      <c r="E26" t="s">
        <v>140</v>
      </c>
    </row>
    <row r="27" spans="3:5" ht="14.25" x14ac:dyDescent="0.45">
      <c r="C27" s="13">
        <v>4477893467</v>
      </c>
      <c r="D27" t="s">
        <v>576</v>
      </c>
      <c r="E27" t="s">
        <v>140</v>
      </c>
    </row>
    <row r="28" spans="3:5" ht="14.25" x14ac:dyDescent="0.45">
      <c r="C28" s="13">
        <v>4588626350</v>
      </c>
      <c r="D28" t="s">
        <v>577</v>
      </c>
      <c r="E28" t="s">
        <v>140</v>
      </c>
    </row>
    <row r="29" spans="3:5" ht="14.25" x14ac:dyDescent="0.45">
      <c r="C29" s="13">
        <v>4721181370</v>
      </c>
      <c r="D29" t="s">
        <v>578</v>
      </c>
      <c r="E29" t="s">
        <v>140</v>
      </c>
    </row>
    <row r="30" spans="3:5" ht="14.25" x14ac:dyDescent="0.45">
      <c r="C30" s="13">
        <v>4886828229</v>
      </c>
      <c r="D30" t="s">
        <v>579</v>
      </c>
      <c r="E30" t="s">
        <v>140</v>
      </c>
    </row>
    <row r="31" spans="3:5" ht="14.25" x14ac:dyDescent="0.45">
      <c r="C31" s="13">
        <v>4915481511</v>
      </c>
      <c r="D31" t="s">
        <v>580</v>
      </c>
      <c r="E31" t="s">
        <v>140</v>
      </c>
    </row>
    <row r="32" spans="3:5" ht="14.25" x14ac:dyDescent="0.45">
      <c r="C32" s="13">
        <v>4971271376</v>
      </c>
      <c r="D32" t="s">
        <v>581</v>
      </c>
      <c r="E32" t="s">
        <v>140</v>
      </c>
    </row>
    <row r="33" spans="3:5" ht="14.25" x14ac:dyDescent="0.45">
      <c r="C33" s="13">
        <v>5024121427</v>
      </c>
      <c r="D33" t="s">
        <v>582</v>
      </c>
      <c r="E33" t="s">
        <v>140</v>
      </c>
    </row>
    <row r="34" spans="3:5" ht="14.25" x14ac:dyDescent="0.45">
      <c r="C34" s="13">
        <v>5035136356</v>
      </c>
      <c r="D34" t="s">
        <v>583</v>
      </c>
      <c r="E34" t="s">
        <v>140</v>
      </c>
    </row>
    <row r="35" spans="3:5" ht="14.25" x14ac:dyDescent="0.45">
      <c r="C35" s="13">
        <v>5140781518</v>
      </c>
      <c r="D35" t="s">
        <v>584</v>
      </c>
      <c r="E35" t="s">
        <v>140</v>
      </c>
    </row>
    <row r="36" spans="3:5" ht="14.25" x14ac:dyDescent="0.45">
      <c r="C36" s="13">
        <v>5218122587</v>
      </c>
      <c r="D36" t="s">
        <v>585</v>
      </c>
      <c r="E36" t="s">
        <v>140</v>
      </c>
    </row>
    <row r="37" spans="3:5" ht="14.25" x14ac:dyDescent="0.45">
      <c r="C37" s="13">
        <v>5233750321</v>
      </c>
      <c r="D37" t="s">
        <v>586</v>
      </c>
      <c r="E37" t="s">
        <v>140</v>
      </c>
    </row>
    <row r="38" spans="3:5" ht="14.25" x14ac:dyDescent="0.45">
      <c r="C38" s="15">
        <v>5502645475</v>
      </c>
      <c r="D38" t="s">
        <v>587</v>
      </c>
      <c r="E38" t="s">
        <v>140</v>
      </c>
    </row>
    <row r="39" spans="3:5" ht="14.25" x14ac:dyDescent="0.45">
      <c r="C39" s="15">
        <v>5572004009</v>
      </c>
      <c r="D39" t="s">
        <v>588</v>
      </c>
      <c r="E39" t="s">
        <v>140</v>
      </c>
    </row>
    <row r="40" spans="3:5" ht="14.25" x14ac:dyDescent="0.45">
      <c r="C40" s="15">
        <v>5595181511</v>
      </c>
      <c r="D40" t="s">
        <v>589</v>
      </c>
      <c r="E40" t="s">
        <v>140</v>
      </c>
    </row>
    <row r="41" spans="3:5" ht="14.25" x14ac:dyDescent="0.45">
      <c r="C41" s="15">
        <v>5703636356</v>
      </c>
      <c r="D41" t="s">
        <v>590</v>
      </c>
      <c r="E41" t="s">
        <v>140</v>
      </c>
    </row>
    <row r="42" spans="3:5" ht="14.25" x14ac:dyDescent="0.45">
      <c r="C42" s="15">
        <v>5976581495</v>
      </c>
      <c r="D42" t="s">
        <v>591</v>
      </c>
      <c r="E42" t="s">
        <v>140</v>
      </c>
    </row>
    <row r="43" spans="3:5" ht="14.25" x14ac:dyDescent="0.45">
      <c r="C43" s="15">
        <v>6068395133</v>
      </c>
      <c r="D43" t="s">
        <v>592</v>
      </c>
      <c r="E43" t="s">
        <v>140</v>
      </c>
    </row>
    <row r="44" spans="3:5" ht="14.25" x14ac:dyDescent="0.45">
      <c r="C44" s="15">
        <v>6215281491</v>
      </c>
      <c r="D44" t="s">
        <v>593</v>
      </c>
      <c r="E44" t="s">
        <v>140</v>
      </c>
    </row>
    <row r="45" spans="3:5" ht="14.25" x14ac:dyDescent="0.45">
      <c r="C45" s="15">
        <v>6221317552</v>
      </c>
      <c r="D45" t="s">
        <v>594</v>
      </c>
      <c r="E45" t="s">
        <v>140</v>
      </c>
    </row>
    <row r="46" spans="3:5" ht="14.25" x14ac:dyDescent="0.45">
      <c r="C46" s="15">
        <v>6363949568</v>
      </c>
      <c r="D46" t="s">
        <v>595</v>
      </c>
      <c r="E46" t="s">
        <v>140</v>
      </c>
    </row>
    <row r="47" spans="3:5" ht="14.25" x14ac:dyDescent="0.45">
      <c r="C47" s="15">
        <v>6529764273</v>
      </c>
      <c r="D47" t="s">
        <v>596</v>
      </c>
      <c r="E47" t="s">
        <v>140</v>
      </c>
    </row>
    <row r="48" spans="3:5" ht="14.25" x14ac:dyDescent="0.45">
      <c r="C48" s="15">
        <v>6681451032</v>
      </c>
      <c r="D48" t="s">
        <v>597</v>
      </c>
      <c r="E48" t="s">
        <v>140</v>
      </c>
    </row>
    <row r="49" spans="3:5" ht="14.25" x14ac:dyDescent="0.45">
      <c r="C49" s="15">
        <v>6830963226</v>
      </c>
      <c r="D49" t="s">
        <v>598</v>
      </c>
      <c r="E49" t="s">
        <v>140</v>
      </c>
    </row>
    <row r="50" spans="3:5" ht="14.25" x14ac:dyDescent="0.45">
      <c r="C50" s="15">
        <v>6974945476</v>
      </c>
      <c r="D50" t="s">
        <v>599</v>
      </c>
      <c r="E50" t="s">
        <v>140</v>
      </c>
    </row>
    <row r="51" spans="3:5" ht="14.25" x14ac:dyDescent="0.45">
      <c r="C51" s="13">
        <v>7023239242</v>
      </c>
      <c r="D51" t="s">
        <v>600</v>
      </c>
      <c r="E51" t="s">
        <v>140</v>
      </c>
    </row>
    <row r="52" spans="3:5" ht="14.25" x14ac:dyDescent="0.45">
      <c r="C52" s="13">
        <v>7219404006</v>
      </c>
      <c r="D52" t="s">
        <v>601</v>
      </c>
      <c r="E52" t="s">
        <v>140</v>
      </c>
    </row>
    <row r="53" spans="3:5" ht="14.25" x14ac:dyDescent="0.45">
      <c r="C53" s="13">
        <v>7277083221</v>
      </c>
      <c r="D53" t="s">
        <v>602</v>
      </c>
      <c r="E53" t="s">
        <v>140</v>
      </c>
    </row>
    <row r="54" spans="3:5" ht="14.25" x14ac:dyDescent="0.45">
      <c r="C54" s="13">
        <v>7547820402</v>
      </c>
      <c r="D54" t="s">
        <v>603</v>
      </c>
      <c r="E54" t="s">
        <v>140</v>
      </c>
    </row>
    <row r="55" spans="3:5" ht="14.25" x14ac:dyDescent="0.45">
      <c r="C55" s="13">
        <v>7675622588</v>
      </c>
      <c r="D55" t="s">
        <v>604</v>
      </c>
      <c r="E55" t="s">
        <v>140</v>
      </c>
    </row>
    <row r="56" spans="3:5" ht="14.25" x14ac:dyDescent="0.45">
      <c r="C56" s="13">
        <v>7801400123</v>
      </c>
      <c r="D56" t="s">
        <v>605</v>
      </c>
      <c r="E56" t="s">
        <v>140</v>
      </c>
    </row>
    <row r="57" spans="3:5" ht="14.25" x14ac:dyDescent="0.45">
      <c r="C57" s="13">
        <v>7998711423</v>
      </c>
      <c r="D57" t="s">
        <v>606</v>
      </c>
      <c r="E57" t="s">
        <v>140</v>
      </c>
    </row>
    <row r="58" spans="3:5" ht="14.25" x14ac:dyDescent="0.45">
      <c r="C58" s="13">
        <v>8112274272</v>
      </c>
      <c r="D58" t="s">
        <v>607</v>
      </c>
      <c r="E58" t="s">
        <v>140</v>
      </c>
    </row>
    <row r="59" spans="3:5" ht="14.25" x14ac:dyDescent="0.45">
      <c r="C59" s="13">
        <v>8185238220</v>
      </c>
      <c r="D59" t="s">
        <v>608</v>
      </c>
      <c r="E59" t="s">
        <v>140</v>
      </c>
    </row>
    <row r="60" spans="3:5" ht="14.25" x14ac:dyDescent="0.45">
      <c r="C60" s="13">
        <v>8409630400</v>
      </c>
      <c r="D60" t="s">
        <v>609</v>
      </c>
      <c r="E60" t="s">
        <v>140</v>
      </c>
    </row>
    <row r="61" spans="3:5" ht="14.25" x14ac:dyDescent="0.45">
      <c r="C61" s="13">
        <v>8637951461</v>
      </c>
      <c r="D61" t="s">
        <v>610</v>
      </c>
      <c r="E61" t="s">
        <v>140</v>
      </c>
    </row>
    <row r="62" spans="3:5" ht="14.25" x14ac:dyDescent="0.45">
      <c r="C62" s="13">
        <v>8682145472</v>
      </c>
      <c r="D62" t="s">
        <v>611</v>
      </c>
      <c r="E62" t="s">
        <v>140</v>
      </c>
    </row>
    <row r="63" spans="3:5" ht="14.25" x14ac:dyDescent="0.45">
      <c r="C63" s="13">
        <v>8696393464</v>
      </c>
      <c r="D63" t="s">
        <v>612</v>
      </c>
      <c r="E63" t="s">
        <v>140</v>
      </c>
    </row>
    <row r="64" spans="3:5" ht="14.25" x14ac:dyDescent="0.45">
      <c r="C64" s="13">
        <v>8980773223</v>
      </c>
      <c r="D64" t="s">
        <v>613</v>
      </c>
      <c r="E64" t="s">
        <v>140</v>
      </c>
    </row>
    <row r="65" spans="1:6" ht="14.25" x14ac:dyDescent="0.45">
      <c r="C65" s="13">
        <v>9063818224</v>
      </c>
      <c r="D65" t="s">
        <v>614</v>
      </c>
      <c r="E65" t="s">
        <v>140</v>
      </c>
    </row>
    <row r="66" spans="1:6" ht="14.25" x14ac:dyDescent="0.45">
      <c r="C66" s="13">
        <v>9125411422</v>
      </c>
      <c r="D66" t="s">
        <v>615</v>
      </c>
      <c r="E66" t="s">
        <v>140</v>
      </c>
    </row>
    <row r="67" spans="1:6" ht="14.25" x14ac:dyDescent="0.45">
      <c r="C67" s="13">
        <v>9211373221</v>
      </c>
      <c r="D67" t="s">
        <v>616</v>
      </c>
      <c r="E67" t="s">
        <v>140</v>
      </c>
    </row>
    <row r="68" spans="1:6" ht="14.25" x14ac:dyDescent="0.45">
      <c r="C68" s="13">
        <v>9217132589</v>
      </c>
      <c r="D68" t="s">
        <v>617</v>
      </c>
      <c r="E68" t="s">
        <v>140</v>
      </c>
    </row>
    <row r="69" spans="1:6" ht="14.25" x14ac:dyDescent="0.45">
      <c r="C69" s="13">
        <v>9226985134</v>
      </c>
      <c r="D69" t="s">
        <v>618</v>
      </c>
      <c r="E69" t="s">
        <v>140</v>
      </c>
    </row>
    <row r="70" spans="1:6" ht="14.25" x14ac:dyDescent="0.45">
      <c r="C70" s="13">
        <v>9465974278</v>
      </c>
      <c r="D70" t="s">
        <v>619</v>
      </c>
      <c r="E70" t="s">
        <v>140</v>
      </c>
    </row>
    <row r="71" spans="1:6" ht="14.25" x14ac:dyDescent="0.45">
      <c r="C71" s="13">
        <v>9489359563</v>
      </c>
      <c r="D71" t="s">
        <v>620</v>
      </c>
      <c r="E71" t="s">
        <v>140</v>
      </c>
    </row>
    <row r="72" spans="1:6" ht="14.25" x14ac:dyDescent="0.45">
      <c r="C72" s="13">
        <v>9521739244</v>
      </c>
      <c r="D72" t="s">
        <v>621</v>
      </c>
      <c r="E72" t="s">
        <v>140</v>
      </c>
    </row>
    <row r="73" spans="1:6" ht="14.25" x14ac:dyDescent="0.45">
      <c r="C73" s="13">
        <v>9633673109</v>
      </c>
      <c r="D73" t="s">
        <v>622</v>
      </c>
      <c r="E73" t="s">
        <v>140</v>
      </c>
    </row>
    <row r="74" spans="1:6" ht="14.25" x14ac:dyDescent="0.45">
      <c r="C74" s="13">
        <v>9771017556</v>
      </c>
      <c r="D74" t="s">
        <v>623</v>
      </c>
      <c r="E74" t="s">
        <v>140</v>
      </c>
    </row>
    <row r="75" spans="1:6" ht="14.25" x14ac:dyDescent="0.45">
      <c r="C75" s="13">
        <v>9861481373</v>
      </c>
      <c r="D75" t="s">
        <v>624</v>
      </c>
      <c r="E75" t="s">
        <v>140</v>
      </c>
    </row>
    <row r="76" spans="1:6" ht="14.25" x14ac:dyDescent="0.45">
      <c r="C76" s="13">
        <v>9994771518</v>
      </c>
      <c r="D76" t="s">
        <v>625</v>
      </c>
      <c r="E76" t="s">
        <v>140</v>
      </c>
    </row>
    <row r="77" spans="1:6" ht="14.25" x14ac:dyDescent="0.45">
      <c r="C77" s="19">
        <v>5235669370</v>
      </c>
      <c r="D77" s="49" t="s">
        <v>626</v>
      </c>
      <c r="E77" s="49" t="s">
        <v>140</v>
      </c>
      <c r="F77" s="44"/>
    </row>
    <row r="78" spans="1:6" ht="14.25" x14ac:dyDescent="0.45">
      <c r="C78" s="1" t="s">
        <v>627</v>
      </c>
      <c r="D78" t="s">
        <v>626</v>
      </c>
      <c r="E78" t="s">
        <v>140</v>
      </c>
    </row>
    <row r="79" spans="1:6" ht="14.25" x14ac:dyDescent="0.45"/>
    <row r="80" spans="1:6" ht="28.5" x14ac:dyDescent="0.45">
      <c r="A80" s="2" t="s">
        <v>488</v>
      </c>
      <c r="B80" s="1" t="s">
        <v>138</v>
      </c>
      <c r="C80" s="12" t="s">
        <v>628</v>
      </c>
      <c r="D80" s="14" t="s">
        <v>629</v>
      </c>
      <c r="E80" t="s">
        <v>140</v>
      </c>
    </row>
    <row r="81" spans="1:6" ht="28.5" x14ac:dyDescent="0.45">
      <c r="C81" s="7" t="s">
        <v>630</v>
      </c>
      <c r="D81" s="3" t="s">
        <v>629</v>
      </c>
      <c r="E81" t="s">
        <v>140</v>
      </c>
    </row>
    <row r="82" spans="1:6" ht="14.25" x14ac:dyDescent="0.45"/>
    <row r="83" spans="1:6" s="56" customFormat="1" ht="28.5" x14ac:dyDescent="0.45">
      <c r="A83" s="41" t="s">
        <v>71</v>
      </c>
      <c r="B83" s="43" t="s">
        <v>147</v>
      </c>
      <c r="C83" s="43" t="s">
        <v>631</v>
      </c>
      <c r="D83" s="120" t="s">
        <v>629</v>
      </c>
      <c r="E83" s="56" t="s">
        <v>140</v>
      </c>
    </row>
    <row r="84" spans="1:6" ht="14.25" x14ac:dyDescent="0.45"/>
    <row r="85" spans="1:6" ht="14.25" x14ac:dyDescent="0.45">
      <c r="A85" s="2" t="s">
        <v>72</v>
      </c>
      <c r="B85" s="1" t="s">
        <v>431</v>
      </c>
      <c r="C85" s="121" t="s">
        <v>632</v>
      </c>
      <c r="D85" s="120" t="s">
        <v>633</v>
      </c>
      <c r="E85" s="56" t="s">
        <v>140</v>
      </c>
      <c r="F85" s="2"/>
    </row>
    <row r="86" spans="1:6" ht="14.25" x14ac:dyDescent="0.45">
      <c r="A86" s="2"/>
    </row>
    <row r="87" spans="1:6" ht="14.25" x14ac:dyDescent="0.45">
      <c r="A87" s="2"/>
    </row>
    <row r="88" spans="1:6" ht="14.25" x14ac:dyDescent="0.45">
      <c r="A88" s="2" t="s">
        <v>208</v>
      </c>
    </row>
    <row r="89" spans="1:6" ht="28.5" x14ac:dyDescent="0.45">
      <c r="A89" s="2" t="s">
        <v>18</v>
      </c>
      <c r="B89" s="1" t="s">
        <v>145</v>
      </c>
      <c r="C89" s="1" t="s">
        <v>634</v>
      </c>
      <c r="D89" s="3" t="s">
        <v>635</v>
      </c>
      <c r="E89" s="56" t="s">
        <v>152</v>
      </c>
      <c r="F89" s="41" t="s">
        <v>636</v>
      </c>
    </row>
    <row r="95" spans="1:6" ht="15" customHeight="1" x14ac:dyDescent="0.45">
      <c r="A95" s="41" t="s">
        <v>312</v>
      </c>
    </row>
    <row r="96" spans="1:6" s="27" customFormat="1" ht="15" customHeight="1" x14ac:dyDescent="0.45">
      <c r="A96" s="27" t="s">
        <v>28</v>
      </c>
      <c r="B96" s="29" t="s">
        <v>141</v>
      </c>
      <c r="C96" s="117">
        <v>6581085138</v>
      </c>
      <c r="D96" s="27" t="s">
        <v>637</v>
      </c>
      <c r="E96" s="27" t="s">
        <v>140</v>
      </c>
      <c r="F96" s="27" t="s">
        <v>263</v>
      </c>
    </row>
    <row r="97" spans="1:6" s="27" customFormat="1" ht="15" customHeight="1" x14ac:dyDescent="0.45">
      <c r="B97" s="29"/>
      <c r="C97" s="118">
        <v>7846507551</v>
      </c>
      <c r="D97" s="27" t="s">
        <v>638</v>
      </c>
      <c r="E97" s="27" t="s">
        <v>639</v>
      </c>
      <c r="F97" s="27" t="s">
        <v>285</v>
      </c>
    </row>
    <row r="98" spans="1:6" s="27" customFormat="1" ht="15" customHeight="1" x14ac:dyDescent="0.45">
      <c r="B98" s="29"/>
      <c r="C98" s="26">
        <v>7937861362</v>
      </c>
      <c r="D98" s="27" t="s">
        <v>640</v>
      </c>
      <c r="E98" s="27" t="s">
        <v>140</v>
      </c>
      <c r="F98" s="27" t="s">
        <v>263</v>
      </c>
    </row>
    <row r="99" spans="1:6" s="27" customFormat="1" ht="15" customHeight="1" x14ac:dyDescent="0.45">
      <c r="B99" s="29"/>
      <c r="C99" s="26">
        <v>8483204460</v>
      </c>
      <c r="D99" s="27" t="s">
        <v>641</v>
      </c>
      <c r="E99" s="27" t="s">
        <v>140</v>
      </c>
      <c r="F99" s="27" t="s">
        <v>263</v>
      </c>
    </row>
    <row r="100" spans="1:6" s="27" customFormat="1" ht="15" customHeight="1" x14ac:dyDescent="0.45">
      <c r="B100" s="29"/>
      <c r="C100" s="26">
        <v>8698871491</v>
      </c>
      <c r="D100" s="27" t="s">
        <v>642</v>
      </c>
      <c r="E100" s="27" t="s">
        <v>140</v>
      </c>
      <c r="F100" s="27" t="s">
        <v>263</v>
      </c>
    </row>
    <row r="101" spans="1:6" s="27" customFormat="1" ht="15" customHeight="1" x14ac:dyDescent="0.45">
      <c r="B101" s="29"/>
      <c r="C101" s="26">
        <v>9253146352</v>
      </c>
      <c r="D101" s="27" t="s">
        <v>643</v>
      </c>
      <c r="E101" s="27" t="s">
        <v>140</v>
      </c>
      <c r="F101" s="27" t="s">
        <v>263</v>
      </c>
    </row>
    <row r="102" spans="1:6" s="27" customFormat="1" ht="15" customHeight="1" x14ac:dyDescent="0.45">
      <c r="B102" s="29"/>
      <c r="C102" s="26">
        <v>8417452516</v>
      </c>
      <c r="D102" s="119" t="s">
        <v>547</v>
      </c>
      <c r="E102" s="119" t="s">
        <v>639</v>
      </c>
      <c r="F102" s="119" t="s">
        <v>263</v>
      </c>
    </row>
    <row r="103" spans="1:6" s="27" customFormat="1" ht="15" customHeight="1" x14ac:dyDescent="0.45">
      <c r="A103" s="27" t="s">
        <v>72</v>
      </c>
      <c r="B103" s="29" t="s">
        <v>431</v>
      </c>
      <c r="C103" s="29" t="s">
        <v>644</v>
      </c>
      <c r="D103" s="35" t="s">
        <v>629</v>
      </c>
      <c r="E103" s="27" t="s">
        <v>639</v>
      </c>
    </row>
    <row r="104" spans="1:6" ht="15" customHeight="1" x14ac:dyDescent="0.45">
      <c r="A104" s="27" t="s">
        <v>71</v>
      </c>
      <c r="B104" s="29" t="s">
        <v>147</v>
      </c>
      <c r="C104" s="29">
        <v>13850027</v>
      </c>
      <c r="D104" s="27" t="s">
        <v>645</v>
      </c>
      <c r="E104" s="27" t="s">
        <v>140</v>
      </c>
    </row>
    <row r="105" spans="1:6" ht="15" customHeight="1" x14ac:dyDescent="0.45">
      <c r="A105" s="27"/>
      <c r="B105" s="29"/>
      <c r="C105" s="29"/>
      <c r="D105" s="35"/>
      <c r="E105" s="27"/>
      <c r="F105" s="27"/>
    </row>
  </sheetData>
  <mergeCells count="1">
    <mergeCell ref="A1:E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EA6E-25FD-412F-AA51-B4F4CF0C3494}">
  <dimension ref="A1:F90"/>
  <sheetViews>
    <sheetView showGridLines="0" zoomScale="87" zoomScaleNormal="87" workbookViewId="0">
      <selection activeCell="D12" sqref="D12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40.33203125" customWidth="1"/>
    <col min="5" max="5" width="19.6640625" customWidth="1"/>
    <col min="6" max="6" width="16.46484375" customWidth="1"/>
  </cols>
  <sheetData>
    <row r="1" spans="1:6" ht="28.5" x14ac:dyDescent="0.85">
      <c r="A1" s="218" t="s">
        <v>73</v>
      </c>
      <c r="B1" s="218"/>
      <c r="C1" s="218"/>
      <c r="D1" s="218"/>
      <c r="E1" s="218"/>
    </row>
    <row r="2" spans="1:6" ht="14.25" x14ac:dyDescent="0.45">
      <c r="A2" s="114" t="s">
        <v>133</v>
      </c>
      <c r="B2" s="114" t="s">
        <v>134</v>
      </c>
      <c r="C2" s="114" t="s">
        <v>135</v>
      </c>
      <c r="D2" s="114" t="s">
        <v>136</v>
      </c>
      <c r="E2" s="114" t="s">
        <v>137</v>
      </c>
      <c r="F2" s="40" t="s">
        <v>646</v>
      </c>
    </row>
    <row r="3" spans="1:6" ht="14.25" x14ac:dyDescent="0.45">
      <c r="A3" s="216" t="s">
        <v>647</v>
      </c>
      <c r="B3" s="124" t="s">
        <v>141</v>
      </c>
      <c r="C3" s="124">
        <v>74004018722</v>
      </c>
      <c r="D3" s="127" t="s">
        <v>648</v>
      </c>
      <c r="E3" s="127" t="s">
        <v>140</v>
      </c>
      <c r="F3" s="24"/>
    </row>
    <row r="4" spans="1:6" ht="14.25" x14ac:dyDescent="0.45">
      <c r="A4" s="217"/>
      <c r="B4" s="124" t="s">
        <v>141</v>
      </c>
      <c r="C4" s="124">
        <v>74011684888</v>
      </c>
      <c r="D4" s="127" t="s">
        <v>649</v>
      </c>
      <c r="E4" s="127" t="s">
        <v>140</v>
      </c>
      <c r="F4" s="24"/>
    </row>
    <row r="5" spans="1:6" ht="28.5" x14ac:dyDescent="0.45">
      <c r="A5" s="123" t="s">
        <v>488</v>
      </c>
      <c r="B5" s="124" t="s">
        <v>138</v>
      </c>
      <c r="C5" s="162" t="s">
        <v>650</v>
      </c>
      <c r="D5" s="165" t="s">
        <v>651</v>
      </c>
      <c r="E5" s="127" t="s">
        <v>140</v>
      </c>
    </row>
    <row r="6" spans="1:6" ht="14.25" x14ac:dyDescent="0.45">
      <c r="A6" s="123"/>
      <c r="B6" s="127"/>
      <c r="C6" s="124"/>
      <c r="D6" s="127"/>
      <c r="E6" s="127"/>
    </row>
    <row r="7" spans="1:6" ht="14.25" x14ac:dyDescent="0.45">
      <c r="A7" s="123" t="s">
        <v>652</v>
      </c>
      <c r="B7" s="124" t="s">
        <v>147</v>
      </c>
      <c r="C7" s="124">
        <v>8410</v>
      </c>
      <c r="D7" s="127" t="s">
        <v>653</v>
      </c>
      <c r="E7" s="127" t="s">
        <v>140</v>
      </c>
    </row>
    <row r="8" spans="1:6" ht="14.25" x14ac:dyDescent="0.45"/>
    <row r="9" spans="1:6" ht="14.25" x14ac:dyDescent="0.45"/>
    <row r="10" spans="1:6" ht="14.25" x14ac:dyDescent="0.45"/>
    <row r="11" spans="1:6" ht="14.25" x14ac:dyDescent="0.45"/>
    <row r="12" spans="1:6" ht="14.25" x14ac:dyDescent="0.45"/>
    <row r="13" spans="1:6" ht="14.25" x14ac:dyDescent="0.45"/>
    <row r="14" spans="1:6" ht="14.25" x14ac:dyDescent="0.45"/>
    <row r="15" spans="1:6" ht="14.25" x14ac:dyDescent="0.45"/>
    <row r="16" spans="1:6" ht="14.25" x14ac:dyDescent="0.45"/>
    <row r="17" ht="14.25" x14ac:dyDescent="0.45"/>
    <row r="18" ht="14.25" x14ac:dyDescent="0.45"/>
    <row r="19" ht="14.25" x14ac:dyDescent="0.45"/>
    <row r="20" ht="14.25" x14ac:dyDescent="0.45"/>
    <row r="21" ht="14.25" x14ac:dyDescent="0.45"/>
    <row r="22" ht="14.25" x14ac:dyDescent="0.45"/>
    <row r="23" ht="14.25" x14ac:dyDescent="0.45"/>
    <row r="24" ht="14.25" x14ac:dyDescent="0.45"/>
    <row r="25" ht="14.25" x14ac:dyDescent="0.45"/>
    <row r="26" ht="14.25" x14ac:dyDescent="0.45"/>
    <row r="27" ht="14.25" x14ac:dyDescent="0.45"/>
    <row r="28" ht="14.25" x14ac:dyDescent="0.45"/>
    <row r="29" ht="14.25" x14ac:dyDescent="0.45"/>
    <row r="30" ht="14.25" x14ac:dyDescent="0.45"/>
    <row r="31" ht="14.25" x14ac:dyDescent="0.45"/>
    <row r="32" ht="14.25" x14ac:dyDescent="0.45"/>
    <row r="33" ht="14.25" x14ac:dyDescent="0.45"/>
    <row r="34" ht="14.25" x14ac:dyDescent="0.45"/>
    <row r="35" ht="14.25" x14ac:dyDescent="0.45"/>
    <row r="36" ht="14.25" x14ac:dyDescent="0.45"/>
    <row r="37" ht="14.25" x14ac:dyDescent="0.45"/>
    <row r="38" ht="14.25" x14ac:dyDescent="0.45"/>
    <row r="39" ht="14.25" x14ac:dyDescent="0.45"/>
    <row r="40" ht="14.25" x14ac:dyDescent="0.45"/>
    <row r="41" ht="14.25" x14ac:dyDescent="0.45"/>
    <row r="42" ht="14.25" x14ac:dyDescent="0.45"/>
    <row r="43" ht="14.25" x14ac:dyDescent="0.45"/>
    <row r="44" ht="14.25" x14ac:dyDescent="0.45"/>
    <row r="45" ht="14.25" x14ac:dyDescent="0.45"/>
    <row r="46" ht="14.25" x14ac:dyDescent="0.45"/>
    <row r="47" ht="14.25" x14ac:dyDescent="0.45"/>
    <row r="48" ht="14.25" x14ac:dyDescent="0.45"/>
    <row r="49" ht="14.25" x14ac:dyDescent="0.45"/>
    <row r="50" ht="14.25" x14ac:dyDescent="0.45"/>
    <row r="51" ht="14.25" x14ac:dyDescent="0.45"/>
    <row r="52" ht="14.25" x14ac:dyDescent="0.45"/>
    <row r="53" ht="14.25" x14ac:dyDescent="0.45"/>
    <row r="54" ht="14.25" x14ac:dyDescent="0.45"/>
    <row r="55" ht="14.25" x14ac:dyDescent="0.45"/>
    <row r="56" ht="14.25" x14ac:dyDescent="0.45"/>
    <row r="57" ht="14.25" x14ac:dyDescent="0.45"/>
    <row r="58" ht="14.25" x14ac:dyDescent="0.45"/>
    <row r="59" ht="14.25" x14ac:dyDescent="0.45"/>
    <row r="60" ht="14.25" x14ac:dyDescent="0.45"/>
    <row r="61" ht="14.25" x14ac:dyDescent="0.45"/>
    <row r="62" ht="14.25" x14ac:dyDescent="0.45"/>
    <row r="63" ht="14.25" x14ac:dyDescent="0.45"/>
    <row r="64" ht="14.25" x14ac:dyDescent="0.45"/>
    <row r="65" ht="14.25" x14ac:dyDescent="0.45"/>
    <row r="66" ht="14.25" x14ac:dyDescent="0.45"/>
    <row r="67" ht="14.25" x14ac:dyDescent="0.45"/>
    <row r="68" ht="14.25" x14ac:dyDescent="0.45"/>
    <row r="69" ht="14.25" x14ac:dyDescent="0.45"/>
    <row r="70" ht="14.25" x14ac:dyDescent="0.45"/>
    <row r="71" ht="14.25" x14ac:dyDescent="0.45"/>
    <row r="72" ht="14.25" x14ac:dyDescent="0.45"/>
    <row r="73" ht="14.25" x14ac:dyDescent="0.45"/>
    <row r="74" ht="14.25" x14ac:dyDescent="0.45"/>
    <row r="75" ht="14.25" x14ac:dyDescent="0.45"/>
    <row r="76" ht="14.25" x14ac:dyDescent="0.45"/>
    <row r="77" ht="14.25" x14ac:dyDescent="0.45"/>
    <row r="78" ht="14.25" x14ac:dyDescent="0.45"/>
    <row r="79" ht="14.25" x14ac:dyDescent="0.45"/>
    <row r="80" ht="14.25" x14ac:dyDescent="0.45"/>
    <row r="81" ht="14.25" x14ac:dyDescent="0.45"/>
    <row r="82" ht="14.25" x14ac:dyDescent="0.45"/>
    <row r="83" ht="14.25" x14ac:dyDescent="0.45"/>
    <row r="84" ht="14.25" x14ac:dyDescent="0.45"/>
    <row r="85" ht="14.25" x14ac:dyDescent="0.45"/>
    <row r="86" ht="14.25" x14ac:dyDescent="0.45"/>
    <row r="87" ht="14.25" x14ac:dyDescent="0.45"/>
    <row r="88" ht="14.25" x14ac:dyDescent="0.45"/>
    <row r="89" ht="14.25" x14ac:dyDescent="0.45"/>
    <row r="90" ht="14.25" x14ac:dyDescent="0.45"/>
  </sheetData>
  <mergeCells count="2">
    <mergeCell ref="A1:E1"/>
    <mergeCell ref="A3:A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B65D-B6FF-4161-B949-4458E91BBA13}">
  <dimension ref="A1:F67"/>
  <sheetViews>
    <sheetView showGridLines="0" zoomScale="87" zoomScaleNormal="87" workbookViewId="0">
      <selection activeCell="G17" sqref="G17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41" customWidth="1"/>
    <col min="5" max="5" width="19.6640625" customWidth="1"/>
    <col min="6" max="6" width="17.46484375" customWidth="1"/>
  </cols>
  <sheetData>
    <row r="1" spans="1:5" ht="29" customHeight="1" x14ac:dyDescent="0.85">
      <c r="A1" s="218" t="s">
        <v>76</v>
      </c>
      <c r="B1" s="218"/>
      <c r="C1" s="218"/>
      <c r="D1" s="218"/>
      <c r="E1" s="218"/>
    </row>
    <row r="2" spans="1:5" ht="14.25" x14ac:dyDescent="0.45">
      <c r="A2" s="114" t="s">
        <v>133</v>
      </c>
      <c r="B2" s="114" t="s">
        <v>134</v>
      </c>
      <c r="C2" s="114" t="s">
        <v>135</v>
      </c>
      <c r="D2" s="114" t="s">
        <v>136</v>
      </c>
      <c r="E2" s="114" t="s">
        <v>137</v>
      </c>
    </row>
    <row r="3" spans="1:5" ht="14.25" x14ac:dyDescent="0.45">
      <c r="A3" s="216" t="s">
        <v>78</v>
      </c>
      <c r="B3" s="124" t="s">
        <v>141</v>
      </c>
      <c r="C3" s="124">
        <v>3050208001</v>
      </c>
      <c r="D3" s="127" t="s">
        <v>654</v>
      </c>
      <c r="E3" s="127" t="s">
        <v>140</v>
      </c>
    </row>
    <row r="4" spans="1:5" ht="14.25" x14ac:dyDescent="0.45">
      <c r="A4" s="217"/>
      <c r="B4" s="124" t="s">
        <v>141</v>
      </c>
      <c r="C4" s="124">
        <v>3130799001</v>
      </c>
      <c r="D4" s="127" t="s">
        <v>654</v>
      </c>
      <c r="E4" s="127" t="s">
        <v>140</v>
      </c>
    </row>
    <row r="5" spans="1:5" ht="28.5" x14ac:dyDescent="0.45">
      <c r="A5" s="123" t="s">
        <v>488</v>
      </c>
      <c r="B5" s="124" t="s">
        <v>138</v>
      </c>
      <c r="C5" s="162" t="s">
        <v>655</v>
      </c>
      <c r="D5" s="165" t="s">
        <v>656</v>
      </c>
      <c r="E5" s="127" t="s">
        <v>140</v>
      </c>
    </row>
    <row r="6" spans="1:5" ht="28.5" x14ac:dyDescent="0.45">
      <c r="A6" s="123" t="s">
        <v>77</v>
      </c>
      <c r="B6" s="124" t="s">
        <v>147</v>
      </c>
      <c r="C6" s="124">
        <v>2233</v>
      </c>
      <c r="D6" s="165" t="s">
        <v>656</v>
      </c>
      <c r="E6" s="127" t="s">
        <v>140</v>
      </c>
    </row>
    <row r="7" spans="1:5" ht="14.25" x14ac:dyDescent="0.45">
      <c r="A7" s="227" t="s">
        <v>79</v>
      </c>
      <c r="B7" s="124" t="s">
        <v>326</v>
      </c>
      <c r="C7" s="124">
        <v>200593</v>
      </c>
      <c r="D7" s="127" t="s">
        <v>657</v>
      </c>
      <c r="E7" s="127" t="s">
        <v>140</v>
      </c>
    </row>
    <row r="8" spans="1:5" ht="14.25" x14ac:dyDescent="0.45">
      <c r="A8" s="228"/>
      <c r="B8" s="124" t="s">
        <v>326</v>
      </c>
      <c r="C8" s="124">
        <v>201027</v>
      </c>
      <c r="D8" s="127" t="s">
        <v>658</v>
      </c>
      <c r="E8" s="127" t="s">
        <v>140</v>
      </c>
    </row>
    <row r="9" spans="1:5" ht="14.25" x14ac:dyDescent="0.45">
      <c r="A9" s="228"/>
      <c r="B9" s="124" t="s">
        <v>326</v>
      </c>
      <c r="C9" s="124">
        <v>201054</v>
      </c>
      <c r="D9" s="127" t="s">
        <v>659</v>
      </c>
      <c r="E9" s="127" t="s">
        <v>140</v>
      </c>
    </row>
    <row r="10" spans="1:5" ht="14.25" x14ac:dyDescent="0.45">
      <c r="A10" s="229"/>
      <c r="B10" s="124"/>
      <c r="C10" s="124"/>
      <c r="D10" s="127"/>
      <c r="E10" s="127"/>
    </row>
    <row r="11" spans="1:5" ht="14.25" x14ac:dyDescent="0.45">
      <c r="A11" s="222" t="s">
        <v>660</v>
      </c>
      <c r="B11" s="124" t="s">
        <v>326</v>
      </c>
      <c r="C11" s="124">
        <v>201491</v>
      </c>
      <c r="D11" s="127" t="s">
        <v>661</v>
      </c>
      <c r="E11" s="127"/>
    </row>
    <row r="12" spans="1:5" ht="14.25" x14ac:dyDescent="0.45">
      <c r="A12" s="223"/>
      <c r="B12" s="181" t="s">
        <v>326</v>
      </c>
      <c r="C12" s="124" t="s">
        <v>496</v>
      </c>
      <c r="D12" s="127" t="s">
        <v>661</v>
      </c>
      <c r="E12" s="127"/>
    </row>
    <row r="13" spans="1:5" ht="14.45" customHeight="1" x14ac:dyDescent="0.45">
      <c r="A13" s="224" t="s">
        <v>662</v>
      </c>
      <c r="B13" s="181" t="s">
        <v>326</v>
      </c>
      <c r="C13" s="124">
        <v>200625</v>
      </c>
      <c r="D13" s="127" t="s">
        <v>663</v>
      </c>
      <c r="E13" s="127" t="s">
        <v>152</v>
      </c>
    </row>
    <row r="14" spans="1:5" ht="14.45" customHeight="1" x14ac:dyDescent="0.45">
      <c r="A14" s="225"/>
      <c r="B14" s="181" t="s">
        <v>326</v>
      </c>
      <c r="C14" s="124">
        <v>200660</v>
      </c>
      <c r="D14" s="127" t="s">
        <v>664</v>
      </c>
      <c r="E14" s="127" t="s">
        <v>152</v>
      </c>
    </row>
    <row r="15" spans="1:5" ht="14.45" customHeight="1" x14ac:dyDescent="0.45">
      <c r="A15" s="225"/>
      <c r="B15" s="181" t="s">
        <v>326</v>
      </c>
      <c r="C15" s="124">
        <v>200592</v>
      </c>
      <c r="D15" s="127" t="s">
        <v>665</v>
      </c>
      <c r="E15" s="127" t="s">
        <v>152</v>
      </c>
    </row>
    <row r="16" spans="1:5" ht="14.45" customHeight="1" x14ac:dyDescent="0.45">
      <c r="A16" s="225"/>
      <c r="B16" s="181" t="s">
        <v>326</v>
      </c>
      <c r="C16" s="124">
        <v>200599</v>
      </c>
      <c r="D16" s="127" t="s">
        <v>666</v>
      </c>
      <c r="E16" s="127" t="s">
        <v>152</v>
      </c>
    </row>
    <row r="17" spans="1:6" ht="14.45" customHeight="1" x14ac:dyDescent="0.45">
      <c r="A17" s="225"/>
      <c r="B17" s="181" t="s">
        <v>326</v>
      </c>
      <c r="C17" s="124">
        <v>200607</v>
      </c>
      <c r="D17" s="127" t="s">
        <v>667</v>
      </c>
      <c r="E17" s="127" t="s">
        <v>152</v>
      </c>
    </row>
    <row r="18" spans="1:6" ht="14.45" customHeight="1" x14ac:dyDescent="0.45">
      <c r="A18" s="225"/>
      <c r="B18" s="181" t="s">
        <v>326</v>
      </c>
      <c r="C18" s="124">
        <v>200614</v>
      </c>
      <c r="D18" s="127" t="s">
        <v>668</v>
      </c>
      <c r="E18" s="127" t="s">
        <v>152</v>
      </c>
    </row>
    <row r="19" spans="1:6" ht="14.45" customHeight="1" x14ac:dyDescent="0.45">
      <c r="A19" s="225"/>
      <c r="B19" s="181" t="s">
        <v>326</v>
      </c>
      <c r="C19" s="124">
        <v>200615</v>
      </c>
      <c r="D19" s="127" t="s">
        <v>669</v>
      </c>
      <c r="E19" s="127" t="s">
        <v>152</v>
      </c>
    </row>
    <row r="20" spans="1:6" ht="14.45" customHeight="1" x14ac:dyDescent="0.45">
      <c r="A20" s="225"/>
      <c r="B20" s="181" t="s">
        <v>326</v>
      </c>
      <c r="C20" s="124">
        <v>200633</v>
      </c>
      <c r="D20" s="127" t="s">
        <v>670</v>
      </c>
      <c r="E20" s="127" t="s">
        <v>152</v>
      </c>
    </row>
    <row r="21" spans="1:6" ht="14.45" customHeight="1" x14ac:dyDescent="0.45">
      <c r="A21" s="225"/>
      <c r="B21" s="181" t="s">
        <v>326</v>
      </c>
      <c r="C21" s="124">
        <v>200634</v>
      </c>
      <c r="D21" s="127" t="s">
        <v>671</v>
      </c>
      <c r="E21" s="127" t="s">
        <v>152</v>
      </c>
    </row>
    <row r="22" spans="1:6" ht="14.45" customHeight="1" x14ac:dyDescent="0.45">
      <c r="A22" s="225"/>
      <c r="B22" s="181" t="s">
        <v>326</v>
      </c>
      <c r="C22" s="124">
        <v>200646</v>
      </c>
      <c r="D22" s="127" t="s">
        <v>672</v>
      </c>
      <c r="E22" s="127" t="s">
        <v>152</v>
      </c>
    </row>
    <row r="23" spans="1:6" ht="14.45" customHeight="1" x14ac:dyDescent="0.45">
      <c r="A23" s="225"/>
      <c r="B23" s="181" t="s">
        <v>326</v>
      </c>
      <c r="C23" s="124">
        <v>200764</v>
      </c>
      <c r="D23" s="127" t="s">
        <v>673</v>
      </c>
      <c r="E23" s="127" t="s">
        <v>152</v>
      </c>
    </row>
    <row r="24" spans="1:6" ht="14.45" customHeight="1" x14ac:dyDescent="0.45">
      <c r="A24" s="225"/>
      <c r="B24" s="181" t="s">
        <v>326</v>
      </c>
      <c r="C24" s="124">
        <v>201308</v>
      </c>
      <c r="D24" s="127" t="s">
        <v>674</v>
      </c>
      <c r="E24" s="127" t="s">
        <v>152</v>
      </c>
    </row>
    <row r="25" spans="1:6" ht="14.45" customHeight="1" x14ac:dyDescent="0.45">
      <c r="A25" s="225"/>
      <c r="B25" s="181" t="s">
        <v>326</v>
      </c>
      <c r="C25" s="124">
        <v>201338</v>
      </c>
      <c r="D25" s="127" t="s">
        <v>675</v>
      </c>
      <c r="E25" s="127" t="s">
        <v>152</v>
      </c>
    </row>
    <row r="26" spans="1:6" ht="14.45" customHeight="1" x14ac:dyDescent="0.45">
      <c r="A26" s="225"/>
      <c r="B26" s="181" t="s">
        <v>326</v>
      </c>
      <c r="C26" s="124">
        <v>201558</v>
      </c>
      <c r="D26" s="127" t="s">
        <v>676</v>
      </c>
      <c r="E26" s="127" t="s">
        <v>152</v>
      </c>
    </row>
    <row r="27" spans="1:6" ht="14.45" customHeight="1" x14ac:dyDescent="0.45">
      <c r="A27" s="226"/>
      <c r="B27" s="181" t="s">
        <v>326</v>
      </c>
      <c r="C27" s="124">
        <v>201566</v>
      </c>
      <c r="D27" s="127" t="s">
        <v>677</v>
      </c>
      <c r="E27" s="127" t="s">
        <v>152</v>
      </c>
    </row>
    <row r="28" spans="1:6" ht="14.25" x14ac:dyDescent="0.45"/>
    <row r="29" spans="1:6" ht="14.25" x14ac:dyDescent="0.45"/>
    <row r="30" spans="1:6" ht="14.25" x14ac:dyDescent="0.45">
      <c r="A30" t="s">
        <v>678</v>
      </c>
      <c r="B30" s="133" t="s">
        <v>326</v>
      </c>
      <c r="C30" s="179">
        <v>200600</v>
      </c>
      <c r="D30" s="138" t="s">
        <v>679</v>
      </c>
      <c r="E30" s="138" t="s">
        <v>140</v>
      </c>
      <c r="F30" s="27" t="s">
        <v>255</v>
      </c>
    </row>
    <row r="31" spans="1:6" ht="14.25" x14ac:dyDescent="0.45">
      <c r="B31" s="133" t="s">
        <v>326</v>
      </c>
      <c r="C31" s="133">
        <v>200613</v>
      </c>
      <c r="D31" s="138" t="s">
        <v>680</v>
      </c>
      <c r="E31" s="138" t="s">
        <v>152</v>
      </c>
      <c r="F31" s="27" t="s">
        <v>255</v>
      </c>
    </row>
    <row r="32" spans="1:6" ht="14.25" x14ac:dyDescent="0.45">
      <c r="B32" s="133" t="s">
        <v>326</v>
      </c>
      <c r="C32" s="133">
        <v>200689</v>
      </c>
      <c r="D32" s="138" t="s">
        <v>681</v>
      </c>
      <c r="E32" s="138" t="s">
        <v>152</v>
      </c>
      <c r="F32" s="27" t="s">
        <v>255</v>
      </c>
    </row>
    <row r="33" spans="2:6" ht="14.25" x14ac:dyDescent="0.45">
      <c r="B33" s="133" t="s">
        <v>326</v>
      </c>
      <c r="C33" s="133">
        <v>200649</v>
      </c>
      <c r="D33" s="138" t="s">
        <v>682</v>
      </c>
      <c r="E33" s="138" t="s">
        <v>152</v>
      </c>
      <c r="F33" s="27" t="s">
        <v>255</v>
      </c>
    </row>
    <row r="34" spans="2:6" ht="14.25" x14ac:dyDescent="0.45">
      <c r="B34" s="133" t="s">
        <v>326</v>
      </c>
      <c r="C34" s="133">
        <v>200657</v>
      </c>
      <c r="D34" s="138" t="s">
        <v>683</v>
      </c>
      <c r="E34" s="138" t="s">
        <v>152</v>
      </c>
      <c r="F34" s="27" t="s">
        <v>255</v>
      </c>
    </row>
    <row r="35" spans="2:6" ht="14.25" x14ac:dyDescent="0.45">
      <c r="B35" s="133" t="s">
        <v>326</v>
      </c>
      <c r="C35" s="133">
        <v>200610</v>
      </c>
      <c r="D35" s="138" t="s">
        <v>684</v>
      </c>
      <c r="E35" s="138" t="s">
        <v>152</v>
      </c>
      <c r="F35" s="27" t="s">
        <v>255</v>
      </c>
    </row>
    <row r="36" spans="2:6" ht="14.25" x14ac:dyDescent="0.45">
      <c r="B36" s="133" t="s">
        <v>326</v>
      </c>
      <c r="C36" s="133">
        <v>200617</v>
      </c>
      <c r="D36" s="138" t="s">
        <v>685</v>
      </c>
      <c r="E36" s="138" t="s">
        <v>152</v>
      </c>
      <c r="F36" s="27" t="s">
        <v>255</v>
      </c>
    </row>
    <row r="37" spans="2:6" ht="14.25" x14ac:dyDescent="0.45">
      <c r="B37" s="133" t="s">
        <v>326</v>
      </c>
      <c r="C37" s="133">
        <v>200622</v>
      </c>
      <c r="D37" s="138" t="s">
        <v>686</v>
      </c>
      <c r="E37" s="138" t="s">
        <v>152</v>
      </c>
      <c r="F37" s="27" t="s">
        <v>255</v>
      </c>
    </row>
    <row r="38" spans="2:6" ht="14.25" x14ac:dyDescent="0.45">
      <c r="B38" s="133" t="s">
        <v>326</v>
      </c>
      <c r="C38" s="133">
        <v>201348</v>
      </c>
      <c r="D38" s="138" t="s">
        <v>687</v>
      </c>
      <c r="E38" s="138" t="s">
        <v>152</v>
      </c>
      <c r="F38" s="27" t="s">
        <v>255</v>
      </c>
    </row>
    <row r="39" spans="2:6" ht="14.25" x14ac:dyDescent="0.45">
      <c r="B39" s="133" t="s">
        <v>326</v>
      </c>
      <c r="C39" s="133">
        <v>201575</v>
      </c>
      <c r="D39" s="138" t="s">
        <v>688</v>
      </c>
      <c r="E39" s="138" t="s">
        <v>152</v>
      </c>
      <c r="F39" s="27" t="s">
        <v>255</v>
      </c>
    </row>
    <row r="40" spans="2:6" ht="14.25" x14ac:dyDescent="0.45">
      <c r="B40" s="29"/>
      <c r="C40" s="29"/>
      <c r="D40" s="27"/>
      <c r="E40" s="27"/>
      <c r="F40" s="27"/>
    </row>
    <row r="41" spans="2:6" ht="14.25" x14ac:dyDescent="0.45">
      <c r="B41" s="133" t="s">
        <v>326</v>
      </c>
      <c r="C41" s="133">
        <v>201116</v>
      </c>
      <c r="D41" s="138" t="s">
        <v>689</v>
      </c>
      <c r="E41" s="138" t="s">
        <v>152</v>
      </c>
      <c r="F41" s="27" t="s">
        <v>255</v>
      </c>
    </row>
    <row r="42" spans="2:6" ht="14.25" x14ac:dyDescent="0.45">
      <c r="B42" s="133" t="s">
        <v>326</v>
      </c>
      <c r="C42" s="133">
        <v>201011</v>
      </c>
      <c r="D42" s="138" t="s">
        <v>690</v>
      </c>
      <c r="E42" s="138" t="s">
        <v>152</v>
      </c>
      <c r="F42" s="27" t="s">
        <v>255</v>
      </c>
    </row>
    <row r="43" spans="2:6" ht="14.25" x14ac:dyDescent="0.45">
      <c r="B43" s="133" t="s">
        <v>326</v>
      </c>
      <c r="C43" s="133">
        <v>200619</v>
      </c>
      <c r="D43" s="138" t="s">
        <v>691</v>
      </c>
      <c r="E43" s="138" t="s">
        <v>152</v>
      </c>
      <c r="F43" s="27" t="s">
        <v>255</v>
      </c>
    </row>
    <row r="44" spans="2:6" ht="14.25" x14ac:dyDescent="0.45">
      <c r="B44" s="133" t="s">
        <v>326</v>
      </c>
      <c r="C44" s="133">
        <v>200620</v>
      </c>
      <c r="D44" s="138" t="s">
        <v>692</v>
      </c>
      <c r="E44" s="138" t="s">
        <v>152</v>
      </c>
      <c r="F44" s="27" t="s">
        <v>255</v>
      </c>
    </row>
    <row r="45" spans="2:6" ht="14.25" x14ac:dyDescent="0.45">
      <c r="B45" s="133" t="s">
        <v>326</v>
      </c>
      <c r="C45" s="133">
        <v>201297</v>
      </c>
      <c r="D45" s="138" t="s">
        <v>693</v>
      </c>
      <c r="E45" s="138" t="s">
        <v>152</v>
      </c>
      <c r="F45" s="27" t="s">
        <v>255</v>
      </c>
    </row>
    <row r="46" spans="2:6" ht="14.25" x14ac:dyDescent="0.45">
      <c r="B46" s="133" t="s">
        <v>326</v>
      </c>
      <c r="C46" s="133">
        <v>200629</v>
      </c>
      <c r="D46" s="138" t="s">
        <v>694</v>
      </c>
      <c r="E46" s="138" t="s">
        <v>152</v>
      </c>
      <c r="F46" s="27" t="s">
        <v>255</v>
      </c>
    </row>
    <row r="47" spans="2:6" ht="14.25" x14ac:dyDescent="0.45">
      <c r="B47" s="133" t="s">
        <v>326</v>
      </c>
      <c r="C47" s="133">
        <v>201356</v>
      </c>
      <c r="D47" s="138" t="s">
        <v>695</v>
      </c>
      <c r="E47" s="138" t="s">
        <v>152</v>
      </c>
      <c r="F47" s="27" t="s">
        <v>255</v>
      </c>
    </row>
    <row r="48" spans="2:6" ht="14.25" x14ac:dyDescent="0.45">
      <c r="B48" s="133" t="s">
        <v>326</v>
      </c>
      <c r="C48" s="133">
        <v>200650</v>
      </c>
      <c r="D48" s="138" t="s">
        <v>696</v>
      </c>
      <c r="E48" s="138" t="s">
        <v>152</v>
      </c>
      <c r="F48" s="27" t="s">
        <v>255</v>
      </c>
    </row>
    <row r="49" spans="2:6" ht="14.25" x14ac:dyDescent="0.45">
      <c r="B49" s="133" t="s">
        <v>326</v>
      </c>
      <c r="C49" s="133">
        <v>200658</v>
      </c>
      <c r="D49" s="138" t="s">
        <v>697</v>
      </c>
      <c r="E49" s="138" t="s">
        <v>152</v>
      </c>
      <c r="F49" s="27" t="s">
        <v>255</v>
      </c>
    </row>
    <row r="50" spans="2:6" ht="14.25" x14ac:dyDescent="0.45">
      <c r="B50" s="133" t="s">
        <v>326</v>
      </c>
      <c r="C50" s="182">
        <v>200604</v>
      </c>
      <c r="D50" s="138" t="s">
        <v>698</v>
      </c>
      <c r="E50" s="138" t="s">
        <v>152</v>
      </c>
      <c r="F50" s="27" t="s">
        <v>255</v>
      </c>
    </row>
    <row r="51" spans="2:6" ht="14.25" x14ac:dyDescent="0.45">
      <c r="B51" s="133" t="s">
        <v>326</v>
      </c>
      <c r="C51" s="133">
        <v>200636</v>
      </c>
      <c r="D51" s="138" t="s">
        <v>699</v>
      </c>
      <c r="E51" s="138" t="s">
        <v>152</v>
      </c>
      <c r="F51" s="27" t="s">
        <v>255</v>
      </c>
    </row>
    <row r="52" spans="2:6" ht="14.25" x14ac:dyDescent="0.45">
      <c r="B52" s="133" t="s">
        <v>326</v>
      </c>
      <c r="C52" s="133">
        <v>200776</v>
      </c>
      <c r="D52" s="138" t="s">
        <v>700</v>
      </c>
      <c r="E52" s="138" t="s">
        <v>152</v>
      </c>
      <c r="F52" s="27" t="s">
        <v>255</v>
      </c>
    </row>
    <row r="53" spans="2:6" ht="14.25" x14ac:dyDescent="0.45">
      <c r="B53" s="133" t="s">
        <v>326</v>
      </c>
      <c r="C53" s="133">
        <v>200990</v>
      </c>
      <c r="D53" s="138" t="s">
        <v>701</v>
      </c>
      <c r="E53" s="138" t="s">
        <v>152</v>
      </c>
      <c r="F53" s="27" t="s">
        <v>255</v>
      </c>
    </row>
    <row r="54" spans="2:6" ht="14.25" x14ac:dyDescent="0.45"/>
    <row r="55" spans="2:6" ht="14.25" x14ac:dyDescent="0.45"/>
    <row r="56" spans="2:6" ht="14.25" x14ac:dyDescent="0.45"/>
    <row r="57" spans="2:6" ht="14.25" x14ac:dyDescent="0.45"/>
    <row r="58" spans="2:6" ht="14.25" x14ac:dyDescent="0.45"/>
    <row r="59" spans="2:6" ht="14.25" x14ac:dyDescent="0.45"/>
    <row r="60" spans="2:6" ht="14.25" x14ac:dyDescent="0.45"/>
    <row r="61" spans="2:6" ht="14.25" x14ac:dyDescent="0.45"/>
    <row r="62" spans="2:6" ht="14.25" x14ac:dyDescent="0.45"/>
    <row r="63" spans="2:6" ht="14.25" x14ac:dyDescent="0.45"/>
    <row r="64" spans="2:6" ht="14.25" x14ac:dyDescent="0.45"/>
    <row r="65" ht="14.25" x14ac:dyDescent="0.45"/>
    <row r="66" ht="14.25" x14ac:dyDescent="0.45"/>
    <row r="67" ht="14.25" x14ac:dyDescent="0.45"/>
  </sheetData>
  <mergeCells count="5">
    <mergeCell ref="A11:A12"/>
    <mergeCell ref="A13:A27"/>
    <mergeCell ref="A1:E1"/>
    <mergeCell ref="A3:A4"/>
    <mergeCell ref="A7:A1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591C4-38A8-4C02-B1E3-008E756808EA}">
  <dimension ref="A1:E10"/>
  <sheetViews>
    <sheetView zoomScale="87" zoomScaleNormal="87" workbookViewId="0">
      <selection activeCell="F13" sqref="F13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33.6640625" customWidth="1"/>
    <col min="5" max="5" width="19.6640625" customWidth="1"/>
  </cols>
  <sheetData>
    <row r="1" spans="1:5" ht="28.5" x14ac:dyDescent="0.85">
      <c r="A1" s="218" t="s">
        <v>80</v>
      </c>
      <c r="B1" s="218"/>
      <c r="C1" s="218"/>
      <c r="D1" s="218"/>
      <c r="E1" s="218"/>
    </row>
    <row r="2" spans="1:5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ht="14.25" x14ac:dyDescent="0.45">
      <c r="A3" s="2" t="s">
        <v>28</v>
      </c>
      <c r="B3" s="1" t="s">
        <v>141</v>
      </c>
      <c r="C3" s="13">
        <v>1916876020</v>
      </c>
      <c r="D3" s="4" t="s">
        <v>702</v>
      </c>
      <c r="E3" s="34" t="s">
        <v>152</v>
      </c>
    </row>
    <row r="4" spans="1:5" ht="14.25" x14ac:dyDescent="0.45">
      <c r="A4" s="2" t="s">
        <v>28</v>
      </c>
      <c r="B4" s="1" t="s">
        <v>141</v>
      </c>
      <c r="C4" s="1">
        <v>1187406382</v>
      </c>
      <c r="D4" t="s">
        <v>703</v>
      </c>
      <c r="E4" s="34" t="s">
        <v>152</v>
      </c>
    </row>
    <row r="5" spans="1:5" ht="14.25" x14ac:dyDescent="0.45">
      <c r="A5" s="2"/>
      <c r="E5" s="34"/>
    </row>
    <row r="6" spans="1:5" ht="14.25" x14ac:dyDescent="0.45">
      <c r="A6" s="2" t="s">
        <v>37</v>
      </c>
      <c r="B6" s="1" t="s">
        <v>145</v>
      </c>
      <c r="C6" s="1" t="s">
        <v>704</v>
      </c>
      <c r="D6" s="3" t="s">
        <v>705</v>
      </c>
      <c r="E6" s="34" t="s">
        <v>152</v>
      </c>
    </row>
    <row r="7" spans="1:5" ht="14.25" x14ac:dyDescent="0.45">
      <c r="A7" s="2"/>
    </row>
    <row r="8" spans="1:5" ht="14.25" x14ac:dyDescent="0.45">
      <c r="A8" s="2"/>
      <c r="C8" s="6"/>
    </row>
    <row r="9" spans="1:5" ht="14.25" x14ac:dyDescent="0.45">
      <c r="A9" s="2"/>
    </row>
    <row r="10" spans="1:5" ht="14.25" x14ac:dyDescent="0.45">
      <c r="A10" s="2"/>
    </row>
  </sheetData>
  <mergeCells count="1">
    <mergeCell ref="A1:E1"/>
  </mergeCells>
  <phoneticPr fontId="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477F5-3BF3-43E3-88C2-8102EFDF82CC}">
  <dimension ref="A1:E92"/>
  <sheetViews>
    <sheetView showGridLines="0" zoomScale="87" zoomScaleNormal="87" workbookViewId="0">
      <selection activeCell="E14" sqref="E14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33.6640625" customWidth="1"/>
    <col min="5" max="5" width="19.6640625" customWidth="1"/>
  </cols>
  <sheetData>
    <row r="1" spans="1:5" ht="28.5" x14ac:dyDescent="0.85">
      <c r="A1" s="218" t="s">
        <v>81</v>
      </c>
      <c r="B1" s="218"/>
      <c r="C1" s="218"/>
      <c r="D1" s="218"/>
      <c r="E1" s="218"/>
    </row>
    <row r="2" spans="1:5" ht="14.25" x14ac:dyDescent="0.45">
      <c r="A2" s="114" t="s">
        <v>133</v>
      </c>
      <c r="B2" s="114" t="s">
        <v>134</v>
      </c>
      <c r="C2" s="114" t="s">
        <v>135</v>
      </c>
      <c r="D2" s="114" t="s">
        <v>136</v>
      </c>
      <c r="E2" s="114" t="s">
        <v>137</v>
      </c>
    </row>
    <row r="3" spans="1:5" ht="14.25" x14ac:dyDescent="0.45">
      <c r="A3" s="123" t="s">
        <v>83</v>
      </c>
      <c r="B3" s="124" t="s">
        <v>138</v>
      </c>
      <c r="C3" s="124" t="s">
        <v>706</v>
      </c>
      <c r="D3" s="127" t="s">
        <v>707</v>
      </c>
      <c r="E3" s="127" t="s">
        <v>140</v>
      </c>
    </row>
    <row r="4" spans="1:5" ht="14.25" x14ac:dyDescent="0.45">
      <c r="A4" s="230" t="s">
        <v>82</v>
      </c>
      <c r="B4" s="124" t="s">
        <v>205</v>
      </c>
      <c r="C4" s="124">
        <v>992</v>
      </c>
      <c r="D4" s="127" t="s">
        <v>708</v>
      </c>
      <c r="E4" s="127" t="s">
        <v>140</v>
      </c>
    </row>
    <row r="5" spans="1:5" ht="14.45" customHeight="1" x14ac:dyDescent="0.45">
      <c r="A5" s="231"/>
      <c r="B5" s="124" t="s">
        <v>205</v>
      </c>
      <c r="C5" s="124">
        <v>1466</v>
      </c>
      <c r="D5" s="127" t="s">
        <v>708</v>
      </c>
      <c r="E5" s="127" t="s">
        <v>140</v>
      </c>
    </row>
    <row r="6" spans="1:5" ht="14.45" customHeight="1" x14ac:dyDescent="0.45">
      <c r="A6" s="232"/>
      <c r="B6" s="124" t="s">
        <v>138</v>
      </c>
      <c r="C6" s="124">
        <v>107016</v>
      </c>
      <c r="D6" s="127" t="s">
        <v>709</v>
      </c>
      <c r="E6" s="127" t="s">
        <v>140</v>
      </c>
    </row>
    <row r="7" spans="1:5" ht="14.25" x14ac:dyDescent="0.45">
      <c r="A7" s="2"/>
      <c r="C7" s="6"/>
    </row>
    <row r="8" spans="1:5" ht="14.25" x14ac:dyDescent="0.45">
      <c r="A8" s="2"/>
    </row>
    <row r="9" spans="1:5" ht="14.25" x14ac:dyDescent="0.45">
      <c r="A9" s="2"/>
    </row>
    <row r="10" spans="1:5" ht="14.25" x14ac:dyDescent="0.45"/>
    <row r="11" spans="1:5" ht="14.25" x14ac:dyDescent="0.45"/>
    <row r="12" spans="1:5" ht="14.25" x14ac:dyDescent="0.45"/>
    <row r="13" spans="1:5" ht="14.25" x14ac:dyDescent="0.45"/>
    <row r="14" spans="1:5" ht="14.25" x14ac:dyDescent="0.45"/>
    <row r="15" spans="1:5" ht="14.25" x14ac:dyDescent="0.45"/>
    <row r="16" spans="1:5" ht="14.25" x14ac:dyDescent="0.45"/>
    <row r="17" ht="14.25" x14ac:dyDescent="0.45"/>
    <row r="18" ht="14.25" x14ac:dyDescent="0.45"/>
    <row r="19" ht="14.25" x14ac:dyDescent="0.45"/>
    <row r="20" ht="14.25" x14ac:dyDescent="0.45"/>
    <row r="21" ht="14.25" x14ac:dyDescent="0.45"/>
    <row r="22" ht="14.25" x14ac:dyDescent="0.45"/>
    <row r="23" ht="14.25" x14ac:dyDescent="0.45"/>
    <row r="24" ht="14.25" x14ac:dyDescent="0.45"/>
    <row r="25" ht="14.25" x14ac:dyDescent="0.45"/>
    <row r="26" ht="14.25" x14ac:dyDescent="0.45"/>
    <row r="27" ht="14.25" x14ac:dyDescent="0.45"/>
    <row r="28" ht="14.25" x14ac:dyDescent="0.45"/>
    <row r="29" ht="14.25" x14ac:dyDescent="0.45"/>
    <row r="30" ht="14.25" x14ac:dyDescent="0.45"/>
    <row r="31" ht="14.25" x14ac:dyDescent="0.45"/>
    <row r="32" ht="14.25" x14ac:dyDescent="0.45"/>
    <row r="33" ht="14.25" x14ac:dyDescent="0.45"/>
    <row r="34" ht="14.25" x14ac:dyDescent="0.45"/>
    <row r="35" ht="14.25" x14ac:dyDescent="0.45"/>
    <row r="36" ht="14.25" x14ac:dyDescent="0.45"/>
    <row r="37" ht="14.25" x14ac:dyDescent="0.45"/>
    <row r="38" ht="14.25" x14ac:dyDescent="0.45"/>
    <row r="39" ht="14.25" x14ac:dyDescent="0.45"/>
    <row r="40" ht="14.25" x14ac:dyDescent="0.45"/>
    <row r="41" ht="14.25" x14ac:dyDescent="0.45"/>
    <row r="42" ht="14.25" x14ac:dyDescent="0.45"/>
    <row r="43" ht="14.25" x14ac:dyDescent="0.45"/>
    <row r="44" ht="14.25" x14ac:dyDescent="0.45"/>
    <row r="45" ht="14.25" x14ac:dyDescent="0.45"/>
    <row r="46" ht="14.25" x14ac:dyDescent="0.45"/>
    <row r="47" ht="14.25" x14ac:dyDescent="0.45"/>
    <row r="48" ht="14.25" x14ac:dyDescent="0.45"/>
    <row r="49" ht="14.25" x14ac:dyDescent="0.45"/>
    <row r="50" ht="14.25" x14ac:dyDescent="0.45"/>
    <row r="51" ht="14.25" x14ac:dyDescent="0.45"/>
    <row r="52" ht="14.25" x14ac:dyDescent="0.45"/>
    <row r="53" ht="14.25" x14ac:dyDescent="0.45"/>
    <row r="54" ht="14.25" x14ac:dyDescent="0.45"/>
    <row r="55" ht="14.25" x14ac:dyDescent="0.45"/>
    <row r="56" ht="14.25" x14ac:dyDescent="0.45"/>
    <row r="57" ht="14.25" x14ac:dyDescent="0.45"/>
    <row r="58" ht="14.25" x14ac:dyDescent="0.45"/>
    <row r="59" ht="14.25" x14ac:dyDescent="0.45"/>
    <row r="60" ht="14.25" x14ac:dyDescent="0.45"/>
    <row r="61" ht="14.25" x14ac:dyDescent="0.45"/>
    <row r="62" ht="14.25" x14ac:dyDescent="0.45"/>
    <row r="63" ht="14.25" x14ac:dyDescent="0.45"/>
    <row r="64" ht="14.25" x14ac:dyDescent="0.45"/>
    <row r="65" ht="14.25" x14ac:dyDescent="0.45"/>
    <row r="66" ht="14.25" x14ac:dyDescent="0.45"/>
    <row r="67" ht="14.25" x14ac:dyDescent="0.45"/>
    <row r="68" ht="14.25" x14ac:dyDescent="0.45"/>
    <row r="69" ht="14.25" x14ac:dyDescent="0.45"/>
    <row r="70" ht="14.25" x14ac:dyDescent="0.45"/>
    <row r="71" ht="14.25" x14ac:dyDescent="0.45"/>
    <row r="72" ht="14.25" x14ac:dyDescent="0.45"/>
    <row r="73" ht="14.25" x14ac:dyDescent="0.45"/>
    <row r="74" ht="14.25" x14ac:dyDescent="0.45"/>
    <row r="75" ht="14.25" x14ac:dyDescent="0.45"/>
    <row r="76" ht="14.25" x14ac:dyDescent="0.45"/>
    <row r="77" ht="14.25" x14ac:dyDescent="0.45"/>
    <row r="78" ht="14.25" x14ac:dyDescent="0.45"/>
    <row r="79" ht="14.25" x14ac:dyDescent="0.45"/>
    <row r="80" ht="14.25" x14ac:dyDescent="0.45"/>
    <row r="81" ht="14.25" x14ac:dyDescent="0.45"/>
    <row r="82" ht="14.25" x14ac:dyDescent="0.45"/>
    <row r="83" ht="14.25" x14ac:dyDescent="0.45"/>
    <row r="84" ht="14.25" x14ac:dyDescent="0.45"/>
    <row r="85" ht="14.25" x14ac:dyDescent="0.45"/>
    <row r="86" ht="14.25" x14ac:dyDescent="0.45"/>
    <row r="87" ht="14.25" x14ac:dyDescent="0.45"/>
    <row r="88" ht="14.25" x14ac:dyDescent="0.45"/>
    <row r="89" ht="14.25" x14ac:dyDescent="0.45"/>
    <row r="90" ht="14.25" x14ac:dyDescent="0.45"/>
    <row r="91" ht="14.25" x14ac:dyDescent="0.45"/>
    <row r="92" ht="14.25" x14ac:dyDescent="0.45"/>
  </sheetData>
  <mergeCells count="2">
    <mergeCell ref="A1:E1"/>
    <mergeCell ref="A4:A6"/>
  </mergeCells>
  <phoneticPr fontId="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95148-04BD-4834-AA72-32BC5B153BB9}">
  <dimension ref="A1:E10"/>
  <sheetViews>
    <sheetView zoomScale="87" zoomScaleNormal="87" workbookViewId="0">
      <selection activeCell="D6" sqref="D6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33.6640625" customWidth="1"/>
    <col min="5" max="5" width="19.6640625" customWidth="1"/>
  </cols>
  <sheetData>
    <row r="1" spans="1:5" ht="28.5" x14ac:dyDescent="0.85">
      <c r="A1" s="218" t="s">
        <v>84</v>
      </c>
      <c r="B1" s="218"/>
      <c r="C1" s="218"/>
      <c r="D1" s="218"/>
      <c r="E1" s="218"/>
    </row>
    <row r="2" spans="1:5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ht="14.25" x14ac:dyDescent="0.45">
      <c r="A3" s="2" t="s">
        <v>710</v>
      </c>
    </row>
    <row r="4" spans="1:5" ht="14.25" x14ac:dyDescent="0.45">
      <c r="A4" s="2"/>
    </row>
    <row r="5" spans="1:5" ht="14.25" x14ac:dyDescent="0.45">
      <c r="A5" s="2" t="s">
        <v>22</v>
      </c>
      <c r="B5" s="1" t="s">
        <v>159</v>
      </c>
      <c r="C5" s="7" t="s">
        <v>711</v>
      </c>
      <c r="D5" t="s">
        <v>712</v>
      </c>
    </row>
    <row r="6" spans="1:5" ht="14.25" x14ac:dyDescent="0.45">
      <c r="A6" s="2"/>
      <c r="D6" s="3"/>
    </row>
    <row r="7" spans="1:5" ht="14.25" x14ac:dyDescent="0.45">
      <c r="A7" s="2"/>
    </row>
    <row r="8" spans="1:5" ht="14.25" x14ac:dyDescent="0.45">
      <c r="A8" s="2"/>
      <c r="C8" s="6"/>
    </row>
    <row r="9" spans="1:5" ht="14.25" x14ac:dyDescent="0.45">
      <c r="A9" s="2"/>
    </row>
    <row r="10" spans="1:5" ht="14.25" x14ac:dyDescent="0.45">
      <c r="A10" s="2"/>
    </row>
  </sheetData>
  <mergeCells count="1">
    <mergeCell ref="A1:E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1825-4674-46C0-BCD0-FF6E93305683}">
  <dimension ref="A1:E14"/>
  <sheetViews>
    <sheetView zoomScale="87" zoomScaleNormal="87" workbookViewId="0">
      <selection activeCell="B19" sqref="B19"/>
    </sheetView>
  </sheetViews>
  <sheetFormatPr defaultRowHeight="15" customHeight="1" x14ac:dyDescent="0.45"/>
  <cols>
    <col min="1" max="1" width="33.53125" customWidth="1"/>
    <col min="2" max="2" width="18.33203125" style="1" customWidth="1"/>
    <col min="3" max="3" width="20.33203125" style="1" customWidth="1"/>
    <col min="4" max="4" width="45.1328125" customWidth="1"/>
    <col min="5" max="5" width="19.6640625" customWidth="1"/>
  </cols>
  <sheetData>
    <row r="1" spans="1:5" ht="28.5" x14ac:dyDescent="0.85">
      <c r="A1" s="218" t="s">
        <v>85</v>
      </c>
      <c r="B1" s="218"/>
      <c r="C1" s="218"/>
      <c r="D1" s="218"/>
      <c r="E1" s="218"/>
    </row>
    <row r="2" spans="1:5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ht="33.75" customHeight="1" x14ac:dyDescent="0.5">
      <c r="A3" s="109" t="s">
        <v>713</v>
      </c>
      <c r="B3" s="112" t="s">
        <v>714</v>
      </c>
      <c r="C3" s="112" t="s">
        <v>715</v>
      </c>
      <c r="D3" s="116" t="s">
        <v>716</v>
      </c>
      <c r="E3" s="112" t="s">
        <v>140</v>
      </c>
    </row>
    <row r="4" spans="1:5" ht="33.75" customHeight="1" x14ac:dyDescent="0.5">
      <c r="A4" s="109" t="s">
        <v>713</v>
      </c>
      <c r="B4" s="112" t="s">
        <v>326</v>
      </c>
      <c r="C4" s="112" t="s">
        <v>715</v>
      </c>
      <c r="D4" s="116" t="s">
        <v>716</v>
      </c>
      <c r="E4" s="112" t="s">
        <v>140</v>
      </c>
    </row>
    <row r="5" spans="1:5" ht="33.75" customHeight="1" x14ac:dyDescent="0.5">
      <c r="A5" s="109" t="s">
        <v>713</v>
      </c>
      <c r="B5" s="112" t="s">
        <v>326</v>
      </c>
      <c r="C5" s="112" t="s">
        <v>715</v>
      </c>
      <c r="D5" s="116" t="s">
        <v>716</v>
      </c>
      <c r="E5" s="112" t="s">
        <v>717</v>
      </c>
    </row>
    <row r="6" spans="1:5" ht="33.75" customHeight="1" x14ac:dyDescent="0.5">
      <c r="A6" s="109" t="s">
        <v>713</v>
      </c>
      <c r="B6" s="112" t="s">
        <v>326</v>
      </c>
      <c r="C6" s="112" t="s">
        <v>715</v>
      </c>
      <c r="D6" s="116" t="s">
        <v>716</v>
      </c>
      <c r="E6" s="112" t="s">
        <v>717</v>
      </c>
    </row>
    <row r="7" spans="1:5" ht="33.75" customHeight="1" x14ac:dyDescent="0.5">
      <c r="A7" s="109" t="s">
        <v>713</v>
      </c>
      <c r="B7" s="112" t="s">
        <v>326</v>
      </c>
      <c r="C7" s="112" t="s">
        <v>718</v>
      </c>
      <c r="D7" s="116" t="s">
        <v>716</v>
      </c>
      <c r="E7" s="112" t="s">
        <v>717</v>
      </c>
    </row>
    <row r="8" spans="1:5" ht="33.75" customHeight="1" x14ac:dyDescent="0.5">
      <c r="A8" s="109" t="s">
        <v>713</v>
      </c>
      <c r="B8" s="112" t="s">
        <v>326</v>
      </c>
      <c r="C8" s="112" t="s">
        <v>718</v>
      </c>
      <c r="D8" s="116" t="s">
        <v>719</v>
      </c>
      <c r="E8" s="112" t="s">
        <v>140</v>
      </c>
    </row>
    <row r="9" spans="1:5" ht="14.25" x14ac:dyDescent="0.45">
      <c r="A9" s="2"/>
    </row>
    <row r="10" spans="1:5" ht="14.25" x14ac:dyDescent="0.45">
      <c r="A10" s="2"/>
      <c r="D10" s="3"/>
    </row>
    <row r="11" spans="1:5" ht="14.25" x14ac:dyDescent="0.45">
      <c r="A11" s="2"/>
    </row>
    <row r="12" spans="1:5" ht="14.25" x14ac:dyDescent="0.45">
      <c r="A12" s="2"/>
      <c r="C12" s="6"/>
    </row>
    <row r="13" spans="1:5" ht="14.25" x14ac:dyDescent="0.45">
      <c r="A13" s="2"/>
    </row>
    <row r="14" spans="1:5" ht="14.25" x14ac:dyDescent="0.45">
      <c r="A14" s="2"/>
    </row>
  </sheetData>
  <mergeCells count="1">
    <mergeCell ref="A1:E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B861C-535E-4AE2-8596-0B914C54E5F7}">
  <dimension ref="A1:F25"/>
  <sheetViews>
    <sheetView topLeftCell="A5" zoomScale="87" zoomScaleNormal="87" workbookViewId="0">
      <selection activeCell="B15" sqref="B15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37.53125" customWidth="1"/>
    <col min="5" max="5" width="19.6640625" customWidth="1"/>
  </cols>
  <sheetData>
    <row r="1" spans="1:5" ht="28.5" x14ac:dyDescent="0.85">
      <c r="A1" s="218" t="s">
        <v>87</v>
      </c>
      <c r="B1" s="218"/>
      <c r="C1" s="218"/>
      <c r="D1" s="218"/>
      <c r="E1" s="218"/>
    </row>
    <row r="2" spans="1:5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ht="14.25" x14ac:dyDescent="0.45">
      <c r="A3" s="123" t="s">
        <v>28</v>
      </c>
      <c r="B3" s="124" t="s">
        <v>141</v>
      </c>
      <c r="C3" s="125">
        <v>3039783331</v>
      </c>
      <c r="D3" s="126" t="s">
        <v>720</v>
      </c>
      <c r="E3" s="127" t="s">
        <v>140</v>
      </c>
    </row>
    <row r="4" spans="1:5" ht="14.25" x14ac:dyDescent="0.45">
      <c r="A4" s="123" t="s">
        <v>28</v>
      </c>
      <c r="B4" s="124" t="s">
        <v>141</v>
      </c>
      <c r="C4" s="125">
        <v>6507729157</v>
      </c>
      <c r="D4" s="127" t="s">
        <v>721</v>
      </c>
      <c r="E4" s="124" t="s">
        <v>140</v>
      </c>
    </row>
    <row r="5" spans="1:5" ht="14.25" x14ac:dyDescent="0.45">
      <c r="A5" s="123" t="s">
        <v>28</v>
      </c>
      <c r="B5" s="124" t="s">
        <v>141</v>
      </c>
      <c r="C5" s="125">
        <v>7156644416</v>
      </c>
      <c r="D5" s="127" t="s">
        <v>722</v>
      </c>
      <c r="E5" s="124" t="s">
        <v>140</v>
      </c>
    </row>
    <row r="6" spans="1:5" ht="14.25" x14ac:dyDescent="0.45">
      <c r="A6" s="123" t="s">
        <v>28</v>
      </c>
      <c r="B6" s="124" t="s">
        <v>141</v>
      </c>
      <c r="C6" s="125">
        <v>7395340230</v>
      </c>
      <c r="D6" s="127" t="s">
        <v>723</v>
      </c>
      <c r="E6" s="124" t="s">
        <v>140</v>
      </c>
    </row>
    <row r="7" spans="1:5" ht="14.25" x14ac:dyDescent="0.45">
      <c r="A7" s="123" t="s">
        <v>28</v>
      </c>
      <c r="B7" s="124" t="s">
        <v>141</v>
      </c>
      <c r="C7" s="125">
        <v>7593424422</v>
      </c>
      <c r="D7" s="127" t="s">
        <v>724</v>
      </c>
      <c r="E7" s="124" t="s">
        <v>140</v>
      </c>
    </row>
    <row r="8" spans="1:5" ht="14.25" x14ac:dyDescent="0.45">
      <c r="A8" s="123" t="s">
        <v>28</v>
      </c>
      <c r="B8" s="124" t="s">
        <v>141</v>
      </c>
      <c r="C8" s="125">
        <v>6891177286</v>
      </c>
      <c r="D8" s="127" t="s">
        <v>725</v>
      </c>
      <c r="E8" s="124" t="s">
        <v>140</v>
      </c>
    </row>
    <row r="9" spans="1:5" ht="15" customHeight="1" x14ac:dyDescent="0.45">
      <c r="A9" s="127"/>
      <c r="B9" s="124"/>
      <c r="C9" s="124"/>
      <c r="D9" s="127"/>
      <c r="E9" s="124"/>
    </row>
    <row r="10" spans="1:5" ht="15" customHeight="1" x14ac:dyDescent="0.45">
      <c r="A10" s="123" t="s">
        <v>88</v>
      </c>
      <c r="B10" s="124" t="s">
        <v>147</v>
      </c>
      <c r="C10" s="128" t="s">
        <v>726</v>
      </c>
      <c r="D10" s="129" t="s">
        <v>727</v>
      </c>
      <c r="E10" s="128" t="s">
        <v>140</v>
      </c>
    </row>
    <row r="11" spans="1:5" ht="14.25" x14ac:dyDescent="0.45">
      <c r="A11" s="123" t="s">
        <v>88</v>
      </c>
      <c r="B11" s="124" t="s">
        <v>326</v>
      </c>
      <c r="C11" s="128" t="s">
        <v>726</v>
      </c>
      <c r="D11" s="129" t="s">
        <v>727</v>
      </c>
      <c r="E11" s="128" t="s">
        <v>140</v>
      </c>
    </row>
    <row r="12" spans="1:5" ht="14.25" x14ac:dyDescent="0.45">
      <c r="A12" s="123" t="s">
        <v>88</v>
      </c>
      <c r="B12" s="124" t="s">
        <v>138</v>
      </c>
      <c r="C12" s="128" t="s">
        <v>726</v>
      </c>
      <c r="D12" s="129" t="s">
        <v>727</v>
      </c>
      <c r="E12" s="124" t="s">
        <v>140</v>
      </c>
    </row>
    <row r="13" spans="1:5" ht="14.25" x14ac:dyDescent="0.45">
      <c r="A13" s="123" t="s">
        <v>88</v>
      </c>
      <c r="B13" s="124" t="s">
        <v>147</v>
      </c>
      <c r="C13" s="124" t="s">
        <v>728</v>
      </c>
      <c r="D13" s="127" t="s">
        <v>725</v>
      </c>
      <c r="E13" s="124" t="s">
        <v>140</v>
      </c>
    </row>
    <row r="14" spans="1:5" ht="14.25" x14ac:dyDescent="0.45">
      <c r="A14" s="123" t="s">
        <v>88</v>
      </c>
      <c r="B14" s="124" t="s">
        <v>326</v>
      </c>
      <c r="C14" s="124" t="s">
        <v>728</v>
      </c>
      <c r="D14" s="127" t="s">
        <v>725</v>
      </c>
      <c r="E14" s="124" t="s">
        <v>140</v>
      </c>
    </row>
    <row r="15" spans="1:5" ht="14.25" x14ac:dyDescent="0.45">
      <c r="A15" s="123" t="s">
        <v>88</v>
      </c>
      <c r="B15" s="124" t="s">
        <v>138</v>
      </c>
      <c r="C15" s="124" t="s">
        <v>728</v>
      </c>
      <c r="D15" s="127" t="s">
        <v>725</v>
      </c>
      <c r="E15" s="124" t="s">
        <v>140</v>
      </c>
    </row>
    <row r="16" spans="1:5" ht="15" customHeight="1" x14ac:dyDescent="0.45">
      <c r="A16" s="127"/>
      <c r="B16" s="124"/>
      <c r="C16" s="124"/>
      <c r="D16" s="127"/>
      <c r="E16" s="124"/>
    </row>
    <row r="17" spans="1:6" ht="14.25" x14ac:dyDescent="0.45">
      <c r="A17" s="123" t="s">
        <v>26</v>
      </c>
      <c r="B17" s="124" t="s">
        <v>729</v>
      </c>
      <c r="C17" s="124">
        <v>40391</v>
      </c>
      <c r="D17" s="127" t="s">
        <v>722</v>
      </c>
      <c r="E17" s="124" t="s">
        <v>140</v>
      </c>
    </row>
    <row r="18" spans="1:6" ht="15" customHeight="1" x14ac:dyDescent="0.45">
      <c r="A18" s="123" t="s">
        <v>26</v>
      </c>
      <c r="B18" s="124" t="s">
        <v>729</v>
      </c>
      <c r="C18" s="124">
        <v>40392</v>
      </c>
      <c r="D18" s="126" t="s">
        <v>720</v>
      </c>
      <c r="E18" s="124" t="s">
        <v>140</v>
      </c>
    </row>
    <row r="19" spans="1:6" ht="15" customHeight="1" x14ac:dyDescent="0.45">
      <c r="A19" s="130" t="s">
        <v>26</v>
      </c>
      <c r="B19" s="131" t="s">
        <v>729</v>
      </c>
      <c r="C19" s="131">
        <v>41737</v>
      </c>
      <c r="D19" s="132" t="s">
        <v>730</v>
      </c>
      <c r="E19" s="131" t="s">
        <v>140</v>
      </c>
    </row>
    <row r="20" spans="1:6" ht="28.5" x14ac:dyDescent="0.45">
      <c r="A20" s="123" t="s">
        <v>18</v>
      </c>
      <c r="B20" s="124" t="s">
        <v>145</v>
      </c>
      <c r="C20" s="133" t="s">
        <v>731</v>
      </c>
      <c r="D20" s="134" t="s">
        <v>732</v>
      </c>
      <c r="E20" s="135" t="s">
        <v>152</v>
      </c>
    </row>
    <row r="21" spans="1:6" ht="15" customHeight="1" x14ac:dyDescent="0.45">
      <c r="A21" s="127"/>
      <c r="B21" s="124"/>
      <c r="C21" s="124"/>
      <c r="D21" s="127"/>
      <c r="E21" s="124"/>
    </row>
    <row r="22" spans="1:6" ht="15" customHeight="1" x14ac:dyDescent="0.45">
      <c r="A22" s="123" t="s">
        <v>28</v>
      </c>
      <c r="B22" s="124" t="s">
        <v>141</v>
      </c>
      <c r="C22" s="136" t="s">
        <v>733</v>
      </c>
      <c r="D22" s="137" t="s">
        <v>734</v>
      </c>
      <c r="E22" s="133" t="s">
        <v>152</v>
      </c>
      <c r="F22" s="34" t="s">
        <v>263</v>
      </c>
    </row>
    <row r="23" spans="1:6" ht="15" customHeight="1" x14ac:dyDescent="0.45">
      <c r="A23" s="123" t="s">
        <v>28</v>
      </c>
      <c r="B23" s="124" t="s">
        <v>141</v>
      </c>
      <c r="C23" s="136" t="s">
        <v>735</v>
      </c>
      <c r="D23" s="138" t="s">
        <v>736</v>
      </c>
      <c r="E23" s="133" t="s">
        <v>152</v>
      </c>
      <c r="F23" s="34" t="s">
        <v>285</v>
      </c>
    </row>
    <row r="24" spans="1:6" ht="15" customHeight="1" x14ac:dyDescent="0.45">
      <c r="A24" s="123" t="s">
        <v>28</v>
      </c>
      <c r="B24" s="124" t="s">
        <v>141</v>
      </c>
      <c r="C24" s="139">
        <v>1788820239</v>
      </c>
      <c r="D24" s="138" t="s">
        <v>737</v>
      </c>
      <c r="E24" s="133" t="s">
        <v>152</v>
      </c>
      <c r="F24" s="34" t="s">
        <v>285</v>
      </c>
    </row>
    <row r="25" spans="1:6" ht="15" customHeight="1" x14ac:dyDescent="0.45">
      <c r="E25" s="1"/>
    </row>
  </sheetData>
  <mergeCells count="1">
    <mergeCell ref="A1:E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9B82-2E33-4819-8711-6EACDFD0542D}">
  <dimension ref="A1:F24"/>
  <sheetViews>
    <sheetView workbookViewId="0">
      <selection activeCell="C7" sqref="C7"/>
    </sheetView>
  </sheetViews>
  <sheetFormatPr defaultRowHeight="14.25" x14ac:dyDescent="0.45"/>
  <cols>
    <col min="1" max="1" width="43.53125" customWidth="1"/>
    <col min="2" max="2" width="17.6640625" customWidth="1"/>
    <col min="3" max="3" width="22.33203125" customWidth="1"/>
    <col min="4" max="4" width="36" customWidth="1"/>
    <col min="5" max="5" width="26.53125" customWidth="1"/>
    <col min="6" max="6" width="16.6640625" customWidth="1"/>
  </cols>
  <sheetData>
    <row r="1" spans="1:5" ht="28.5" x14ac:dyDescent="0.85">
      <c r="A1" s="218" t="s">
        <v>738</v>
      </c>
      <c r="B1" s="218"/>
      <c r="C1" s="218"/>
      <c r="D1" s="218"/>
      <c r="E1" s="218"/>
    </row>
    <row r="2" spans="1: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x14ac:dyDescent="0.45">
      <c r="A3" s="2" t="s">
        <v>739</v>
      </c>
      <c r="B3" s="1" t="s">
        <v>326</v>
      </c>
      <c r="C3" t="s">
        <v>740</v>
      </c>
      <c r="D3" t="s">
        <v>741</v>
      </c>
      <c r="E3" t="s">
        <v>220</v>
      </c>
    </row>
    <row r="4" spans="1:5" x14ac:dyDescent="0.45">
      <c r="A4" s="2"/>
      <c r="B4" s="1"/>
    </row>
    <row r="5" spans="1:5" x14ac:dyDescent="0.45">
      <c r="A5" s="2" t="s">
        <v>742</v>
      </c>
      <c r="B5" s="1" t="s">
        <v>138</v>
      </c>
      <c r="C5" t="s">
        <v>743</v>
      </c>
      <c r="D5" t="s">
        <v>741</v>
      </c>
      <c r="E5" t="s">
        <v>220</v>
      </c>
    </row>
    <row r="6" spans="1:5" x14ac:dyDescent="0.45">
      <c r="A6" s="2"/>
      <c r="B6" s="1"/>
    </row>
    <row r="7" spans="1:5" x14ac:dyDescent="0.45">
      <c r="A7" s="2" t="s">
        <v>744</v>
      </c>
      <c r="B7" s="1" t="s">
        <v>147</v>
      </c>
      <c r="C7" t="s">
        <v>745</v>
      </c>
      <c r="E7" t="s">
        <v>220</v>
      </c>
    </row>
    <row r="8" spans="1:5" x14ac:dyDescent="0.45">
      <c r="B8" s="1"/>
    </row>
    <row r="22" spans="4:6" x14ac:dyDescent="0.45">
      <c r="D22" s="2"/>
    </row>
    <row r="23" spans="4:6" x14ac:dyDescent="0.45">
      <c r="D23" s="24"/>
      <c r="E23" s="24"/>
      <c r="F23" s="2"/>
    </row>
    <row r="24" spans="4:6" x14ac:dyDescent="0.45">
      <c r="E24" s="1"/>
      <c r="F24" s="1"/>
    </row>
  </sheetData>
  <mergeCells count="1">
    <mergeCell ref="A1:E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7089-78C9-47A3-AC45-47BD24CC83ED}">
  <dimension ref="A1:F22"/>
  <sheetViews>
    <sheetView topLeftCell="A6" zoomScale="87" zoomScaleNormal="87" workbookViewId="0">
      <selection activeCell="F21" sqref="F21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48.1328125" customWidth="1"/>
    <col min="5" max="5" width="19.6640625" customWidth="1"/>
    <col min="6" max="6" width="36.53125" bestFit="1" customWidth="1"/>
    <col min="7" max="7" width="17.6640625" customWidth="1"/>
    <col min="8" max="8" width="21.33203125" customWidth="1"/>
  </cols>
  <sheetData>
    <row r="1" spans="1:6" ht="28.5" x14ac:dyDescent="0.85">
      <c r="A1" s="218" t="s">
        <v>89</v>
      </c>
      <c r="B1" s="218"/>
      <c r="C1" s="218"/>
      <c r="D1" s="218"/>
      <c r="E1" s="218"/>
    </row>
    <row r="2" spans="1:6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6" ht="14.25" x14ac:dyDescent="0.45">
      <c r="A3" s="2" t="s">
        <v>28</v>
      </c>
      <c r="B3" s="1" t="s">
        <v>141</v>
      </c>
      <c r="C3" s="26">
        <v>2113372839</v>
      </c>
      <c r="D3" s="37" t="s">
        <v>746</v>
      </c>
      <c r="E3" s="27" t="s">
        <v>491</v>
      </c>
      <c r="F3" s="70"/>
    </row>
    <row r="4" spans="1:6" ht="14.25" x14ac:dyDescent="0.45">
      <c r="A4" s="2"/>
      <c r="C4" s="1">
        <v>2111352296</v>
      </c>
      <c r="D4" s="4" t="s">
        <v>747</v>
      </c>
      <c r="E4" t="s">
        <v>491</v>
      </c>
    </row>
    <row r="5" spans="1:6" ht="14.25" x14ac:dyDescent="0.45">
      <c r="A5" s="2"/>
      <c r="C5" s="1">
        <v>2112465592</v>
      </c>
      <c r="D5" s="4" t="s">
        <v>748</v>
      </c>
      <c r="E5" t="s">
        <v>491</v>
      </c>
    </row>
    <row r="6" spans="1:6" ht="14.25" x14ac:dyDescent="0.45">
      <c r="A6" s="2"/>
      <c r="C6" s="1">
        <v>2112427170</v>
      </c>
      <c r="D6" s="4" t="s">
        <v>749</v>
      </c>
      <c r="E6" t="s">
        <v>491</v>
      </c>
    </row>
    <row r="7" spans="1:6" ht="14.25" x14ac:dyDescent="0.45">
      <c r="A7" s="2"/>
    </row>
    <row r="8" spans="1:6" ht="14.25" x14ac:dyDescent="0.45">
      <c r="A8" s="2"/>
    </row>
    <row r="9" spans="1:6" ht="14.25" x14ac:dyDescent="0.45">
      <c r="A9" s="2" t="s">
        <v>750</v>
      </c>
      <c r="B9" s="1" t="s">
        <v>138</v>
      </c>
      <c r="C9" s="1">
        <v>22279001</v>
      </c>
      <c r="D9" s="4" t="s">
        <v>751</v>
      </c>
      <c r="E9" t="s">
        <v>491</v>
      </c>
    </row>
    <row r="10" spans="1:6" ht="14.25" x14ac:dyDescent="0.45">
      <c r="C10" s="1">
        <v>22279002</v>
      </c>
      <c r="D10" s="4" t="s">
        <v>752</v>
      </c>
      <c r="E10" t="s">
        <v>491</v>
      </c>
    </row>
    <row r="12" spans="1:6" ht="14.25" x14ac:dyDescent="0.45">
      <c r="A12" s="2" t="s">
        <v>90</v>
      </c>
      <c r="B12" s="1" t="s">
        <v>205</v>
      </c>
      <c r="C12" s="1" t="s">
        <v>753</v>
      </c>
      <c r="D12" t="s">
        <v>754</v>
      </c>
      <c r="E12" t="s">
        <v>491</v>
      </c>
    </row>
    <row r="15" spans="1:6" ht="14.25" x14ac:dyDescent="0.45">
      <c r="A15" s="2" t="s">
        <v>433</v>
      </c>
      <c r="B15" s="1" t="s">
        <v>145</v>
      </c>
      <c r="C15" s="1">
        <v>322349854</v>
      </c>
      <c r="D15" t="s">
        <v>755</v>
      </c>
      <c r="E15" t="s">
        <v>152</v>
      </c>
    </row>
    <row r="18" spans="1:6" ht="15" customHeight="1" x14ac:dyDescent="0.45">
      <c r="A18" s="34" t="s">
        <v>215</v>
      </c>
    </row>
    <row r="19" spans="1:6" ht="15" customHeight="1" x14ac:dyDescent="0.45">
      <c r="A19" s="2"/>
    </row>
    <row r="20" spans="1:6" s="34" customFormat="1" ht="15" customHeight="1" x14ac:dyDescent="0.45">
      <c r="A20" s="34" t="s">
        <v>28</v>
      </c>
      <c r="B20" s="31" t="s">
        <v>141</v>
      </c>
      <c r="C20" s="31">
        <v>2114261965</v>
      </c>
      <c r="D20" s="141" t="s">
        <v>756</v>
      </c>
      <c r="E20" s="34" t="s">
        <v>152</v>
      </c>
      <c r="F20" s="34" t="s">
        <v>263</v>
      </c>
    </row>
    <row r="21" spans="1:6" s="34" customFormat="1" ht="15" customHeight="1" x14ac:dyDescent="0.45">
      <c r="B21" s="31"/>
      <c r="C21" s="31">
        <v>2111352387</v>
      </c>
      <c r="D21" s="141" t="s">
        <v>757</v>
      </c>
      <c r="E21" s="34" t="s">
        <v>152</v>
      </c>
      <c r="F21" s="34" t="s">
        <v>263</v>
      </c>
    </row>
    <row r="22" spans="1:6" s="34" customFormat="1" ht="15" customHeight="1" x14ac:dyDescent="0.45">
      <c r="B22" s="31"/>
      <c r="C22" s="142">
        <v>2112456955</v>
      </c>
      <c r="D22" s="141" t="s">
        <v>758</v>
      </c>
      <c r="E22" s="34" t="s">
        <v>152</v>
      </c>
      <c r="F22" s="34" t="s">
        <v>263</v>
      </c>
    </row>
  </sheetData>
  <mergeCells count="1">
    <mergeCell ref="A1:E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1A9D-2684-45B2-8D0B-ABB945D11C5E}">
  <dimension ref="A1:E10"/>
  <sheetViews>
    <sheetView workbookViewId="0">
      <selection activeCell="F15" sqref="F15"/>
    </sheetView>
  </sheetViews>
  <sheetFormatPr defaultRowHeight="14.25" x14ac:dyDescent="0.45"/>
  <cols>
    <col min="1" max="1" width="39.6640625" customWidth="1"/>
    <col min="2" max="2" width="18.33203125" customWidth="1"/>
    <col min="3" max="3" width="22.46484375" customWidth="1"/>
    <col min="4" max="4" width="40.6640625" customWidth="1"/>
    <col min="5" max="5" width="18.33203125" customWidth="1"/>
  </cols>
  <sheetData>
    <row r="1" spans="1:5" ht="28.5" x14ac:dyDescent="0.85">
      <c r="A1" s="218" t="s">
        <v>759</v>
      </c>
      <c r="B1" s="218"/>
      <c r="C1" s="218"/>
      <c r="D1" s="218"/>
      <c r="E1" s="218"/>
    </row>
    <row r="2" spans="1: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x14ac:dyDescent="0.45">
      <c r="A3" t="s">
        <v>760</v>
      </c>
      <c r="B3" t="s">
        <v>147</v>
      </c>
      <c r="C3">
        <v>3696299</v>
      </c>
      <c r="D3" t="s">
        <v>761</v>
      </c>
      <c r="E3" t="s">
        <v>220</v>
      </c>
    </row>
    <row r="4" spans="1:5" x14ac:dyDescent="0.45">
      <c r="B4" t="s">
        <v>147</v>
      </c>
      <c r="C4">
        <v>3696393</v>
      </c>
      <c r="D4" t="s">
        <v>762</v>
      </c>
      <c r="E4" t="s">
        <v>220</v>
      </c>
    </row>
    <row r="6" spans="1:5" x14ac:dyDescent="0.45">
      <c r="A6" t="s">
        <v>763</v>
      </c>
      <c r="B6" t="s">
        <v>141</v>
      </c>
      <c r="C6">
        <v>3696394</v>
      </c>
      <c r="D6" t="s">
        <v>764</v>
      </c>
      <c r="E6" t="s">
        <v>220</v>
      </c>
    </row>
    <row r="7" spans="1:5" x14ac:dyDescent="0.45">
      <c r="B7" t="s">
        <v>141</v>
      </c>
      <c r="C7">
        <v>3696395</v>
      </c>
      <c r="D7" t="s">
        <v>765</v>
      </c>
      <c r="E7" t="s">
        <v>220</v>
      </c>
    </row>
    <row r="8" spans="1:5" x14ac:dyDescent="0.45">
      <c r="B8" t="s">
        <v>141</v>
      </c>
      <c r="C8">
        <v>3696392</v>
      </c>
      <c r="D8" t="s">
        <v>766</v>
      </c>
      <c r="E8" t="s">
        <v>220</v>
      </c>
    </row>
    <row r="10" spans="1:5" x14ac:dyDescent="0.45">
      <c r="A10" t="s">
        <v>767</v>
      </c>
      <c r="B10" t="s">
        <v>138</v>
      </c>
      <c r="C10">
        <v>2817</v>
      </c>
      <c r="D10" t="s">
        <v>768</v>
      </c>
      <c r="E10" t="s">
        <v>220</v>
      </c>
    </row>
  </sheetData>
  <mergeCells count="1">
    <mergeCell ref="A1:E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729D-8614-475F-897A-90AD26FEFF75}">
  <dimension ref="A1:E14"/>
  <sheetViews>
    <sheetView zoomScale="87" zoomScaleNormal="87" workbookViewId="0">
      <selection activeCell="G21" sqref="G21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33.6640625" customWidth="1"/>
    <col min="5" max="5" width="19.6640625" customWidth="1"/>
    <col min="6" max="6" width="13.1328125" customWidth="1"/>
    <col min="7" max="7" width="22" customWidth="1"/>
  </cols>
  <sheetData>
    <row r="1" spans="1:5" ht="28.5" x14ac:dyDescent="0.85">
      <c r="A1" s="218" t="s">
        <v>92</v>
      </c>
      <c r="B1" s="218"/>
      <c r="C1" s="218"/>
      <c r="D1" s="218"/>
      <c r="E1" s="218"/>
    </row>
    <row r="2" spans="1:5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ht="28.5" x14ac:dyDescent="0.45">
      <c r="A3" s="2" t="s">
        <v>169</v>
      </c>
      <c r="B3" s="1" t="s">
        <v>141</v>
      </c>
      <c r="C3" s="21">
        <v>910085353514</v>
      </c>
      <c r="D3" s="14" t="s">
        <v>769</v>
      </c>
      <c r="E3" t="s">
        <v>140</v>
      </c>
    </row>
    <row r="4" spans="1:5" ht="28.5" x14ac:dyDescent="0.45">
      <c r="A4" s="2"/>
      <c r="C4" s="6">
        <v>910085353720</v>
      </c>
      <c r="D4" s="14" t="s">
        <v>770</v>
      </c>
      <c r="E4" t="s">
        <v>140</v>
      </c>
    </row>
    <row r="5" spans="1:5" ht="14.25" x14ac:dyDescent="0.45"/>
    <row r="6" spans="1:5" ht="14.25" x14ac:dyDescent="0.45">
      <c r="A6" s="2"/>
      <c r="D6" s="3"/>
    </row>
    <row r="7" spans="1:5" ht="28.5" x14ac:dyDescent="0.45">
      <c r="A7" s="2" t="s">
        <v>93</v>
      </c>
      <c r="B7" s="16" t="s">
        <v>321</v>
      </c>
      <c r="C7" s="1" t="s">
        <v>771</v>
      </c>
      <c r="D7" t="s">
        <v>772</v>
      </c>
      <c r="E7" t="s">
        <v>140</v>
      </c>
    </row>
    <row r="8" spans="1:5" ht="14.25" x14ac:dyDescent="0.45">
      <c r="A8" s="2"/>
      <c r="C8" s="6"/>
    </row>
    <row r="9" spans="1:5" ht="14.25" x14ac:dyDescent="0.45">
      <c r="A9" s="2"/>
    </row>
    <row r="10" spans="1:5" s="56" customFormat="1" ht="30.75" x14ac:dyDescent="0.45">
      <c r="A10" s="41" t="s">
        <v>18</v>
      </c>
      <c r="B10" s="43" t="s">
        <v>145</v>
      </c>
      <c r="C10" s="170" t="s">
        <v>773</v>
      </c>
      <c r="D10" s="143" t="s">
        <v>774</v>
      </c>
      <c r="E10" s="56" t="s">
        <v>152</v>
      </c>
    </row>
    <row r="13" spans="1:5" s="27" customFormat="1" ht="15" customHeight="1" x14ac:dyDescent="0.45">
      <c r="A13" s="34" t="s">
        <v>215</v>
      </c>
      <c r="B13" s="29"/>
      <c r="C13" s="29"/>
    </row>
    <row r="14" spans="1:5" s="34" customFormat="1" ht="15" customHeight="1" x14ac:dyDescent="0.45">
      <c r="A14" s="34" t="s">
        <v>169</v>
      </c>
      <c r="B14" s="31" t="s">
        <v>141</v>
      </c>
      <c r="C14" s="142">
        <v>910085353895</v>
      </c>
      <c r="D14" s="34" t="s">
        <v>775</v>
      </c>
      <c r="E14" s="34" t="s">
        <v>255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9F3F-227C-411C-9770-42CE8491C6B9}">
  <dimension ref="A1:F22"/>
  <sheetViews>
    <sheetView topLeftCell="A5" zoomScale="87" zoomScaleNormal="87" workbookViewId="0">
      <selection activeCell="K23" sqref="K23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33.6640625" customWidth="1"/>
    <col min="5" max="5" width="19.6640625" customWidth="1"/>
  </cols>
  <sheetData>
    <row r="1" spans="1:6" ht="28.5" x14ac:dyDescent="0.85">
      <c r="A1" s="218" t="s">
        <v>94</v>
      </c>
      <c r="B1" s="218"/>
      <c r="C1" s="218"/>
      <c r="D1" s="218"/>
      <c r="E1" s="218"/>
    </row>
    <row r="2" spans="1:6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6" ht="42.75" x14ac:dyDescent="0.45">
      <c r="A3" s="2" t="s">
        <v>169</v>
      </c>
      <c r="B3" s="1" t="s">
        <v>141</v>
      </c>
      <c r="C3" s="12" t="s">
        <v>776</v>
      </c>
      <c r="D3" s="14" t="s">
        <v>777</v>
      </c>
      <c r="E3" t="s">
        <v>140</v>
      </c>
    </row>
    <row r="4" spans="1:6" ht="42.75" x14ac:dyDescent="0.45">
      <c r="A4" s="2"/>
      <c r="C4" s="7" t="s">
        <v>778</v>
      </c>
      <c r="D4" s="3" t="s">
        <v>777</v>
      </c>
      <c r="E4" t="s">
        <v>140</v>
      </c>
    </row>
    <row r="5" spans="1:6" ht="42.75" x14ac:dyDescent="0.45">
      <c r="A5" s="2"/>
      <c r="C5" s="7" t="s">
        <v>779</v>
      </c>
      <c r="D5" s="3" t="s">
        <v>777</v>
      </c>
      <c r="E5" t="s">
        <v>140</v>
      </c>
    </row>
    <row r="6" spans="1:6" ht="42.75" x14ac:dyDescent="0.45">
      <c r="A6" s="2"/>
      <c r="C6" s="7" t="s">
        <v>780</v>
      </c>
      <c r="D6" s="3" t="s">
        <v>777</v>
      </c>
      <c r="E6" t="s">
        <v>140</v>
      </c>
    </row>
    <row r="7" spans="1:6" ht="42.75" x14ac:dyDescent="0.45">
      <c r="A7" s="2"/>
      <c r="C7" s="7" t="s">
        <v>781</v>
      </c>
      <c r="D7" s="3" t="s">
        <v>777</v>
      </c>
      <c r="E7" t="s">
        <v>140</v>
      </c>
    </row>
    <row r="8" spans="1:6" ht="42.75" x14ac:dyDescent="0.45">
      <c r="A8" s="2"/>
      <c r="C8" s="8" t="s">
        <v>782</v>
      </c>
      <c r="D8" s="3" t="s">
        <v>777</v>
      </c>
      <c r="E8" t="s">
        <v>140</v>
      </c>
    </row>
    <row r="9" spans="1:6" ht="14.25" x14ac:dyDescent="0.45">
      <c r="A9" s="2"/>
      <c r="C9" s="8">
        <v>910131189929</v>
      </c>
      <c r="D9" s="3" t="s">
        <v>783</v>
      </c>
      <c r="E9" t="s">
        <v>140</v>
      </c>
    </row>
    <row r="10" spans="1:6" ht="14.25" x14ac:dyDescent="0.45"/>
    <row r="11" spans="1:6" ht="14.25" x14ac:dyDescent="0.45">
      <c r="A11" s="2"/>
    </row>
    <row r="12" spans="1:6" ht="14.25" x14ac:dyDescent="0.45">
      <c r="A12" s="2" t="s">
        <v>96</v>
      </c>
      <c r="B12" s="1" t="s">
        <v>431</v>
      </c>
      <c r="C12" s="1">
        <v>268800</v>
      </c>
      <c r="D12" t="s">
        <v>784</v>
      </c>
      <c r="E12" t="s">
        <v>140</v>
      </c>
    </row>
    <row r="14" spans="1:6" ht="14.25" x14ac:dyDescent="0.45">
      <c r="A14" s="2" t="s">
        <v>95</v>
      </c>
      <c r="B14" s="1" t="s">
        <v>138</v>
      </c>
      <c r="C14" s="1">
        <v>980822</v>
      </c>
      <c r="D14" t="s">
        <v>785</v>
      </c>
      <c r="E14" t="s">
        <v>140</v>
      </c>
    </row>
    <row r="15" spans="1:6" ht="15" customHeight="1" x14ac:dyDescent="0.45">
      <c r="C15" s="1">
        <v>980706</v>
      </c>
      <c r="D15" t="s">
        <v>786</v>
      </c>
      <c r="E15" t="s">
        <v>140</v>
      </c>
      <c r="F15" s="41"/>
    </row>
    <row r="17" spans="1:6" ht="15" customHeight="1" x14ac:dyDescent="0.45">
      <c r="A17" s="41" t="s">
        <v>208</v>
      </c>
    </row>
    <row r="18" spans="1:6" ht="15" customHeight="1" x14ac:dyDescent="0.45">
      <c r="A18" t="s">
        <v>169</v>
      </c>
      <c r="B18" s="1" t="s">
        <v>141</v>
      </c>
      <c r="C18" s="8">
        <v>910131204145</v>
      </c>
      <c r="D18" s="3" t="s">
        <v>787</v>
      </c>
      <c r="E18" t="s">
        <v>152</v>
      </c>
    </row>
    <row r="20" spans="1:6" s="56" customFormat="1" ht="28.5" x14ac:dyDescent="0.45">
      <c r="A20" s="41" t="s">
        <v>18</v>
      </c>
      <c r="B20" s="43" t="s">
        <v>145</v>
      </c>
      <c r="C20" s="43" t="s">
        <v>788</v>
      </c>
      <c r="D20" s="120" t="s">
        <v>789</v>
      </c>
      <c r="E20" s="56" t="s">
        <v>152</v>
      </c>
      <c r="F20" s="41"/>
    </row>
    <row r="22" spans="1:6" ht="15" customHeight="1" x14ac:dyDescent="0.45">
      <c r="A22" s="2" t="s">
        <v>790</v>
      </c>
    </row>
  </sheetData>
  <mergeCells count="1">
    <mergeCell ref="A1:E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786BD-B772-443A-BE60-EF7909AACFE8}">
  <dimension ref="A1:E10"/>
  <sheetViews>
    <sheetView zoomScale="87" zoomScaleNormal="87" workbookViewId="0">
      <selection activeCell="E17" sqref="E17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33.6640625" customWidth="1"/>
    <col min="5" max="5" width="19.6640625" customWidth="1"/>
  </cols>
  <sheetData>
    <row r="1" spans="1:5" ht="28.5" x14ac:dyDescent="0.85">
      <c r="A1" s="218" t="s">
        <v>97</v>
      </c>
      <c r="B1" s="218"/>
      <c r="C1" s="218"/>
      <c r="D1" s="218"/>
      <c r="E1" s="218"/>
    </row>
    <row r="2" spans="1:5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ht="14.25" x14ac:dyDescent="0.45">
      <c r="A3" s="2" t="s">
        <v>710</v>
      </c>
      <c r="B3" s="1" t="s">
        <v>141</v>
      </c>
      <c r="C3" s="12">
        <v>54862869093</v>
      </c>
      <c r="D3" s="14" t="s">
        <v>791</v>
      </c>
      <c r="E3" t="s">
        <v>140</v>
      </c>
    </row>
    <row r="4" spans="1:5" ht="14.25" x14ac:dyDescent="0.45">
      <c r="A4" s="2"/>
    </row>
    <row r="5" spans="1:5" ht="14.25" x14ac:dyDescent="0.45">
      <c r="A5" s="2"/>
    </row>
    <row r="6" spans="1:5" ht="14.25" x14ac:dyDescent="0.45">
      <c r="A6" s="2"/>
      <c r="D6" s="3"/>
    </row>
    <row r="7" spans="1:5" ht="14.25" x14ac:dyDescent="0.45">
      <c r="A7" s="2"/>
    </row>
    <row r="8" spans="1:5" ht="14.25" x14ac:dyDescent="0.45">
      <c r="A8" s="2"/>
      <c r="C8" s="6"/>
    </row>
    <row r="9" spans="1:5" ht="14.25" x14ac:dyDescent="0.45">
      <c r="A9" s="2"/>
    </row>
    <row r="10" spans="1:5" ht="28.5" x14ac:dyDescent="0.45">
      <c r="A10" s="2" t="s">
        <v>792</v>
      </c>
      <c r="B10" s="16" t="s">
        <v>328</v>
      </c>
      <c r="C10" s="12">
        <v>781001</v>
      </c>
      <c r="D10" s="18" t="s">
        <v>793</v>
      </c>
      <c r="E10" t="s">
        <v>140</v>
      </c>
    </row>
  </sheetData>
  <mergeCells count="1">
    <mergeCell ref="A1:E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671EF-1D9F-4CFB-B55E-9CC3F2A494EE}">
  <dimension ref="A1:F9"/>
  <sheetViews>
    <sheetView showGridLines="0" workbookViewId="0">
      <selection activeCell="C23" sqref="C23"/>
    </sheetView>
  </sheetViews>
  <sheetFormatPr defaultRowHeight="14.25" x14ac:dyDescent="0.45"/>
  <cols>
    <col min="1" max="1" width="29.53125" customWidth="1"/>
    <col min="2" max="2" width="23.33203125" customWidth="1"/>
    <col min="3" max="3" width="19.6640625" customWidth="1"/>
    <col min="4" max="4" width="48.6640625" customWidth="1"/>
    <col min="5" max="5" width="21.46484375" customWidth="1"/>
    <col min="6" max="6" width="16" bestFit="1" customWidth="1"/>
  </cols>
  <sheetData>
    <row r="1" spans="1:6" ht="28.5" x14ac:dyDescent="0.85">
      <c r="A1" s="218" t="s">
        <v>794</v>
      </c>
      <c r="B1" s="218"/>
      <c r="C1" s="218"/>
      <c r="D1" s="218"/>
      <c r="E1" s="218"/>
    </row>
    <row r="2" spans="1:6" x14ac:dyDescent="0.45">
      <c r="A2" s="114" t="s">
        <v>133</v>
      </c>
      <c r="B2" s="114" t="s">
        <v>134</v>
      </c>
      <c r="C2" s="114" t="s">
        <v>135</v>
      </c>
      <c r="D2" s="114" t="s">
        <v>136</v>
      </c>
      <c r="E2" s="114" t="s">
        <v>137</v>
      </c>
    </row>
    <row r="3" spans="1:6" x14ac:dyDescent="0.45">
      <c r="A3" s="185" t="s">
        <v>795</v>
      </c>
      <c r="B3" s="186" t="s">
        <v>147</v>
      </c>
      <c r="C3" s="186" t="s">
        <v>796</v>
      </c>
      <c r="D3" s="186" t="s">
        <v>797</v>
      </c>
      <c r="E3" s="186" t="s">
        <v>220</v>
      </c>
      <c r="F3" s="127"/>
    </row>
    <row r="4" spans="1:6" x14ac:dyDescent="0.45">
      <c r="A4" s="185" t="s">
        <v>798</v>
      </c>
      <c r="B4" s="186" t="s">
        <v>326</v>
      </c>
      <c r="C4" s="186" t="s">
        <v>799</v>
      </c>
      <c r="D4" s="186" t="s">
        <v>797</v>
      </c>
      <c r="E4" s="186" t="s">
        <v>639</v>
      </c>
      <c r="F4" s="127"/>
    </row>
    <row r="5" spans="1:6" x14ac:dyDescent="0.45">
      <c r="A5" s="185" t="s">
        <v>800</v>
      </c>
      <c r="B5" s="186" t="s">
        <v>141</v>
      </c>
      <c r="C5" s="187" t="s">
        <v>801</v>
      </c>
      <c r="D5" s="186"/>
      <c r="E5" s="186" t="s">
        <v>639</v>
      </c>
      <c r="F5" s="127"/>
    </row>
    <row r="6" spans="1:6" x14ac:dyDescent="0.45">
      <c r="A6" s="185" t="s">
        <v>802</v>
      </c>
      <c r="B6" s="186" t="s">
        <v>803</v>
      </c>
      <c r="C6" s="187" t="s">
        <v>804</v>
      </c>
      <c r="D6" s="186"/>
      <c r="E6" s="186" t="s">
        <v>639</v>
      </c>
      <c r="F6" s="127"/>
    </row>
    <row r="7" spans="1:6" x14ac:dyDescent="0.45">
      <c r="A7" s="185" t="s">
        <v>478</v>
      </c>
      <c r="B7" s="186" t="s">
        <v>141</v>
      </c>
      <c r="C7" s="186" t="s">
        <v>805</v>
      </c>
      <c r="D7" s="186" t="s">
        <v>806</v>
      </c>
      <c r="E7" s="186"/>
      <c r="F7" s="127"/>
    </row>
    <row r="8" spans="1:6" x14ac:dyDescent="0.45">
      <c r="A8" s="185" t="s">
        <v>478</v>
      </c>
      <c r="B8" s="186" t="s">
        <v>141</v>
      </c>
      <c r="C8" s="186" t="s">
        <v>807</v>
      </c>
      <c r="D8" s="186" t="s">
        <v>808</v>
      </c>
      <c r="E8" s="186"/>
      <c r="F8" s="127"/>
    </row>
    <row r="9" spans="1:6" x14ac:dyDescent="0.45">
      <c r="A9" s="188"/>
      <c r="B9" s="188"/>
      <c r="C9" s="188"/>
      <c r="D9" s="188"/>
      <c r="E9" s="188"/>
    </row>
  </sheetData>
  <mergeCells count="1">
    <mergeCell ref="A1:E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5227A-A8CA-49BD-AAEE-5C90CFE5A91A}">
  <dimension ref="A1:J20"/>
  <sheetViews>
    <sheetView zoomScale="95" zoomScaleNormal="95" workbookViewId="0">
      <selection activeCell="Q9" sqref="Q9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41.6640625" customWidth="1"/>
    <col min="5" max="5" width="19.6640625" customWidth="1"/>
  </cols>
  <sheetData>
    <row r="1" spans="1:10" ht="28.5" x14ac:dyDescent="0.85">
      <c r="A1" s="218" t="s">
        <v>809</v>
      </c>
      <c r="B1" s="218"/>
      <c r="C1" s="218"/>
      <c r="D1" s="218"/>
      <c r="E1" s="218"/>
    </row>
    <row r="2" spans="1:10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10" ht="14.25" x14ac:dyDescent="0.45">
      <c r="A3" s="2" t="s">
        <v>28</v>
      </c>
      <c r="B3" s="1" t="s">
        <v>141</v>
      </c>
      <c r="C3" s="12" t="s">
        <v>810</v>
      </c>
      <c r="D3" s="14" t="s">
        <v>811</v>
      </c>
      <c r="E3" t="s">
        <v>152</v>
      </c>
      <c r="F3" t="s">
        <v>263</v>
      </c>
    </row>
    <row r="4" spans="1:10" ht="14.25" x14ac:dyDescent="0.45">
      <c r="A4" s="2"/>
      <c r="C4" s="1" t="s">
        <v>812</v>
      </c>
      <c r="D4" t="s">
        <v>813</v>
      </c>
      <c r="E4" t="s">
        <v>152</v>
      </c>
      <c r="F4" t="s">
        <v>263</v>
      </c>
    </row>
    <row r="5" spans="1:10" ht="14.25" x14ac:dyDescent="0.45">
      <c r="A5" s="2"/>
      <c r="C5" s="1" t="s">
        <v>814</v>
      </c>
      <c r="D5" t="s">
        <v>815</v>
      </c>
      <c r="E5" t="s">
        <v>152</v>
      </c>
      <c r="F5" t="s">
        <v>263</v>
      </c>
    </row>
    <row r="6" spans="1:10" ht="14.25" x14ac:dyDescent="0.45">
      <c r="A6" s="2"/>
      <c r="C6" s="1" t="s">
        <v>816</v>
      </c>
      <c r="D6" s="3" t="s">
        <v>817</v>
      </c>
      <c r="E6" t="s">
        <v>152</v>
      </c>
      <c r="F6" t="s">
        <v>263</v>
      </c>
    </row>
    <row r="7" spans="1:10" ht="14.25" x14ac:dyDescent="0.45">
      <c r="A7" s="2"/>
      <c r="C7" s="1" t="s">
        <v>818</v>
      </c>
      <c r="D7" t="s">
        <v>819</v>
      </c>
      <c r="E7" t="s">
        <v>152</v>
      </c>
      <c r="F7" t="s">
        <v>263</v>
      </c>
    </row>
    <row r="8" spans="1:10" s="2" customFormat="1" ht="14.25" x14ac:dyDescent="0.45">
      <c r="B8" s="24"/>
      <c r="C8" s="74" t="s">
        <v>820</v>
      </c>
      <c r="D8" s="2" t="s">
        <v>821</v>
      </c>
      <c r="E8" s="2" t="s">
        <v>152</v>
      </c>
    </row>
    <row r="9" spans="1:10" s="2" customFormat="1" ht="14.25" x14ac:dyDescent="0.45">
      <c r="B9" s="24"/>
      <c r="C9" s="74" t="s">
        <v>822</v>
      </c>
      <c r="D9" s="2" t="s">
        <v>823</v>
      </c>
      <c r="E9" s="2" t="s">
        <v>152</v>
      </c>
    </row>
    <row r="10" spans="1:10" ht="14.25" x14ac:dyDescent="0.45">
      <c r="A10" s="2"/>
    </row>
    <row r="11" spans="1:10" ht="14.25" x14ac:dyDescent="0.45">
      <c r="A11" s="2" t="s">
        <v>33</v>
      </c>
      <c r="B11" s="16" t="s">
        <v>253</v>
      </c>
      <c r="C11" s="12" t="s">
        <v>824</v>
      </c>
      <c r="D11" s="18" t="s">
        <v>825</v>
      </c>
      <c r="E11" t="s">
        <v>152</v>
      </c>
      <c r="F11" t="s">
        <v>153</v>
      </c>
    </row>
    <row r="12" spans="1:10" s="2" customFormat="1" ht="14.25" x14ac:dyDescent="0.45">
      <c r="B12" s="71"/>
      <c r="C12" s="72" t="s">
        <v>826</v>
      </c>
      <c r="D12" s="73" t="s">
        <v>825</v>
      </c>
      <c r="E12" s="2" t="s">
        <v>152</v>
      </c>
      <c r="F12" s="2" t="s">
        <v>353</v>
      </c>
      <c r="G12" s="2" t="s">
        <v>827</v>
      </c>
    </row>
    <row r="13" spans="1:10" ht="14.25" x14ac:dyDescent="0.45">
      <c r="A13" s="2"/>
      <c r="B13" s="16"/>
      <c r="C13" s="12" t="s">
        <v>828</v>
      </c>
      <c r="D13" s="18" t="s">
        <v>829</v>
      </c>
      <c r="E13" t="s">
        <v>152</v>
      </c>
      <c r="F13" t="s">
        <v>353</v>
      </c>
      <c r="G13" t="s">
        <v>827</v>
      </c>
      <c r="J13" t="s">
        <v>830</v>
      </c>
    </row>
    <row r="15" spans="1:10" ht="15" customHeight="1" x14ac:dyDescent="0.45">
      <c r="A15" s="2" t="s">
        <v>433</v>
      </c>
      <c r="B15" s="1" t="s">
        <v>831</v>
      </c>
      <c r="C15" s="1">
        <v>117290702</v>
      </c>
      <c r="D15" t="s">
        <v>832</v>
      </c>
      <c r="E15" t="s">
        <v>152</v>
      </c>
    </row>
    <row r="16" spans="1:10" ht="15" customHeight="1" x14ac:dyDescent="0.45">
      <c r="A16" t="s">
        <v>433</v>
      </c>
      <c r="C16" s="1">
        <v>336569199</v>
      </c>
      <c r="D16" t="s">
        <v>833</v>
      </c>
      <c r="E16" t="s">
        <v>152</v>
      </c>
    </row>
    <row r="18" spans="1:5" ht="15" customHeight="1" x14ac:dyDescent="0.45">
      <c r="A18" s="2" t="s">
        <v>834</v>
      </c>
      <c r="B18" s="1" t="s">
        <v>212</v>
      </c>
      <c r="C18" s="1">
        <v>5419769</v>
      </c>
      <c r="D18" t="s">
        <v>832</v>
      </c>
      <c r="E18" t="s">
        <v>152</v>
      </c>
    </row>
    <row r="20" spans="1:5" ht="15" customHeight="1" x14ac:dyDescent="0.45">
      <c r="A20" t="s">
        <v>835</v>
      </c>
      <c r="B20" s="1" t="s">
        <v>836</v>
      </c>
      <c r="E20" t="s">
        <v>152</v>
      </c>
    </row>
  </sheetData>
  <mergeCells count="1">
    <mergeCell ref="A1:E1"/>
  </mergeCells>
  <phoneticPr fontId="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5BD1-9C37-412B-86B6-4D89EC0F7A99}">
  <dimension ref="A1:I63"/>
  <sheetViews>
    <sheetView zoomScale="87" zoomScaleNormal="87" workbookViewId="0">
      <pane ySplit="2" topLeftCell="A3" activePane="bottomLeft" state="frozen"/>
      <selection pane="bottomLeft" activeCell="A2" sqref="A2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48.1328125" customWidth="1"/>
    <col min="5" max="5" width="24.46484375" customWidth="1"/>
    <col min="7" max="7" width="15.1328125" customWidth="1"/>
  </cols>
  <sheetData>
    <row r="1" spans="1:7" ht="28.5" x14ac:dyDescent="0.85">
      <c r="A1" s="218" t="s">
        <v>98</v>
      </c>
      <c r="B1" s="218"/>
      <c r="C1" s="218"/>
      <c r="D1" s="218"/>
      <c r="E1" s="218"/>
    </row>
    <row r="2" spans="1:7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  <c r="G2" s="50"/>
    </row>
    <row r="3" spans="1:7" ht="14.25" x14ac:dyDescent="0.45">
      <c r="A3" s="123" t="s">
        <v>99</v>
      </c>
      <c r="B3" s="124" t="s">
        <v>141</v>
      </c>
      <c r="C3" s="146" t="s">
        <v>837</v>
      </c>
      <c r="D3" s="127" t="s">
        <v>838</v>
      </c>
      <c r="E3" s="124" t="s">
        <v>140</v>
      </c>
      <c r="G3" s="61"/>
    </row>
    <row r="4" spans="1:7" ht="14.25" x14ac:dyDescent="0.45">
      <c r="A4" s="123" t="s">
        <v>99</v>
      </c>
      <c r="B4" s="124" t="s">
        <v>141</v>
      </c>
      <c r="C4" s="146" t="s">
        <v>839</v>
      </c>
      <c r="D4" s="127" t="s">
        <v>840</v>
      </c>
      <c r="E4" s="124" t="s">
        <v>140</v>
      </c>
      <c r="G4" s="61"/>
    </row>
    <row r="5" spans="1:7" ht="14.25" x14ac:dyDescent="0.45">
      <c r="A5" s="123" t="s">
        <v>99</v>
      </c>
      <c r="B5" s="124" t="s">
        <v>141</v>
      </c>
      <c r="C5" s="146" t="s">
        <v>841</v>
      </c>
      <c r="D5" s="127" t="s">
        <v>842</v>
      </c>
      <c r="E5" s="124" t="s">
        <v>140</v>
      </c>
      <c r="G5" s="61"/>
    </row>
    <row r="6" spans="1:7" ht="14.25" x14ac:dyDescent="0.45">
      <c r="A6" s="123" t="s">
        <v>99</v>
      </c>
      <c r="B6" s="124" t="s">
        <v>141</v>
      </c>
      <c r="C6" s="146" t="s">
        <v>843</v>
      </c>
      <c r="D6" s="126" t="s">
        <v>844</v>
      </c>
      <c r="E6" s="124" t="s">
        <v>140</v>
      </c>
      <c r="G6" s="61"/>
    </row>
    <row r="7" spans="1:7" ht="14.25" x14ac:dyDescent="0.45">
      <c r="A7" s="123" t="s">
        <v>99</v>
      </c>
      <c r="B7" s="124" t="s">
        <v>141</v>
      </c>
      <c r="C7" s="146" t="s">
        <v>845</v>
      </c>
      <c r="D7" s="127" t="s">
        <v>846</v>
      </c>
      <c r="E7" s="124" t="s">
        <v>140</v>
      </c>
      <c r="G7" s="61"/>
    </row>
    <row r="8" spans="1:7" ht="14.25" x14ac:dyDescent="0.45">
      <c r="A8" s="123" t="s">
        <v>99</v>
      </c>
      <c r="B8" s="124" t="s">
        <v>141</v>
      </c>
      <c r="C8" s="146" t="s">
        <v>847</v>
      </c>
      <c r="D8" s="127" t="s">
        <v>848</v>
      </c>
      <c r="E8" s="124" t="s">
        <v>140</v>
      </c>
      <c r="G8" s="61"/>
    </row>
    <row r="9" spans="1:7" ht="14.25" x14ac:dyDescent="0.45">
      <c r="A9" s="123" t="s">
        <v>99</v>
      </c>
      <c r="B9" s="124" t="s">
        <v>141</v>
      </c>
      <c r="C9" s="146" t="s">
        <v>849</v>
      </c>
      <c r="D9" s="127" t="s">
        <v>850</v>
      </c>
      <c r="E9" s="124" t="s">
        <v>140</v>
      </c>
      <c r="G9" s="61"/>
    </row>
    <row r="10" spans="1:7" ht="14.25" x14ac:dyDescent="0.45">
      <c r="A10" s="123" t="s">
        <v>99</v>
      </c>
      <c r="B10" s="124" t="s">
        <v>141</v>
      </c>
      <c r="C10" s="146" t="s">
        <v>851</v>
      </c>
      <c r="D10" s="127" t="s">
        <v>852</v>
      </c>
      <c r="E10" s="124" t="s">
        <v>140</v>
      </c>
      <c r="G10" s="61"/>
    </row>
    <row r="11" spans="1:7" ht="14.25" x14ac:dyDescent="0.45">
      <c r="A11" s="123" t="s">
        <v>99</v>
      </c>
      <c r="B11" s="124" t="s">
        <v>141</v>
      </c>
      <c r="C11" s="146" t="s">
        <v>853</v>
      </c>
      <c r="D11" s="127" t="s">
        <v>854</v>
      </c>
      <c r="E11" s="124" t="s">
        <v>140</v>
      </c>
      <c r="G11" s="61"/>
    </row>
    <row r="12" spans="1:7" ht="14.25" x14ac:dyDescent="0.45">
      <c r="A12" s="123" t="s">
        <v>99</v>
      </c>
      <c r="B12" s="124" t="s">
        <v>141</v>
      </c>
      <c r="C12" s="146" t="s">
        <v>855</v>
      </c>
      <c r="D12" s="127" t="s">
        <v>856</v>
      </c>
      <c r="E12" s="124" t="s">
        <v>140</v>
      </c>
      <c r="G12" s="61"/>
    </row>
    <row r="13" spans="1:7" ht="14.25" x14ac:dyDescent="0.45">
      <c r="A13" s="123" t="s">
        <v>99</v>
      </c>
      <c r="B13" s="124" t="s">
        <v>141</v>
      </c>
      <c r="C13" s="146" t="s">
        <v>857</v>
      </c>
      <c r="D13" s="127" t="s">
        <v>858</v>
      </c>
      <c r="E13" s="124" t="s">
        <v>140</v>
      </c>
      <c r="G13" s="61"/>
    </row>
    <row r="14" spans="1:7" ht="14.25" x14ac:dyDescent="0.45">
      <c r="A14" s="123" t="s">
        <v>99</v>
      </c>
      <c r="B14" s="124" t="s">
        <v>141</v>
      </c>
      <c r="C14" s="146" t="s">
        <v>859</v>
      </c>
      <c r="D14" s="127" t="s">
        <v>860</v>
      </c>
      <c r="E14" s="124" t="s">
        <v>140</v>
      </c>
      <c r="G14" s="61"/>
    </row>
    <row r="15" spans="1:7" ht="14.25" x14ac:dyDescent="0.45">
      <c r="A15" s="123" t="s">
        <v>99</v>
      </c>
      <c r="B15" s="124" t="s">
        <v>141</v>
      </c>
      <c r="C15" s="146" t="s">
        <v>861</v>
      </c>
      <c r="D15" s="127" t="s">
        <v>862</v>
      </c>
      <c r="E15" s="124" t="s">
        <v>140</v>
      </c>
      <c r="G15" s="61"/>
    </row>
    <row r="16" spans="1:7" ht="14.25" x14ac:dyDescent="0.45">
      <c r="A16" s="123" t="s">
        <v>99</v>
      </c>
      <c r="B16" s="124" t="s">
        <v>141</v>
      </c>
      <c r="C16" s="146" t="s">
        <v>863</v>
      </c>
      <c r="D16" s="127" t="s">
        <v>864</v>
      </c>
      <c r="E16" s="124" t="s">
        <v>140</v>
      </c>
      <c r="G16" s="61"/>
    </row>
    <row r="17" spans="1:7" ht="14.25" x14ac:dyDescent="0.45">
      <c r="A17" s="123" t="s">
        <v>99</v>
      </c>
      <c r="B17" s="124" t="s">
        <v>141</v>
      </c>
      <c r="C17" s="146" t="s">
        <v>865</v>
      </c>
      <c r="D17" s="127" t="s">
        <v>866</v>
      </c>
      <c r="E17" s="124" t="s">
        <v>140</v>
      </c>
      <c r="G17" s="61"/>
    </row>
    <row r="18" spans="1:7" ht="14.25" x14ac:dyDescent="0.45">
      <c r="A18" s="123" t="s">
        <v>99</v>
      </c>
      <c r="B18" s="124" t="s">
        <v>141</v>
      </c>
      <c r="C18" s="146" t="s">
        <v>867</v>
      </c>
      <c r="D18" s="127" t="s">
        <v>868</v>
      </c>
      <c r="E18" s="124" t="s">
        <v>140</v>
      </c>
      <c r="G18" s="61"/>
    </row>
    <row r="19" spans="1:7" ht="14.25" x14ac:dyDescent="0.45">
      <c r="A19" s="123" t="s">
        <v>99</v>
      </c>
      <c r="B19" s="124" t="s">
        <v>141</v>
      </c>
      <c r="C19" s="146" t="s">
        <v>869</v>
      </c>
      <c r="D19" s="127" t="s">
        <v>870</v>
      </c>
      <c r="E19" s="124" t="s">
        <v>140</v>
      </c>
      <c r="G19" s="61"/>
    </row>
    <row r="20" spans="1:7" ht="14.25" x14ac:dyDescent="0.45">
      <c r="A20" s="123" t="s">
        <v>99</v>
      </c>
      <c r="B20" s="124" t="s">
        <v>141</v>
      </c>
      <c r="C20" s="146" t="s">
        <v>871</v>
      </c>
      <c r="D20" s="127" t="s">
        <v>872</v>
      </c>
      <c r="E20" s="124" t="s">
        <v>140</v>
      </c>
      <c r="G20" s="61"/>
    </row>
    <row r="21" spans="1:7" ht="14.25" x14ac:dyDescent="0.45">
      <c r="A21" s="123" t="s">
        <v>99</v>
      </c>
      <c r="B21" s="124" t="s">
        <v>141</v>
      </c>
      <c r="C21" s="146" t="s">
        <v>873</v>
      </c>
      <c r="D21" s="127" t="s">
        <v>874</v>
      </c>
      <c r="E21" s="124" t="s">
        <v>140</v>
      </c>
      <c r="G21" s="61"/>
    </row>
    <row r="22" spans="1:7" ht="14.25" x14ac:dyDescent="0.45">
      <c r="A22" s="123" t="s">
        <v>99</v>
      </c>
      <c r="B22" s="124" t="s">
        <v>141</v>
      </c>
      <c r="C22" s="146" t="s">
        <v>875</v>
      </c>
      <c r="D22" s="127" t="s">
        <v>876</v>
      </c>
      <c r="E22" s="124" t="s">
        <v>140</v>
      </c>
      <c r="G22" s="61"/>
    </row>
    <row r="23" spans="1:7" ht="14.25" x14ac:dyDescent="0.45">
      <c r="A23" s="123" t="s">
        <v>99</v>
      </c>
      <c r="B23" s="124" t="s">
        <v>141</v>
      </c>
      <c r="C23" s="146" t="s">
        <v>877</v>
      </c>
      <c r="D23" s="127" t="s">
        <v>878</v>
      </c>
      <c r="E23" s="124" t="s">
        <v>140</v>
      </c>
      <c r="G23" s="61"/>
    </row>
    <row r="24" spans="1:7" ht="14.25" x14ac:dyDescent="0.45">
      <c r="A24" s="123" t="s">
        <v>99</v>
      </c>
      <c r="B24" s="124" t="s">
        <v>141</v>
      </c>
      <c r="C24" s="146" t="s">
        <v>879</v>
      </c>
      <c r="D24" s="127" t="s">
        <v>880</v>
      </c>
      <c r="E24" s="124" t="s">
        <v>140</v>
      </c>
      <c r="G24" s="61"/>
    </row>
    <row r="25" spans="1:7" ht="14.25" x14ac:dyDescent="0.45">
      <c r="A25" s="123" t="s">
        <v>99</v>
      </c>
      <c r="B25" s="124" t="s">
        <v>141</v>
      </c>
      <c r="C25" s="146" t="s">
        <v>881</v>
      </c>
      <c r="D25" s="127" t="s">
        <v>882</v>
      </c>
      <c r="E25" s="124" t="s">
        <v>140</v>
      </c>
      <c r="G25" s="61"/>
    </row>
    <row r="26" spans="1:7" ht="14.25" x14ac:dyDescent="0.45">
      <c r="A26" s="123" t="s">
        <v>99</v>
      </c>
      <c r="B26" s="124" t="s">
        <v>141</v>
      </c>
      <c r="C26" s="146" t="s">
        <v>883</v>
      </c>
      <c r="D26" s="127" t="s">
        <v>884</v>
      </c>
      <c r="E26" s="124" t="s">
        <v>140</v>
      </c>
      <c r="G26" s="61"/>
    </row>
    <row r="27" spans="1:7" ht="14.25" x14ac:dyDescent="0.45">
      <c r="A27" s="123" t="s">
        <v>99</v>
      </c>
      <c r="B27" s="124" t="s">
        <v>141</v>
      </c>
      <c r="C27" s="146" t="s">
        <v>885</v>
      </c>
      <c r="D27" s="127" t="s">
        <v>886</v>
      </c>
      <c r="E27" s="124" t="s">
        <v>140</v>
      </c>
      <c r="G27" s="61"/>
    </row>
    <row r="28" spans="1:7" ht="14.25" x14ac:dyDescent="0.45">
      <c r="A28" s="123" t="s">
        <v>99</v>
      </c>
      <c r="B28" s="124" t="s">
        <v>141</v>
      </c>
      <c r="C28" s="146" t="s">
        <v>887</v>
      </c>
      <c r="D28" s="127" t="s">
        <v>888</v>
      </c>
      <c r="E28" s="124" t="s">
        <v>140</v>
      </c>
      <c r="G28" s="61"/>
    </row>
    <row r="29" spans="1:7" ht="14.25" x14ac:dyDescent="0.45">
      <c r="A29" s="123" t="s">
        <v>99</v>
      </c>
      <c r="B29" s="124" t="s">
        <v>141</v>
      </c>
      <c r="C29" s="146" t="s">
        <v>889</v>
      </c>
      <c r="D29" s="127" t="s">
        <v>890</v>
      </c>
      <c r="E29" s="124" t="s">
        <v>140</v>
      </c>
      <c r="G29" s="61"/>
    </row>
    <row r="30" spans="1:7" ht="14.25" x14ac:dyDescent="0.45">
      <c r="A30" s="123" t="s">
        <v>99</v>
      </c>
      <c r="B30" s="124" t="s">
        <v>141</v>
      </c>
      <c r="C30" s="146" t="s">
        <v>891</v>
      </c>
      <c r="D30" s="127" t="s">
        <v>892</v>
      </c>
      <c r="E30" s="124" t="s">
        <v>140</v>
      </c>
      <c r="G30" s="61"/>
    </row>
    <row r="31" spans="1:7" ht="14.25" x14ac:dyDescent="0.45">
      <c r="A31" s="123" t="s">
        <v>99</v>
      </c>
      <c r="B31" s="124" t="s">
        <v>141</v>
      </c>
      <c r="C31" s="146" t="s">
        <v>893</v>
      </c>
      <c r="D31" s="127" t="s">
        <v>894</v>
      </c>
      <c r="E31" s="124" t="s">
        <v>140</v>
      </c>
      <c r="G31" s="61"/>
    </row>
    <row r="32" spans="1:7" ht="14.25" x14ac:dyDescent="0.45">
      <c r="A32" s="123" t="s">
        <v>99</v>
      </c>
      <c r="B32" s="124" t="s">
        <v>141</v>
      </c>
      <c r="C32" s="146" t="s">
        <v>895</v>
      </c>
      <c r="D32" s="127" t="s">
        <v>896</v>
      </c>
      <c r="E32" s="124" t="s">
        <v>140</v>
      </c>
      <c r="G32" s="61"/>
    </row>
    <row r="33" spans="1:9" ht="14.25" x14ac:dyDescent="0.45">
      <c r="A33" s="123" t="s">
        <v>99</v>
      </c>
      <c r="B33" s="124" t="s">
        <v>141</v>
      </c>
      <c r="C33" s="146" t="s">
        <v>897</v>
      </c>
      <c r="D33" s="127" t="s">
        <v>898</v>
      </c>
      <c r="E33" s="124" t="s">
        <v>140</v>
      </c>
      <c r="G33" s="61"/>
    </row>
    <row r="34" spans="1:9" ht="14.25" x14ac:dyDescent="0.45">
      <c r="A34" s="123" t="s">
        <v>99</v>
      </c>
      <c r="B34" s="124" t="s">
        <v>141</v>
      </c>
      <c r="C34" s="146" t="s">
        <v>899</v>
      </c>
      <c r="D34" s="127" t="s">
        <v>900</v>
      </c>
      <c r="E34" s="124" t="s">
        <v>140</v>
      </c>
      <c r="G34" s="61"/>
    </row>
    <row r="35" spans="1:9" ht="14.25" x14ac:dyDescent="0.45">
      <c r="A35" s="123" t="s">
        <v>99</v>
      </c>
      <c r="B35" s="124" t="s">
        <v>141</v>
      </c>
      <c r="C35" s="146" t="s">
        <v>901</v>
      </c>
      <c r="D35" s="127" t="s">
        <v>902</v>
      </c>
      <c r="E35" s="124" t="s">
        <v>140</v>
      </c>
      <c r="G35" s="61"/>
    </row>
    <row r="36" spans="1:9" ht="14.25" x14ac:dyDescent="0.45">
      <c r="A36" s="123" t="s">
        <v>99</v>
      </c>
      <c r="B36" s="124" t="s">
        <v>141</v>
      </c>
      <c r="C36" s="146" t="s">
        <v>903</v>
      </c>
      <c r="D36" s="127" t="s">
        <v>904</v>
      </c>
      <c r="E36" s="124" t="s">
        <v>140</v>
      </c>
      <c r="G36" s="61"/>
    </row>
    <row r="37" spans="1:9" ht="14.25" x14ac:dyDescent="0.45">
      <c r="A37" s="123" t="s">
        <v>99</v>
      </c>
      <c r="B37" s="124" t="s">
        <v>141</v>
      </c>
      <c r="C37" s="146" t="s">
        <v>905</v>
      </c>
      <c r="D37" s="127" t="s">
        <v>906</v>
      </c>
      <c r="E37" s="124" t="s">
        <v>140</v>
      </c>
      <c r="G37" s="61"/>
    </row>
    <row r="38" spans="1:9" ht="14.25" x14ac:dyDescent="0.45">
      <c r="A38" s="123" t="s">
        <v>99</v>
      </c>
      <c r="B38" s="124" t="s">
        <v>141</v>
      </c>
      <c r="C38" s="146" t="s">
        <v>907</v>
      </c>
      <c r="D38" s="127" t="s">
        <v>908</v>
      </c>
      <c r="E38" s="124" t="s">
        <v>140</v>
      </c>
      <c r="G38" s="61"/>
    </row>
    <row r="39" spans="1:9" ht="14.25" x14ac:dyDescent="0.45">
      <c r="A39" s="123" t="s">
        <v>99</v>
      </c>
      <c r="B39" s="124" t="s">
        <v>141</v>
      </c>
      <c r="C39" s="146" t="s">
        <v>909</v>
      </c>
      <c r="D39" s="127" t="s">
        <v>910</v>
      </c>
      <c r="E39" s="124" t="s">
        <v>140</v>
      </c>
      <c r="G39" s="61"/>
    </row>
    <row r="40" spans="1:9" ht="14.25" x14ac:dyDescent="0.45">
      <c r="A40" s="123" t="s">
        <v>99</v>
      </c>
      <c r="B40" s="124" t="s">
        <v>141</v>
      </c>
      <c r="C40" s="146" t="s">
        <v>911</v>
      </c>
      <c r="D40" s="127" t="s">
        <v>912</v>
      </c>
      <c r="E40" s="124" t="s">
        <v>140</v>
      </c>
      <c r="G40" s="61"/>
    </row>
    <row r="41" spans="1:9" ht="14.25" x14ac:dyDescent="0.45">
      <c r="A41" s="123" t="s">
        <v>99</v>
      </c>
      <c r="B41" s="124" t="s">
        <v>141</v>
      </c>
      <c r="C41" s="146" t="s">
        <v>913</v>
      </c>
      <c r="D41" s="127" t="s">
        <v>914</v>
      </c>
      <c r="E41" s="124" t="s">
        <v>140</v>
      </c>
      <c r="G41" s="61"/>
    </row>
    <row r="42" spans="1:9" ht="14.25" x14ac:dyDescent="0.45">
      <c r="A42" s="123" t="s">
        <v>99</v>
      </c>
      <c r="B42" s="124" t="s">
        <v>141</v>
      </c>
      <c r="C42" s="146" t="s">
        <v>915</v>
      </c>
      <c r="D42" s="127" t="s">
        <v>916</v>
      </c>
      <c r="E42" s="124" t="s">
        <v>140</v>
      </c>
      <c r="G42" s="61"/>
    </row>
    <row r="43" spans="1:9" ht="14.25" x14ac:dyDescent="0.45">
      <c r="A43" s="123" t="s">
        <v>99</v>
      </c>
      <c r="B43" s="124" t="s">
        <v>141</v>
      </c>
      <c r="C43" s="146" t="s">
        <v>917</v>
      </c>
      <c r="D43" s="127" t="s">
        <v>842</v>
      </c>
      <c r="E43" s="124" t="s">
        <v>140</v>
      </c>
      <c r="G43" s="61"/>
    </row>
    <row r="44" spans="1:9" ht="14.25" x14ac:dyDescent="0.45">
      <c r="A44" s="123" t="s">
        <v>99</v>
      </c>
      <c r="B44" s="124" t="s">
        <v>141</v>
      </c>
      <c r="C44" s="146" t="s">
        <v>918</v>
      </c>
      <c r="D44" s="127" t="s">
        <v>919</v>
      </c>
      <c r="E44" s="124" t="s">
        <v>717</v>
      </c>
      <c r="G44" s="61" t="s">
        <v>918</v>
      </c>
    </row>
    <row r="45" spans="1:9" ht="14.25" x14ac:dyDescent="0.45">
      <c r="A45" s="123" t="s">
        <v>99</v>
      </c>
      <c r="B45" s="124" t="s">
        <v>141</v>
      </c>
      <c r="C45" s="146" t="s">
        <v>920</v>
      </c>
      <c r="D45" s="127" t="s">
        <v>921</v>
      </c>
      <c r="E45" s="124" t="s">
        <v>717</v>
      </c>
      <c r="G45" s="27" t="s">
        <v>922</v>
      </c>
      <c r="I45" s="27"/>
    </row>
    <row r="46" spans="1:9" ht="14.25" x14ac:dyDescent="0.45">
      <c r="A46" s="123" t="s">
        <v>99</v>
      </c>
      <c r="B46" s="124" t="s">
        <v>141</v>
      </c>
      <c r="C46" s="146" t="s">
        <v>923</v>
      </c>
      <c r="D46" s="127" t="s">
        <v>924</v>
      </c>
      <c r="E46" s="124" t="s">
        <v>140</v>
      </c>
      <c r="G46" s="61"/>
    </row>
    <row r="47" spans="1:9" ht="14.25" x14ac:dyDescent="0.45">
      <c r="A47" s="123" t="s">
        <v>99</v>
      </c>
      <c r="B47" s="124" t="s">
        <v>141</v>
      </c>
      <c r="C47" s="146" t="s">
        <v>925</v>
      </c>
      <c r="D47" s="127" t="s">
        <v>926</v>
      </c>
      <c r="E47" s="124" t="s">
        <v>140</v>
      </c>
      <c r="G47" s="61" t="s">
        <v>925</v>
      </c>
    </row>
    <row r="48" spans="1:9" ht="14.25" x14ac:dyDescent="0.45">
      <c r="A48" s="123" t="s">
        <v>99</v>
      </c>
      <c r="B48" s="124" t="s">
        <v>141</v>
      </c>
      <c r="C48" s="146" t="s">
        <v>927</v>
      </c>
      <c r="D48" s="127" t="s">
        <v>928</v>
      </c>
      <c r="E48" s="124" t="s">
        <v>140</v>
      </c>
      <c r="G48" s="61" t="s">
        <v>927</v>
      </c>
    </row>
    <row r="49" spans="1:7" ht="14.25" x14ac:dyDescent="0.45">
      <c r="A49" s="123" t="s">
        <v>99</v>
      </c>
      <c r="B49" s="124" t="s">
        <v>141</v>
      </c>
      <c r="C49" s="147">
        <v>203982069</v>
      </c>
      <c r="D49" s="127"/>
      <c r="E49" s="124"/>
      <c r="G49" s="61" t="s">
        <v>929</v>
      </c>
    </row>
    <row r="50" spans="1:7" ht="14.25" x14ac:dyDescent="0.45">
      <c r="A50" s="123" t="s">
        <v>99</v>
      </c>
      <c r="B50" s="124" t="s">
        <v>141</v>
      </c>
      <c r="C50" s="146" t="s">
        <v>930</v>
      </c>
      <c r="D50" s="127"/>
      <c r="E50" s="124"/>
      <c r="G50" s="61" t="s">
        <v>929</v>
      </c>
    </row>
    <row r="51" spans="1:7" ht="14.25" x14ac:dyDescent="0.45">
      <c r="A51" s="123" t="s">
        <v>931</v>
      </c>
      <c r="B51" s="124" t="s">
        <v>431</v>
      </c>
      <c r="C51" s="148" t="s">
        <v>932</v>
      </c>
      <c r="D51" s="126" t="s">
        <v>933</v>
      </c>
      <c r="E51" s="124" t="s">
        <v>717</v>
      </c>
    </row>
    <row r="52" spans="1:7" ht="14.25" x14ac:dyDescent="0.45">
      <c r="A52" s="123" t="s">
        <v>18</v>
      </c>
      <c r="B52" s="133" t="s">
        <v>145</v>
      </c>
      <c r="C52" s="133">
        <v>169186201</v>
      </c>
      <c r="D52" s="138" t="s">
        <v>934</v>
      </c>
      <c r="E52" s="133" t="s">
        <v>935</v>
      </c>
    </row>
    <row r="53" spans="1:7" ht="15" customHeight="1" x14ac:dyDescent="0.45">
      <c r="A53" s="149" t="s">
        <v>936</v>
      </c>
      <c r="B53" s="124"/>
      <c r="C53" s="124"/>
      <c r="D53" s="127"/>
      <c r="E53" s="124"/>
    </row>
    <row r="54" spans="1:7" ht="15" customHeight="1" x14ac:dyDescent="0.45">
      <c r="A54" s="123" t="s">
        <v>790</v>
      </c>
      <c r="B54" s="124" t="s">
        <v>178</v>
      </c>
      <c r="C54" s="124"/>
      <c r="D54" s="127"/>
      <c r="E54" s="124"/>
    </row>
    <row r="55" spans="1:7" ht="15" customHeight="1" x14ac:dyDescent="0.45">
      <c r="A55" s="149" t="s">
        <v>937</v>
      </c>
      <c r="B55" s="124" t="s">
        <v>138</v>
      </c>
      <c r="C55" s="124" t="s">
        <v>938</v>
      </c>
      <c r="D55" s="127" t="s">
        <v>939</v>
      </c>
      <c r="E55" s="124" t="s">
        <v>717</v>
      </c>
    </row>
    <row r="56" spans="1:7" ht="15" customHeight="1" x14ac:dyDescent="0.45">
      <c r="A56" s="127"/>
      <c r="B56" s="124"/>
      <c r="C56" s="124" t="s">
        <v>940</v>
      </c>
      <c r="D56" s="127" t="s">
        <v>939</v>
      </c>
      <c r="E56" s="124" t="s">
        <v>717</v>
      </c>
    </row>
    <row r="57" spans="1:7" ht="15" customHeight="1" x14ac:dyDescent="0.45">
      <c r="A57" s="123" t="s">
        <v>99</v>
      </c>
      <c r="B57" s="124" t="s">
        <v>141</v>
      </c>
      <c r="C57" s="146" t="s">
        <v>941</v>
      </c>
      <c r="D57" s="138" t="s">
        <v>942</v>
      </c>
      <c r="E57" s="133" t="s">
        <v>152</v>
      </c>
    </row>
    <row r="58" spans="1:7" ht="15" customHeight="1" x14ac:dyDescent="0.45">
      <c r="E58" s="1"/>
    </row>
    <row r="59" spans="1:7" ht="15" customHeight="1" x14ac:dyDescent="0.45">
      <c r="E59" s="1"/>
    </row>
    <row r="60" spans="1:7" ht="15" customHeight="1" x14ac:dyDescent="0.45">
      <c r="E60" s="1"/>
    </row>
    <row r="61" spans="1:7" ht="15" customHeight="1" x14ac:dyDescent="0.45">
      <c r="E61" s="1"/>
    </row>
    <row r="62" spans="1:7" ht="15" customHeight="1" x14ac:dyDescent="0.45">
      <c r="E62" s="1"/>
    </row>
    <row r="63" spans="1:7" ht="15" customHeight="1" x14ac:dyDescent="0.45">
      <c r="E63" s="1"/>
    </row>
  </sheetData>
  <autoFilter ref="G1:G56" xr:uid="{A0645BD1-9C37-412B-86B6-4D89EC0F7A99}"/>
  <mergeCells count="1">
    <mergeCell ref="A1:E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15BE-0833-4F1E-BC1C-C8A4DDCC535E}">
  <dimension ref="A1:F22"/>
  <sheetViews>
    <sheetView zoomScale="87" zoomScaleNormal="87" workbookViewId="0">
      <selection activeCell="A4" sqref="A4:XFD4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44.33203125" customWidth="1"/>
    <col min="5" max="5" width="19.6640625" customWidth="1"/>
  </cols>
  <sheetData>
    <row r="1" spans="1:6" ht="28.5" x14ac:dyDescent="0.85">
      <c r="A1" s="218" t="s">
        <v>102</v>
      </c>
      <c r="B1" s="218"/>
      <c r="C1" s="218"/>
      <c r="D1" s="218"/>
      <c r="E1" s="218"/>
    </row>
    <row r="2" spans="1:6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6" ht="14.25" x14ac:dyDescent="0.45">
      <c r="A3" s="2" t="s">
        <v>28</v>
      </c>
      <c r="B3" s="1" t="s">
        <v>141</v>
      </c>
      <c r="C3" s="13">
        <v>6850041283</v>
      </c>
      <c r="D3" s="4" t="s">
        <v>943</v>
      </c>
      <c r="E3" t="s">
        <v>140</v>
      </c>
    </row>
    <row r="4" spans="1:6" s="2" customFormat="1" ht="14.25" x14ac:dyDescent="0.45">
      <c r="B4" s="24" t="s">
        <v>141</v>
      </c>
      <c r="C4" s="39" t="s">
        <v>944</v>
      </c>
      <c r="D4" s="2" t="s">
        <v>945</v>
      </c>
      <c r="E4" s="2" t="s">
        <v>152</v>
      </c>
      <c r="F4" s="2" t="s">
        <v>353</v>
      </c>
    </row>
    <row r="5" spans="1:6" ht="14.25" x14ac:dyDescent="0.45"/>
    <row r="6" spans="1:6" ht="28.5" x14ac:dyDescent="0.45">
      <c r="A6" s="2" t="s">
        <v>488</v>
      </c>
      <c r="B6" s="1" t="s">
        <v>138</v>
      </c>
      <c r="C6" s="12" t="s">
        <v>946</v>
      </c>
      <c r="D6" s="14" t="s">
        <v>947</v>
      </c>
      <c r="E6" t="s">
        <v>140</v>
      </c>
    </row>
    <row r="7" spans="1:6" ht="28.5" x14ac:dyDescent="0.45">
      <c r="A7" s="2"/>
      <c r="C7" s="7" t="s">
        <v>948</v>
      </c>
      <c r="D7" s="3" t="s">
        <v>947</v>
      </c>
      <c r="E7" t="s">
        <v>140</v>
      </c>
    </row>
    <row r="8" spans="1:6" ht="14.25" x14ac:dyDescent="0.45">
      <c r="A8" s="2"/>
      <c r="C8" s="6"/>
    </row>
    <row r="9" spans="1:6" ht="28.5" x14ac:dyDescent="0.45">
      <c r="A9" s="2" t="s">
        <v>61</v>
      </c>
      <c r="B9" s="1" t="s">
        <v>949</v>
      </c>
      <c r="C9" s="1">
        <v>6504933162</v>
      </c>
      <c r="D9" s="3" t="s">
        <v>947</v>
      </c>
      <c r="E9" t="s">
        <v>140</v>
      </c>
    </row>
    <row r="10" spans="1:6" ht="28.5" x14ac:dyDescent="0.45">
      <c r="A10" s="2"/>
      <c r="C10" s="1">
        <v>7269567005</v>
      </c>
      <c r="D10" s="3" t="s">
        <v>947</v>
      </c>
      <c r="E10" t="s">
        <v>140</v>
      </c>
    </row>
    <row r="11" spans="1:6" ht="14.25" x14ac:dyDescent="0.45">
      <c r="A11" s="2"/>
      <c r="D11" s="3"/>
    </row>
    <row r="12" spans="1:6" ht="14.25" x14ac:dyDescent="0.45">
      <c r="A12" s="2" t="s">
        <v>950</v>
      </c>
      <c r="B12" s="1" t="s">
        <v>212</v>
      </c>
      <c r="C12" s="1">
        <v>1208511</v>
      </c>
      <c r="D12" s="3" t="s">
        <v>951</v>
      </c>
      <c r="E12" t="s">
        <v>140</v>
      </c>
    </row>
    <row r="13" spans="1:6" ht="14.25" x14ac:dyDescent="0.45">
      <c r="A13" s="2"/>
      <c r="D13" s="3"/>
    </row>
    <row r="14" spans="1:6" ht="14.25" x14ac:dyDescent="0.45">
      <c r="A14" s="2"/>
      <c r="D14" s="3"/>
    </row>
    <row r="15" spans="1:6" ht="15" customHeight="1" x14ac:dyDescent="0.45">
      <c r="A15" s="2" t="s">
        <v>208</v>
      </c>
    </row>
    <row r="16" spans="1:6" s="56" customFormat="1" ht="28.5" x14ac:dyDescent="0.45">
      <c r="A16" s="41" t="s">
        <v>103</v>
      </c>
      <c r="B16" s="43" t="s">
        <v>145</v>
      </c>
      <c r="C16" s="122" t="s">
        <v>952</v>
      </c>
      <c r="D16" s="120" t="s">
        <v>947</v>
      </c>
      <c r="E16" s="56" t="s">
        <v>152</v>
      </c>
      <c r="F16" s="41" t="s">
        <v>953</v>
      </c>
    </row>
    <row r="17" spans="1:6" ht="15" customHeight="1" x14ac:dyDescent="0.45">
      <c r="A17" s="2"/>
      <c r="D17" s="3"/>
    </row>
    <row r="21" spans="1:6" ht="15" customHeight="1" x14ac:dyDescent="0.45">
      <c r="A21" s="41" t="s">
        <v>312</v>
      </c>
    </row>
    <row r="22" spans="1:6" s="27" customFormat="1" ht="15" customHeight="1" x14ac:dyDescent="0.45">
      <c r="A22" s="34" t="s">
        <v>28</v>
      </c>
      <c r="B22" s="29" t="s">
        <v>141</v>
      </c>
      <c r="C22" s="26">
        <v>1954441505</v>
      </c>
      <c r="D22" s="27" t="s">
        <v>954</v>
      </c>
      <c r="E22" s="27" t="s">
        <v>140</v>
      </c>
      <c r="F22" s="27" t="s">
        <v>255</v>
      </c>
    </row>
  </sheetData>
  <mergeCells count="1">
    <mergeCell ref="A1:E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C5CA-185A-41CB-933F-7E015D85E9C7}">
  <dimension ref="A1:F20"/>
  <sheetViews>
    <sheetView zoomScale="87" zoomScaleNormal="87" workbookViewId="0">
      <selection activeCell="A16" sqref="A16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45" customWidth="1"/>
    <col min="5" max="5" width="19.6640625" customWidth="1"/>
  </cols>
  <sheetData>
    <row r="1" spans="1:5" ht="28.5" x14ac:dyDescent="0.85">
      <c r="A1" s="218" t="s">
        <v>104</v>
      </c>
      <c r="B1" s="218"/>
      <c r="C1" s="218"/>
      <c r="D1" s="218"/>
      <c r="E1" s="218"/>
    </row>
    <row r="2" spans="1:5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ht="14.25" x14ac:dyDescent="0.45">
      <c r="A3" s="123" t="s">
        <v>28</v>
      </c>
      <c r="B3" s="124" t="s">
        <v>141</v>
      </c>
      <c r="C3" s="156" t="s">
        <v>955</v>
      </c>
      <c r="D3" s="157" t="s">
        <v>956</v>
      </c>
      <c r="E3" s="127" t="s">
        <v>140</v>
      </c>
    </row>
    <row r="4" spans="1:5" ht="15" customHeight="1" x14ac:dyDescent="0.45">
      <c r="A4" s="123" t="s">
        <v>28</v>
      </c>
      <c r="B4" s="124" t="s">
        <v>141</v>
      </c>
      <c r="C4" s="158">
        <v>6652123339</v>
      </c>
      <c r="D4" s="126" t="s">
        <v>957</v>
      </c>
      <c r="E4" s="127" t="s">
        <v>140</v>
      </c>
    </row>
    <row r="5" spans="1:5" ht="14.25" x14ac:dyDescent="0.45">
      <c r="A5" s="123" t="s">
        <v>28</v>
      </c>
      <c r="B5" s="124" t="s">
        <v>141</v>
      </c>
      <c r="C5" s="158">
        <v>7712723332</v>
      </c>
      <c r="D5" s="127" t="s">
        <v>958</v>
      </c>
      <c r="E5" s="127" t="s">
        <v>140</v>
      </c>
    </row>
    <row r="6" spans="1:5" ht="14.25" x14ac:dyDescent="0.45">
      <c r="A6" s="123" t="s">
        <v>28</v>
      </c>
      <c r="B6" s="124" t="s">
        <v>141</v>
      </c>
      <c r="C6" s="159" t="s">
        <v>959</v>
      </c>
      <c r="D6" s="160" t="s">
        <v>960</v>
      </c>
      <c r="E6" s="138" t="s">
        <v>140</v>
      </c>
    </row>
    <row r="7" spans="1:5" ht="14.25" x14ac:dyDescent="0.45">
      <c r="A7" s="123" t="s">
        <v>28</v>
      </c>
      <c r="B7" s="124" t="s">
        <v>141</v>
      </c>
      <c r="C7" s="159" t="s">
        <v>961</v>
      </c>
      <c r="D7" s="160" t="s">
        <v>962</v>
      </c>
      <c r="E7" s="138" t="s">
        <v>140</v>
      </c>
    </row>
    <row r="8" spans="1:5" ht="14.25" x14ac:dyDescent="0.45">
      <c r="A8" s="123" t="s">
        <v>28</v>
      </c>
      <c r="B8" s="124" t="s">
        <v>141</v>
      </c>
      <c r="C8" s="159" t="s">
        <v>963</v>
      </c>
      <c r="D8" s="160" t="s">
        <v>964</v>
      </c>
      <c r="E8" s="138" t="s">
        <v>140</v>
      </c>
    </row>
    <row r="9" spans="1:5" ht="14.25" x14ac:dyDescent="0.45">
      <c r="A9" s="123" t="s">
        <v>28</v>
      </c>
      <c r="B9" s="124" t="s">
        <v>141</v>
      </c>
      <c r="C9" s="159" t="s">
        <v>965</v>
      </c>
      <c r="D9" s="160" t="s">
        <v>966</v>
      </c>
      <c r="E9" s="138" t="s">
        <v>140</v>
      </c>
    </row>
    <row r="10" spans="1:5" ht="14.25" x14ac:dyDescent="0.45">
      <c r="A10" s="123" t="s">
        <v>28</v>
      </c>
      <c r="B10" s="124" t="s">
        <v>141</v>
      </c>
      <c r="C10" s="161" t="s">
        <v>967</v>
      </c>
      <c r="D10" s="160" t="s">
        <v>968</v>
      </c>
      <c r="E10" s="138" t="s">
        <v>140</v>
      </c>
    </row>
    <row r="11" spans="1:5" ht="14.25" x14ac:dyDescent="0.45">
      <c r="A11" s="123" t="s">
        <v>28</v>
      </c>
      <c r="B11" s="124" t="s">
        <v>141</v>
      </c>
      <c r="C11" s="159" t="s">
        <v>969</v>
      </c>
      <c r="D11" s="160" t="s">
        <v>970</v>
      </c>
      <c r="E11" s="138" t="s">
        <v>140</v>
      </c>
    </row>
    <row r="12" spans="1:5" ht="14.25" x14ac:dyDescent="0.45">
      <c r="A12" s="123" t="s">
        <v>28</v>
      </c>
      <c r="B12" s="124" t="s">
        <v>141</v>
      </c>
      <c r="C12" s="161" t="s">
        <v>971</v>
      </c>
      <c r="D12" s="160" t="s">
        <v>972</v>
      </c>
      <c r="E12" s="138" t="s">
        <v>140</v>
      </c>
    </row>
    <row r="13" spans="1:5" ht="14.25" x14ac:dyDescent="0.45">
      <c r="A13" s="123" t="s">
        <v>28</v>
      </c>
      <c r="B13" s="124" t="s">
        <v>141</v>
      </c>
      <c r="C13" s="159" t="s">
        <v>973</v>
      </c>
      <c r="D13" s="160" t="s">
        <v>974</v>
      </c>
      <c r="E13" s="138" t="s">
        <v>140</v>
      </c>
    </row>
    <row r="14" spans="1:5" ht="14.25" x14ac:dyDescent="0.45">
      <c r="A14" s="123" t="s">
        <v>28</v>
      </c>
      <c r="B14" s="124" t="s">
        <v>141</v>
      </c>
      <c r="C14" s="159" t="s">
        <v>975</v>
      </c>
      <c r="D14" s="160" t="s">
        <v>976</v>
      </c>
      <c r="E14" s="138" t="s">
        <v>140</v>
      </c>
    </row>
    <row r="15" spans="1:5" ht="14.25" x14ac:dyDescent="0.45">
      <c r="A15" s="123" t="s">
        <v>488</v>
      </c>
      <c r="B15" s="124" t="s">
        <v>138</v>
      </c>
      <c r="C15" s="162" t="s">
        <v>977</v>
      </c>
      <c r="D15" s="157" t="s">
        <v>978</v>
      </c>
      <c r="E15" s="127" t="s">
        <v>140</v>
      </c>
    </row>
    <row r="16" spans="1:5" ht="14.25" x14ac:dyDescent="0.45">
      <c r="A16" s="123" t="s">
        <v>105</v>
      </c>
      <c r="B16" s="124" t="s">
        <v>147</v>
      </c>
      <c r="C16" s="124" t="s">
        <v>979</v>
      </c>
      <c r="D16" s="157" t="s">
        <v>978</v>
      </c>
      <c r="E16" s="127" t="s">
        <v>140</v>
      </c>
    </row>
    <row r="17" spans="1:6" ht="15" customHeight="1" x14ac:dyDescent="0.45">
      <c r="A17" s="123" t="s">
        <v>28</v>
      </c>
      <c r="B17" s="124" t="s">
        <v>141</v>
      </c>
      <c r="C17" s="139">
        <v>1199994284</v>
      </c>
      <c r="D17" s="138" t="s">
        <v>980</v>
      </c>
      <c r="E17" s="138"/>
      <c r="F17" s="34" t="s">
        <v>263</v>
      </c>
    </row>
    <row r="18" spans="1:6" ht="15" customHeight="1" x14ac:dyDescent="0.45">
      <c r="A18" s="123" t="s">
        <v>28</v>
      </c>
      <c r="B18" s="124" t="s">
        <v>141</v>
      </c>
      <c r="C18" s="139">
        <v>6157918050</v>
      </c>
      <c r="D18" s="138" t="s">
        <v>981</v>
      </c>
      <c r="E18" s="127"/>
      <c r="F18" t="s">
        <v>251</v>
      </c>
    </row>
    <row r="19" spans="1:6" ht="15" customHeight="1" x14ac:dyDescent="0.45">
      <c r="A19" s="123" t="s">
        <v>28</v>
      </c>
      <c r="B19" s="124" t="s">
        <v>141</v>
      </c>
      <c r="C19" s="139">
        <v>8787378499</v>
      </c>
      <c r="D19" s="138" t="s">
        <v>982</v>
      </c>
      <c r="E19" s="138"/>
      <c r="F19" s="34" t="s">
        <v>263</v>
      </c>
    </row>
    <row r="20" spans="1:6" ht="15" customHeight="1" x14ac:dyDescent="0.45">
      <c r="A20" s="123" t="s">
        <v>28</v>
      </c>
      <c r="B20" s="124" t="s">
        <v>141</v>
      </c>
      <c r="C20" s="139">
        <v>9304505168</v>
      </c>
      <c r="D20" s="138" t="s">
        <v>980</v>
      </c>
      <c r="E20" s="138"/>
      <c r="F20" s="34" t="s">
        <v>263</v>
      </c>
    </row>
  </sheetData>
  <mergeCells count="1">
    <mergeCell ref="A1:E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D3115-B87B-4530-948C-1FB0F36D6BA5}">
  <dimension ref="A1:E10"/>
  <sheetViews>
    <sheetView zoomScale="87" zoomScaleNormal="87" workbookViewId="0">
      <selection activeCell="C13" sqref="C13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33.6640625" customWidth="1"/>
    <col min="5" max="5" width="19.6640625" customWidth="1"/>
  </cols>
  <sheetData>
    <row r="1" spans="1:5" ht="28.5" x14ac:dyDescent="0.85">
      <c r="A1" s="218" t="s">
        <v>106</v>
      </c>
      <c r="B1" s="218"/>
      <c r="C1" s="218"/>
      <c r="D1" s="218"/>
      <c r="E1" s="218"/>
    </row>
    <row r="2" spans="1:5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ht="14.25" x14ac:dyDescent="0.45">
      <c r="A3" s="2" t="s">
        <v>107</v>
      </c>
      <c r="C3" s="1" t="s">
        <v>983</v>
      </c>
      <c r="D3" t="s">
        <v>984</v>
      </c>
      <c r="E3" t="s">
        <v>140</v>
      </c>
    </row>
    <row r="4" spans="1:5" ht="14.25" x14ac:dyDescent="0.45">
      <c r="A4" s="2"/>
    </row>
    <row r="5" spans="1:5" ht="14.25" x14ac:dyDescent="0.45">
      <c r="A5" s="2"/>
    </row>
    <row r="6" spans="1:5" ht="14.25" x14ac:dyDescent="0.45">
      <c r="A6" s="2"/>
      <c r="D6" s="3"/>
    </row>
    <row r="7" spans="1:5" ht="14.25" x14ac:dyDescent="0.45">
      <c r="A7" s="2"/>
    </row>
    <row r="8" spans="1:5" ht="14.25" x14ac:dyDescent="0.45">
      <c r="A8" s="2"/>
      <c r="C8" s="6"/>
    </row>
    <row r="9" spans="1:5" ht="14.25" x14ac:dyDescent="0.45">
      <c r="A9" s="2"/>
    </row>
    <row r="10" spans="1:5" ht="14.25" x14ac:dyDescent="0.45">
      <c r="A10" s="2"/>
    </row>
  </sheetData>
  <mergeCells count="1">
    <mergeCell ref="A1:E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ECA4-7312-4A6E-BFFE-F7F39BB61F8A}">
  <dimension ref="A1:F24"/>
  <sheetViews>
    <sheetView zoomScale="87" zoomScaleNormal="87" workbookViewId="0">
      <selection activeCell="D33" sqref="D33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54.33203125" customWidth="1"/>
    <col min="5" max="5" width="19.6640625" customWidth="1"/>
  </cols>
  <sheetData>
    <row r="1" spans="1:6" ht="28.5" x14ac:dyDescent="0.85">
      <c r="A1" s="218" t="s">
        <v>985</v>
      </c>
      <c r="B1" s="218"/>
      <c r="C1" s="218"/>
      <c r="D1" s="218"/>
      <c r="E1" s="218"/>
    </row>
    <row r="2" spans="1:6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6" ht="14.25" x14ac:dyDescent="0.45">
      <c r="A3" s="2" t="s">
        <v>28</v>
      </c>
      <c r="B3" s="1" t="s">
        <v>141</v>
      </c>
      <c r="C3" s="106">
        <v>1293090468</v>
      </c>
      <c r="D3" s="107" t="s">
        <v>986</v>
      </c>
      <c r="E3" s="108" t="s">
        <v>152</v>
      </c>
      <c r="F3" s="44" t="s">
        <v>987</v>
      </c>
    </row>
    <row r="4" spans="1:6" ht="14.25" x14ac:dyDescent="0.45">
      <c r="A4" s="2"/>
      <c r="C4" s="26">
        <v>1386199085</v>
      </c>
      <c r="D4" s="27" t="s">
        <v>988</v>
      </c>
      <c r="F4" s="34" t="s">
        <v>263</v>
      </c>
    </row>
    <row r="5" spans="1:6" ht="14.25" x14ac:dyDescent="0.45">
      <c r="A5" s="2"/>
      <c r="C5" s="26">
        <v>4542326279</v>
      </c>
      <c r="D5" s="27" t="s">
        <v>989</v>
      </c>
      <c r="F5" s="34" t="s">
        <v>263</v>
      </c>
    </row>
    <row r="6" spans="1:6" ht="14.25" x14ac:dyDescent="0.45">
      <c r="A6" s="2"/>
      <c r="C6" s="26">
        <v>5104504047</v>
      </c>
      <c r="D6" s="35" t="s">
        <v>990</v>
      </c>
      <c r="F6" s="34" t="s">
        <v>263</v>
      </c>
    </row>
    <row r="7" spans="1:6" ht="14.25" x14ac:dyDescent="0.45">
      <c r="A7" s="2"/>
      <c r="C7" s="26">
        <v>6253321183</v>
      </c>
      <c r="D7" s="27" t="s">
        <v>986</v>
      </c>
      <c r="F7" s="34" t="s">
        <v>263</v>
      </c>
    </row>
    <row r="8" spans="1:6" ht="14.25" x14ac:dyDescent="0.45">
      <c r="A8" s="2"/>
      <c r="C8" s="26">
        <v>6410004045</v>
      </c>
      <c r="D8" s="27" t="s">
        <v>991</v>
      </c>
      <c r="F8" s="34" t="s">
        <v>263</v>
      </c>
    </row>
    <row r="9" spans="1:6" ht="14.25" x14ac:dyDescent="0.45">
      <c r="A9" s="2"/>
      <c r="C9" s="13">
        <v>6707393044</v>
      </c>
      <c r="D9" t="s">
        <v>992</v>
      </c>
      <c r="F9" s="34" t="s">
        <v>285</v>
      </c>
    </row>
    <row r="10" spans="1:6" ht="14.25" x14ac:dyDescent="0.45">
      <c r="A10" s="2"/>
      <c r="C10" s="53">
        <v>6767014043</v>
      </c>
      <c r="D10" t="s">
        <v>993</v>
      </c>
      <c r="E10" t="s">
        <v>140</v>
      </c>
      <c r="F10" s="34"/>
    </row>
    <row r="11" spans="1:6" ht="14.25" x14ac:dyDescent="0.45">
      <c r="C11" s="13">
        <v>7013921189</v>
      </c>
      <c r="D11" t="s">
        <v>994</v>
      </c>
      <c r="F11" s="34" t="s">
        <v>285</v>
      </c>
    </row>
    <row r="12" spans="1:6" ht="14.25" x14ac:dyDescent="0.45">
      <c r="C12" s="26">
        <v>7235348104</v>
      </c>
      <c r="D12" s="27" t="s">
        <v>991</v>
      </c>
      <c r="F12" s="34" t="s">
        <v>263</v>
      </c>
    </row>
    <row r="13" spans="1:6" ht="14.25" x14ac:dyDescent="0.45">
      <c r="C13" s="13">
        <v>7270531184</v>
      </c>
      <c r="D13" t="s">
        <v>989</v>
      </c>
      <c r="F13" s="34" t="s">
        <v>285</v>
      </c>
    </row>
    <row r="14" spans="1:6" ht="14.25" x14ac:dyDescent="0.45">
      <c r="C14" s="53">
        <v>8927611411</v>
      </c>
      <c r="D14" t="s">
        <v>995</v>
      </c>
      <c r="E14" t="s">
        <v>140</v>
      </c>
    </row>
    <row r="15" spans="1:6" ht="14.25" x14ac:dyDescent="0.45">
      <c r="C15" s="53">
        <v>9140511180</v>
      </c>
      <c r="D15" t="s">
        <v>996</v>
      </c>
      <c r="E15" t="s">
        <v>140</v>
      </c>
    </row>
    <row r="16" spans="1:6" ht="14.25" x14ac:dyDescent="0.45">
      <c r="C16" s="53">
        <v>9545042336</v>
      </c>
      <c r="D16" t="s">
        <v>997</v>
      </c>
      <c r="E16" t="s">
        <v>140</v>
      </c>
    </row>
    <row r="17" spans="1:6" ht="14.25" x14ac:dyDescent="0.45">
      <c r="C17" s="26">
        <v>9833339501</v>
      </c>
      <c r="D17" s="27" t="s">
        <v>988</v>
      </c>
      <c r="F17" s="34" t="s">
        <v>263</v>
      </c>
    </row>
    <row r="18" spans="1:6" ht="14.25" x14ac:dyDescent="0.45">
      <c r="C18" s="53">
        <v>7858582088</v>
      </c>
      <c r="D18" t="s">
        <v>998</v>
      </c>
      <c r="E18" t="s">
        <v>140</v>
      </c>
      <c r="F18" s="44" t="s">
        <v>987</v>
      </c>
    </row>
    <row r="19" spans="1:6" ht="14.25" x14ac:dyDescent="0.45">
      <c r="C19" s="53">
        <v>1202679484</v>
      </c>
      <c r="D19" t="s">
        <v>999</v>
      </c>
      <c r="E19" t="s">
        <v>152</v>
      </c>
      <c r="F19" s="44" t="s">
        <v>1000</v>
      </c>
    </row>
    <row r="20" spans="1:6" ht="14.25" x14ac:dyDescent="0.45">
      <c r="A20" s="2"/>
      <c r="C20" s="13"/>
      <c r="D20" s="4"/>
    </row>
    <row r="21" spans="1:6" ht="14.25" x14ac:dyDescent="0.45">
      <c r="A21" s="2" t="s">
        <v>931</v>
      </c>
      <c r="B21" s="1" t="s">
        <v>431</v>
      </c>
      <c r="C21" s="7" t="s">
        <v>1001</v>
      </c>
      <c r="D21" t="s">
        <v>1002</v>
      </c>
      <c r="E21" t="s">
        <v>140</v>
      </c>
    </row>
    <row r="24" spans="1:6" ht="28.5" x14ac:dyDescent="0.45">
      <c r="A24" s="2" t="s">
        <v>39</v>
      </c>
      <c r="B24" s="16" t="s">
        <v>321</v>
      </c>
      <c r="C24" s="1" t="s">
        <v>1003</v>
      </c>
      <c r="D24" t="s">
        <v>1004</v>
      </c>
      <c r="E24" t="s">
        <v>140</v>
      </c>
    </row>
  </sheetData>
  <mergeCells count="1">
    <mergeCell ref="A1:E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ED83-1C3C-42A4-B1EC-8B309C842498}">
  <dimension ref="A1:F14"/>
  <sheetViews>
    <sheetView zoomScale="87" zoomScaleNormal="87" workbookViewId="0">
      <selection activeCell="F30" sqref="F30"/>
    </sheetView>
  </sheetViews>
  <sheetFormatPr defaultRowHeight="15" customHeight="1" x14ac:dyDescent="0.45"/>
  <cols>
    <col min="1" max="1" width="37.6640625" customWidth="1"/>
    <col min="2" max="2" width="18.33203125" style="1" customWidth="1"/>
    <col min="3" max="3" width="26" style="1" customWidth="1"/>
    <col min="4" max="4" width="40.1328125" customWidth="1"/>
    <col min="5" max="5" width="19.6640625" customWidth="1"/>
  </cols>
  <sheetData>
    <row r="1" spans="1:6" ht="28.5" x14ac:dyDescent="0.85">
      <c r="A1" s="218" t="s">
        <v>1005</v>
      </c>
      <c r="B1" s="218"/>
      <c r="C1" s="218"/>
      <c r="D1" s="218"/>
      <c r="E1" s="218"/>
    </row>
    <row r="2" spans="1:6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6" ht="14.25" x14ac:dyDescent="0.45">
      <c r="A3" s="2" t="s">
        <v>1006</v>
      </c>
      <c r="B3" s="1" t="s">
        <v>141</v>
      </c>
      <c r="C3" s="13">
        <v>779868001</v>
      </c>
      <c r="D3" s="4" t="s">
        <v>1007</v>
      </c>
      <c r="E3" t="s">
        <v>1008</v>
      </c>
      <c r="F3">
        <v>6032</v>
      </c>
    </row>
    <row r="4" spans="1:6" ht="14.25" x14ac:dyDescent="0.45">
      <c r="A4" s="2"/>
      <c r="B4" s="1" t="s">
        <v>141</v>
      </c>
      <c r="C4" s="13">
        <v>779868002</v>
      </c>
      <c r="D4" t="s">
        <v>1009</v>
      </c>
      <c r="E4" t="s">
        <v>1008</v>
      </c>
      <c r="F4">
        <v>6032</v>
      </c>
    </row>
    <row r="5" spans="1:6" ht="14.25" x14ac:dyDescent="0.45">
      <c r="A5" s="2"/>
      <c r="B5" s="1" t="s">
        <v>141</v>
      </c>
      <c r="C5" s="13">
        <v>779868003</v>
      </c>
      <c r="D5" s="4" t="s">
        <v>1010</v>
      </c>
      <c r="E5" t="s">
        <v>1008</v>
      </c>
      <c r="F5">
        <v>6032</v>
      </c>
    </row>
    <row r="6" spans="1:6" ht="14.25" x14ac:dyDescent="0.45">
      <c r="A6" s="2"/>
      <c r="B6" s="1" t="s">
        <v>141</v>
      </c>
      <c r="C6" s="13">
        <v>779868006</v>
      </c>
      <c r="D6" s="3" t="s">
        <v>1011</v>
      </c>
      <c r="E6" t="s">
        <v>1008</v>
      </c>
      <c r="F6">
        <v>6032</v>
      </c>
    </row>
    <row r="7" spans="1:6" ht="14.25" x14ac:dyDescent="0.45">
      <c r="A7" s="2"/>
      <c r="B7" s="1" t="s">
        <v>141</v>
      </c>
      <c r="C7" s="13">
        <v>779868004</v>
      </c>
      <c r="D7" s="4" t="s">
        <v>1012</v>
      </c>
      <c r="E7" t="s">
        <v>1008</v>
      </c>
      <c r="F7">
        <v>6032</v>
      </c>
    </row>
    <row r="8" spans="1:6" ht="14.25" x14ac:dyDescent="0.45">
      <c r="A8" s="2"/>
      <c r="B8" s="1" t="s">
        <v>141</v>
      </c>
      <c r="C8" s="13">
        <v>779868005</v>
      </c>
      <c r="D8" t="s">
        <v>1013</v>
      </c>
      <c r="E8" t="s">
        <v>1008</v>
      </c>
      <c r="F8">
        <v>6032</v>
      </c>
    </row>
    <row r="9" spans="1:6" ht="14.25" x14ac:dyDescent="0.45">
      <c r="A9" s="23"/>
    </row>
    <row r="10" spans="1:6" ht="14.25" x14ac:dyDescent="0.45">
      <c r="A10" s="2" t="s">
        <v>509</v>
      </c>
      <c r="B10" s="1" t="s">
        <v>192</v>
      </c>
      <c r="C10" s="68" t="s">
        <v>1014</v>
      </c>
      <c r="D10" t="s">
        <v>1010</v>
      </c>
      <c r="E10" t="s">
        <v>1008</v>
      </c>
      <c r="F10">
        <v>6032</v>
      </c>
    </row>
    <row r="12" spans="1:6" ht="15" customHeight="1" x14ac:dyDescent="0.45">
      <c r="B12" s="1" t="s">
        <v>138</v>
      </c>
    </row>
    <row r="14" spans="1:6" ht="15" customHeight="1" x14ac:dyDescent="0.45">
      <c r="B14" s="1" t="s">
        <v>147</v>
      </c>
    </row>
  </sheetData>
  <mergeCells count="1">
    <mergeCell ref="A1:E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4C35A-B9E2-47B4-B569-BC04FAFB30C6}">
  <dimension ref="A1:E10"/>
  <sheetViews>
    <sheetView zoomScale="87" zoomScaleNormal="87" workbookViewId="0">
      <selection activeCell="C7" sqref="C7"/>
    </sheetView>
  </sheetViews>
  <sheetFormatPr defaultRowHeight="15" customHeight="1" x14ac:dyDescent="0.45"/>
  <cols>
    <col min="1" max="1" width="31.53125" customWidth="1"/>
    <col min="2" max="2" width="18.33203125" style="1" customWidth="1"/>
    <col min="3" max="3" width="20.33203125" style="1" customWidth="1"/>
    <col min="4" max="4" width="40.1328125" customWidth="1"/>
    <col min="5" max="5" width="19.6640625" customWidth="1"/>
  </cols>
  <sheetData>
    <row r="1" spans="1:5" ht="28.5" x14ac:dyDescent="0.85">
      <c r="A1" s="218" t="s">
        <v>109</v>
      </c>
      <c r="B1" s="218"/>
      <c r="C1" s="218"/>
      <c r="D1" s="218"/>
      <c r="E1" s="218"/>
    </row>
    <row r="2" spans="1:5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ht="14.25" x14ac:dyDescent="0.45">
      <c r="A3" s="2" t="s">
        <v>28</v>
      </c>
      <c r="B3" s="1" t="s">
        <v>141</v>
      </c>
      <c r="C3" s="13">
        <v>6211686412</v>
      </c>
      <c r="D3" s="4" t="s">
        <v>1015</v>
      </c>
      <c r="E3" t="s">
        <v>140</v>
      </c>
    </row>
    <row r="4" spans="1:5" ht="14.25" x14ac:dyDescent="0.45">
      <c r="A4" s="2"/>
    </row>
    <row r="5" spans="1:5" ht="14.25" x14ac:dyDescent="0.45">
      <c r="A5" s="2" t="s">
        <v>488</v>
      </c>
      <c r="B5" s="1" t="s">
        <v>138</v>
      </c>
      <c r="C5" s="12" t="s">
        <v>1016</v>
      </c>
      <c r="D5" s="4" t="s">
        <v>1017</v>
      </c>
      <c r="E5" t="s">
        <v>140</v>
      </c>
    </row>
    <row r="6" spans="1:5" ht="14.25" x14ac:dyDescent="0.45">
      <c r="A6" s="2"/>
      <c r="D6" s="3"/>
    </row>
    <row r="7" spans="1:5" ht="14.25" x14ac:dyDescent="0.45">
      <c r="A7" s="2" t="s">
        <v>110</v>
      </c>
      <c r="B7" s="1" t="s">
        <v>147</v>
      </c>
      <c r="C7" s="1">
        <v>41220704909</v>
      </c>
      <c r="D7" s="4" t="s">
        <v>1017</v>
      </c>
      <c r="E7" t="s">
        <v>140</v>
      </c>
    </row>
    <row r="8" spans="1:5" ht="14.25" x14ac:dyDescent="0.45">
      <c r="A8" s="2"/>
      <c r="C8" s="6"/>
    </row>
    <row r="9" spans="1:5" ht="14.25" x14ac:dyDescent="0.45">
      <c r="A9" s="23" t="s">
        <v>111</v>
      </c>
      <c r="B9" s="1" t="s">
        <v>326</v>
      </c>
      <c r="C9" s="1">
        <v>8000000602</v>
      </c>
      <c r="D9" t="s">
        <v>1018</v>
      </c>
      <c r="E9" t="s">
        <v>140</v>
      </c>
    </row>
    <row r="10" spans="1:5" ht="14.25" x14ac:dyDescent="0.45">
      <c r="A10" s="2"/>
    </row>
  </sheetData>
  <mergeCells count="1">
    <mergeCell ref="A1:E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A4AE9-A379-457A-A5FE-4ABAD35CE9CC}">
  <dimension ref="A1:E23"/>
  <sheetViews>
    <sheetView zoomScale="87" zoomScaleNormal="87" workbookViewId="0">
      <selection activeCell="A23" sqref="A23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34.33203125" customWidth="1"/>
    <col min="5" max="5" width="19.6640625" customWidth="1"/>
  </cols>
  <sheetData>
    <row r="1" spans="1:5" ht="28.5" x14ac:dyDescent="0.85">
      <c r="A1" s="218" t="s">
        <v>112</v>
      </c>
      <c r="B1" s="218"/>
      <c r="C1" s="218"/>
      <c r="D1" s="218"/>
      <c r="E1" s="218"/>
    </row>
    <row r="2" spans="1:5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ht="14.25" x14ac:dyDescent="0.45">
      <c r="A3" s="2" t="s">
        <v>28</v>
      </c>
      <c r="B3" s="1" t="s">
        <v>141</v>
      </c>
      <c r="C3" s="51" t="s">
        <v>1019</v>
      </c>
      <c r="D3" s="4" t="s">
        <v>1020</v>
      </c>
      <c r="E3" t="s">
        <v>140</v>
      </c>
    </row>
    <row r="4" spans="1:5" ht="14.25" x14ac:dyDescent="0.45">
      <c r="A4" s="2"/>
      <c r="C4" s="50" t="s">
        <v>1021</v>
      </c>
      <c r="D4" t="s">
        <v>1022</v>
      </c>
      <c r="E4" t="s">
        <v>140</v>
      </c>
    </row>
    <row r="5" spans="1:5" ht="14.25" x14ac:dyDescent="0.45">
      <c r="A5" s="2"/>
      <c r="C5" s="51" t="s">
        <v>1023</v>
      </c>
      <c r="D5" t="s">
        <v>1024</v>
      </c>
      <c r="E5" t="s">
        <v>140</v>
      </c>
    </row>
    <row r="6" spans="1:5" ht="14.25" x14ac:dyDescent="0.45">
      <c r="A6" s="2"/>
      <c r="C6" s="51" t="s">
        <v>1025</v>
      </c>
      <c r="D6" s="3" t="s">
        <v>1026</v>
      </c>
      <c r="E6" t="s">
        <v>140</v>
      </c>
    </row>
    <row r="7" spans="1:5" ht="14.25" x14ac:dyDescent="0.45">
      <c r="A7" s="2"/>
      <c r="C7" s="53">
        <v>1079298129</v>
      </c>
      <c r="D7" t="s">
        <v>1027</v>
      </c>
      <c r="E7" t="s">
        <v>140</v>
      </c>
    </row>
    <row r="8" spans="1:5" ht="14.25" x14ac:dyDescent="0.45">
      <c r="A8" s="2"/>
      <c r="C8" s="53">
        <v>4005363314</v>
      </c>
      <c r="D8" t="s">
        <v>1028</v>
      </c>
      <c r="E8" t="s">
        <v>140</v>
      </c>
    </row>
    <row r="9" spans="1:5" ht="14.25" x14ac:dyDescent="0.45">
      <c r="A9" s="2"/>
      <c r="C9" s="53">
        <v>5288055402</v>
      </c>
      <c r="D9" t="s">
        <v>1029</v>
      </c>
      <c r="E9" t="s">
        <v>140</v>
      </c>
    </row>
    <row r="10" spans="1:5" ht="14.25" x14ac:dyDescent="0.45">
      <c r="A10" s="2"/>
      <c r="C10" s="53">
        <v>5540512380</v>
      </c>
      <c r="D10" t="s">
        <v>1030</v>
      </c>
      <c r="E10" t="s">
        <v>140</v>
      </c>
    </row>
    <row r="11" spans="1:5" ht="14.25" x14ac:dyDescent="0.45">
      <c r="C11" s="53">
        <v>5824384191</v>
      </c>
      <c r="D11" t="s">
        <v>1031</v>
      </c>
      <c r="E11" t="s">
        <v>140</v>
      </c>
    </row>
    <row r="12" spans="1:5" ht="14.25" x14ac:dyDescent="0.45">
      <c r="C12" s="53">
        <v>6516881551</v>
      </c>
      <c r="D12" t="s">
        <v>1032</v>
      </c>
      <c r="E12" t="s">
        <v>140</v>
      </c>
    </row>
    <row r="13" spans="1:5" ht="14.25" x14ac:dyDescent="0.45">
      <c r="C13" s="53">
        <v>6676135475</v>
      </c>
      <c r="D13" t="s">
        <v>1033</v>
      </c>
      <c r="E13" t="s">
        <v>140</v>
      </c>
    </row>
    <row r="14" spans="1:5" ht="14.25" x14ac:dyDescent="0.45">
      <c r="C14" s="53">
        <v>6924368332</v>
      </c>
      <c r="D14" t="s">
        <v>1034</v>
      </c>
      <c r="E14" t="s">
        <v>140</v>
      </c>
    </row>
    <row r="15" spans="1:5" ht="14.25" x14ac:dyDescent="0.45">
      <c r="C15" s="53">
        <v>7631778292</v>
      </c>
      <c r="D15" t="s">
        <v>1035</v>
      </c>
      <c r="E15" t="s">
        <v>140</v>
      </c>
    </row>
    <row r="16" spans="1:5" ht="14.25" x14ac:dyDescent="0.45">
      <c r="C16" s="53">
        <v>8753935371</v>
      </c>
      <c r="D16" t="s">
        <v>1036</v>
      </c>
      <c r="E16" t="s">
        <v>140</v>
      </c>
    </row>
    <row r="17" spans="1:5" ht="14.25" x14ac:dyDescent="0.45">
      <c r="C17" s="53">
        <v>9488056236</v>
      </c>
      <c r="D17" t="s">
        <v>1037</v>
      </c>
      <c r="E17" t="s">
        <v>140</v>
      </c>
    </row>
    <row r="18" spans="1:5" ht="14.25" x14ac:dyDescent="0.45">
      <c r="C18" s="53">
        <v>9631969368</v>
      </c>
      <c r="D18" t="s">
        <v>1038</v>
      </c>
      <c r="E18" t="s">
        <v>140</v>
      </c>
    </row>
    <row r="19" spans="1:5" ht="14.25" x14ac:dyDescent="0.45">
      <c r="C19" s="53">
        <v>9825182240</v>
      </c>
      <c r="D19" t="s">
        <v>1039</v>
      </c>
      <c r="E19" t="s">
        <v>140</v>
      </c>
    </row>
    <row r="21" spans="1:5" ht="14.25" x14ac:dyDescent="0.45">
      <c r="A21" s="2" t="s">
        <v>1040</v>
      </c>
      <c r="B21" s="1" t="s">
        <v>522</v>
      </c>
      <c r="C21" s="19">
        <v>134473</v>
      </c>
      <c r="D21" s="20" t="s">
        <v>1041</v>
      </c>
      <c r="E21" t="s">
        <v>140</v>
      </c>
    </row>
    <row r="23" spans="1:5" ht="28.5" x14ac:dyDescent="0.45">
      <c r="A23" s="34" t="s">
        <v>18</v>
      </c>
      <c r="B23" s="29" t="s">
        <v>145</v>
      </c>
      <c r="C23" s="29" t="s">
        <v>1042</v>
      </c>
      <c r="D23" s="38" t="s">
        <v>1043</v>
      </c>
    </row>
  </sheetData>
  <mergeCells count="1">
    <mergeCell ref="A1:E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285A-0927-4BB8-8A6B-459DEC7225EF}">
  <dimension ref="A1:F36"/>
  <sheetViews>
    <sheetView zoomScale="87" zoomScaleNormal="87" workbookViewId="0">
      <selection activeCell="I16" sqref="I16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50.33203125" customWidth="1"/>
    <col min="5" max="5" width="19.6640625" customWidth="1"/>
  </cols>
  <sheetData>
    <row r="1" spans="1:6" ht="28.5" x14ac:dyDescent="0.85">
      <c r="A1" s="218" t="s">
        <v>114</v>
      </c>
      <c r="B1" s="218"/>
      <c r="C1" s="218"/>
      <c r="D1" s="218"/>
      <c r="E1" s="218"/>
    </row>
    <row r="2" spans="1:6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6" ht="14.25" x14ac:dyDescent="0.45">
      <c r="A3" s="2" t="s">
        <v>28</v>
      </c>
      <c r="B3" s="1" t="s">
        <v>141</v>
      </c>
      <c r="C3" s="51" t="s">
        <v>1044</v>
      </c>
      <c r="D3" s="4" t="s">
        <v>1045</v>
      </c>
      <c r="E3" t="s">
        <v>140</v>
      </c>
    </row>
    <row r="4" spans="1:6" ht="14.25" x14ac:dyDescent="0.45">
      <c r="A4" s="2"/>
      <c r="C4" s="51" t="s">
        <v>1046</v>
      </c>
      <c r="D4" t="s">
        <v>1047</v>
      </c>
      <c r="E4" t="s">
        <v>140</v>
      </c>
    </row>
    <row r="5" spans="1:6" ht="14.25" x14ac:dyDescent="0.45">
      <c r="A5" s="2"/>
      <c r="C5" s="51" t="s">
        <v>1048</v>
      </c>
      <c r="D5" t="s">
        <v>1049</v>
      </c>
      <c r="E5" t="s">
        <v>140</v>
      </c>
    </row>
    <row r="6" spans="1:6" ht="14.25" x14ac:dyDescent="0.45">
      <c r="A6" s="2"/>
      <c r="C6" s="51" t="s">
        <v>1050</v>
      </c>
      <c r="D6" s="3" t="s">
        <v>1051</v>
      </c>
      <c r="E6" t="s">
        <v>140</v>
      </c>
    </row>
    <row r="7" spans="1:6" ht="14.25" x14ac:dyDescent="0.45">
      <c r="A7" s="2"/>
      <c r="C7" s="51" t="s">
        <v>1052</v>
      </c>
      <c r="D7" t="s">
        <v>1053</v>
      </c>
      <c r="E7" t="s">
        <v>140</v>
      </c>
    </row>
    <row r="8" spans="1:6" ht="14.25" x14ac:dyDescent="0.45">
      <c r="A8" s="2"/>
      <c r="C8" s="53">
        <v>1019165057</v>
      </c>
      <c r="D8" t="s">
        <v>1054</v>
      </c>
      <c r="E8" t="s">
        <v>140</v>
      </c>
    </row>
    <row r="9" spans="1:6" ht="14.25" x14ac:dyDescent="0.45">
      <c r="A9" s="2"/>
      <c r="C9" s="53">
        <v>1239971367</v>
      </c>
      <c r="D9" t="s">
        <v>1055</v>
      </c>
      <c r="E9" t="s">
        <v>140</v>
      </c>
    </row>
    <row r="10" spans="1:6" ht="14.25" x14ac:dyDescent="0.45">
      <c r="A10" s="2"/>
      <c r="C10" s="53">
        <v>1612987543</v>
      </c>
      <c r="D10" t="s">
        <v>1056</v>
      </c>
      <c r="E10" t="s">
        <v>140</v>
      </c>
    </row>
    <row r="11" spans="1:6" ht="14.25" x14ac:dyDescent="0.45">
      <c r="C11" s="53">
        <v>1643772278</v>
      </c>
      <c r="D11" t="s">
        <v>1057</v>
      </c>
      <c r="E11" t="s">
        <v>140</v>
      </c>
    </row>
    <row r="12" spans="1:6" ht="14.25" x14ac:dyDescent="0.45">
      <c r="C12" s="53">
        <v>1889581532</v>
      </c>
      <c r="D12" t="s">
        <v>1058</v>
      </c>
      <c r="E12" t="s">
        <v>140</v>
      </c>
    </row>
    <row r="13" spans="1:6" ht="14.25" x14ac:dyDescent="0.45">
      <c r="C13" s="53">
        <v>4501399218</v>
      </c>
      <c r="D13" t="s">
        <v>1059</v>
      </c>
      <c r="E13" t="s">
        <v>140</v>
      </c>
    </row>
    <row r="14" spans="1:6" ht="14.25" x14ac:dyDescent="0.45">
      <c r="C14" s="53">
        <v>4698640499</v>
      </c>
      <c r="D14" t="s">
        <v>1060</v>
      </c>
      <c r="E14" t="s">
        <v>140</v>
      </c>
    </row>
    <row r="15" spans="1:6" ht="14.25" x14ac:dyDescent="0.45">
      <c r="C15" s="53">
        <v>5233843555</v>
      </c>
      <c r="D15" t="s">
        <v>1061</v>
      </c>
      <c r="E15" t="s">
        <v>140</v>
      </c>
    </row>
    <row r="16" spans="1:6" ht="14.25" x14ac:dyDescent="0.45">
      <c r="C16" s="26">
        <v>5338141384</v>
      </c>
      <c r="D16" s="27" t="s">
        <v>1062</v>
      </c>
      <c r="E16" s="27" t="s">
        <v>152</v>
      </c>
      <c r="F16" s="34" t="s">
        <v>263</v>
      </c>
    </row>
    <row r="17" spans="1:6" ht="14.25" x14ac:dyDescent="0.45">
      <c r="C17" s="53">
        <v>7524080160</v>
      </c>
      <c r="D17" t="s">
        <v>1063</v>
      </c>
      <c r="E17" t="s">
        <v>140</v>
      </c>
    </row>
    <row r="18" spans="1:6" ht="14.25" x14ac:dyDescent="0.45">
      <c r="C18" s="53">
        <v>7878859219</v>
      </c>
      <c r="D18" t="s">
        <v>1064</v>
      </c>
      <c r="E18" t="s">
        <v>140</v>
      </c>
    </row>
    <row r="19" spans="1:6" ht="14.25" x14ac:dyDescent="0.45">
      <c r="C19" s="53">
        <v>8650870499</v>
      </c>
      <c r="D19" t="s">
        <v>1065</v>
      </c>
      <c r="E19" t="s">
        <v>140</v>
      </c>
    </row>
    <row r="20" spans="1:6" ht="14.25" x14ac:dyDescent="0.45">
      <c r="C20" s="53">
        <v>8829531386</v>
      </c>
      <c r="D20" t="s">
        <v>1066</v>
      </c>
      <c r="E20" t="s">
        <v>140</v>
      </c>
    </row>
    <row r="21" spans="1:6" ht="14.25" x14ac:dyDescent="0.45">
      <c r="C21" s="53">
        <v>8861356213</v>
      </c>
      <c r="D21" t="s">
        <v>1067</v>
      </c>
      <c r="E21" t="s">
        <v>140</v>
      </c>
    </row>
    <row r="22" spans="1:6" ht="14.25" x14ac:dyDescent="0.45">
      <c r="C22" s="26">
        <v>8918665046</v>
      </c>
      <c r="D22" s="27" t="s">
        <v>1068</v>
      </c>
      <c r="E22" s="27" t="s">
        <v>152</v>
      </c>
    </row>
    <row r="23" spans="1:6" ht="14.25" x14ac:dyDescent="0.45">
      <c r="C23" s="53">
        <v>9339544075</v>
      </c>
      <c r="D23" t="s">
        <v>1069</v>
      </c>
      <c r="E23" t="s">
        <v>140</v>
      </c>
    </row>
    <row r="24" spans="1:6" ht="14.25" x14ac:dyDescent="0.45">
      <c r="C24" s="53">
        <v>9670907527</v>
      </c>
      <c r="D24" t="s">
        <v>1070</v>
      </c>
      <c r="E24" t="s">
        <v>140</v>
      </c>
    </row>
    <row r="25" spans="1:6" ht="14.25" x14ac:dyDescent="0.45">
      <c r="C25" s="51" t="s">
        <v>1071</v>
      </c>
      <c r="D25" t="s">
        <v>1072</v>
      </c>
      <c r="E25" t="s">
        <v>140</v>
      </c>
    </row>
    <row r="26" spans="1:6" ht="14.25" x14ac:dyDescent="0.45">
      <c r="C26" s="51" t="s">
        <v>1073</v>
      </c>
      <c r="D26" t="s">
        <v>1074</v>
      </c>
      <c r="E26" t="s">
        <v>140</v>
      </c>
    </row>
    <row r="28" spans="1:6" ht="15" customHeight="1" x14ac:dyDescent="0.45">
      <c r="A28" s="2" t="s">
        <v>18</v>
      </c>
      <c r="B28" s="1" t="s">
        <v>145</v>
      </c>
      <c r="C28" s="1" t="s">
        <v>1075</v>
      </c>
      <c r="D28" t="s">
        <v>1076</v>
      </c>
      <c r="E28" t="s">
        <v>140</v>
      </c>
    </row>
    <row r="29" spans="1:6" ht="15" customHeight="1" x14ac:dyDescent="0.45">
      <c r="A29" s="2" t="s">
        <v>18</v>
      </c>
      <c r="B29" s="1" t="s">
        <v>145</v>
      </c>
      <c r="C29" t="s">
        <v>1077</v>
      </c>
      <c r="D29" t="s">
        <v>1078</v>
      </c>
      <c r="F29" t="s">
        <v>353</v>
      </c>
    </row>
    <row r="31" spans="1:6" ht="15" customHeight="1" x14ac:dyDescent="0.45">
      <c r="A31" s="2" t="s">
        <v>39</v>
      </c>
      <c r="B31" s="1" t="s">
        <v>1079</v>
      </c>
      <c r="C31" s="1">
        <v>49418582226</v>
      </c>
      <c r="D31" t="s">
        <v>1080</v>
      </c>
      <c r="E31" t="s">
        <v>140</v>
      </c>
    </row>
    <row r="36" spans="1:1" ht="15" customHeight="1" x14ac:dyDescent="0.45">
      <c r="A36" t="s">
        <v>1081</v>
      </c>
    </row>
  </sheetData>
  <mergeCells count="1">
    <mergeCell ref="A1:E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4F6C-C977-4915-813E-189DE2343EA4}">
  <dimension ref="A1:E22"/>
  <sheetViews>
    <sheetView zoomScale="87" zoomScaleNormal="87" workbookViewId="0">
      <selection activeCell="G12" sqref="G12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40.53125" customWidth="1"/>
    <col min="5" max="5" width="19.6640625" customWidth="1"/>
  </cols>
  <sheetData>
    <row r="1" spans="1:5" ht="28.5" x14ac:dyDescent="0.85">
      <c r="A1" s="218" t="s">
        <v>1082</v>
      </c>
      <c r="B1" s="218"/>
      <c r="C1" s="218"/>
      <c r="D1" s="218"/>
      <c r="E1" s="218"/>
    </row>
    <row r="2" spans="1:5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ht="14.25" x14ac:dyDescent="0.45">
      <c r="A3" s="2" t="s">
        <v>28</v>
      </c>
      <c r="B3" s="1" t="s">
        <v>141</v>
      </c>
      <c r="C3" s="43">
        <v>1733945289</v>
      </c>
      <c r="D3" t="s">
        <v>1083</v>
      </c>
      <c r="E3" t="s">
        <v>152</v>
      </c>
    </row>
    <row r="4" spans="1:5" ht="14.25" x14ac:dyDescent="0.45">
      <c r="A4" s="2"/>
      <c r="C4" s="43">
        <v>4435362241</v>
      </c>
      <c r="D4" t="s">
        <v>1084</v>
      </c>
      <c r="E4" t="s">
        <v>152</v>
      </c>
    </row>
    <row r="5" spans="1:5" ht="14.25" x14ac:dyDescent="0.45">
      <c r="A5" s="2"/>
      <c r="C5" s="43">
        <v>4460021316</v>
      </c>
      <c r="D5" t="s">
        <v>1085</v>
      </c>
      <c r="E5" t="s">
        <v>152</v>
      </c>
    </row>
    <row r="6" spans="1:5" ht="14.25" x14ac:dyDescent="0.45">
      <c r="A6" s="2"/>
      <c r="C6" s="43">
        <v>7168847593</v>
      </c>
      <c r="D6" t="s">
        <v>1086</v>
      </c>
      <c r="E6" t="s">
        <v>152</v>
      </c>
    </row>
    <row r="7" spans="1:5" ht="14.25" x14ac:dyDescent="0.45">
      <c r="A7" s="2"/>
      <c r="C7" s="43">
        <v>7687163514</v>
      </c>
      <c r="D7" t="s">
        <v>1087</v>
      </c>
      <c r="E7" t="s">
        <v>152</v>
      </c>
    </row>
    <row r="8" spans="1:5" ht="14.25" x14ac:dyDescent="0.45">
      <c r="A8" s="2"/>
      <c r="C8" s="43">
        <v>8122887188</v>
      </c>
      <c r="D8" t="s">
        <v>1088</v>
      </c>
      <c r="E8" t="s">
        <v>152</v>
      </c>
    </row>
    <row r="9" spans="1:5" ht="14.25" x14ac:dyDescent="0.45">
      <c r="A9" s="2"/>
      <c r="C9" s="43">
        <v>8606865254</v>
      </c>
      <c r="D9" t="s">
        <v>1089</v>
      </c>
      <c r="E9" t="s">
        <v>152</v>
      </c>
    </row>
    <row r="10" spans="1:5" ht="14.25" x14ac:dyDescent="0.45">
      <c r="A10" s="2"/>
      <c r="C10" s="43">
        <v>8637065346</v>
      </c>
      <c r="D10" t="s">
        <v>1090</v>
      </c>
      <c r="E10" t="s">
        <v>152</v>
      </c>
    </row>
    <row r="11" spans="1:5" ht="14.25" x14ac:dyDescent="0.45">
      <c r="A11" s="2"/>
      <c r="C11" s="43">
        <v>9323348335</v>
      </c>
      <c r="D11" t="s">
        <v>1091</v>
      </c>
      <c r="E11" t="s">
        <v>152</v>
      </c>
    </row>
    <row r="12" spans="1:5" ht="14.25" x14ac:dyDescent="0.45">
      <c r="A12" s="2"/>
      <c r="C12" s="43">
        <v>9905198363</v>
      </c>
      <c r="D12" t="s">
        <v>1092</v>
      </c>
      <c r="E12" t="s">
        <v>152</v>
      </c>
    </row>
    <row r="13" spans="1:5" ht="14.25" x14ac:dyDescent="0.45">
      <c r="A13" s="2"/>
      <c r="C13" s="43"/>
    </row>
    <row r="14" spans="1:5" ht="14.25" x14ac:dyDescent="0.45">
      <c r="A14" s="2"/>
      <c r="C14" s="43"/>
    </row>
    <row r="15" spans="1:5" ht="28.5" x14ac:dyDescent="0.45">
      <c r="A15" s="17" t="s">
        <v>1093</v>
      </c>
      <c r="B15" s="1" t="s">
        <v>1094</v>
      </c>
      <c r="C15" s="43" t="s">
        <v>1095</v>
      </c>
      <c r="D15" t="s">
        <v>1096</v>
      </c>
      <c r="E15" t="s">
        <v>152</v>
      </c>
    </row>
    <row r="16" spans="1:5" ht="14.25" x14ac:dyDescent="0.45">
      <c r="A16" s="2"/>
    </row>
    <row r="17" spans="1:5" ht="14.25" x14ac:dyDescent="0.45">
      <c r="A17" s="2"/>
    </row>
    <row r="18" spans="1:5" ht="14.25" x14ac:dyDescent="0.45">
      <c r="A18" s="2" t="s">
        <v>33</v>
      </c>
      <c r="B18" s="1" t="s">
        <v>138</v>
      </c>
      <c r="C18" s="1" t="s">
        <v>1097</v>
      </c>
      <c r="D18" t="s">
        <v>1096</v>
      </c>
      <c r="E18" t="s">
        <v>152</v>
      </c>
    </row>
    <row r="19" spans="1:5" ht="14.25" x14ac:dyDescent="0.45">
      <c r="A19" s="2"/>
    </row>
    <row r="20" spans="1:5" ht="14.25" x14ac:dyDescent="0.45">
      <c r="A20" s="2"/>
      <c r="C20" s="6"/>
    </row>
    <row r="21" spans="1:5" ht="14.25" x14ac:dyDescent="0.45">
      <c r="A21" s="2"/>
    </row>
    <row r="22" spans="1:5" ht="14.25" x14ac:dyDescent="0.45">
      <c r="A22" s="17"/>
    </row>
  </sheetData>
  <mergeCells count="1">
    <mergeCell ref="A1:E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8755-43F9-47DD-9A0F-99A23981A636}">
  <dimension ref="A1:E8"/>
  <sheetViews>
    <sheetView zoomScale="87" zoomScaleNormal="87" workbookViewId="0">
      <selection activeCell="E4" sqref="E4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33.6640625" customWidth="1"/>
    <col min="5" max="5" width="19.6640625" customWidth="1"/>
  </cols>
  <sheetData>
    <row r="1" spans="1:5" ht="28.5" x14ac:dyDescent="0.85">
      <c r="A1" s="218" t="s">
        <v>115</v>
      </c>
      <c r="B1" s="218"/>
      <c r="C1" s="218"/>
      <c r="D1" s="218"/>
      <c r="E1" s="218"/>
    </row>
    <row r="2" spans="1:5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ht="14.25" x14ac:dyDescent="0.45">
      <c r="A3" s="123" t="s">
        <v>116</v>
      </c>
      <c r="B3" s="124" t="s">
        <v>1094</v>
      </c>
      <c r="C3" s="128">
        <v>3385472356</v>
      </c>
      <c r="D3" s="127" t="s">
        <v>1098</v>
      </c>
      <c r="E3" s="127" t="s">
        <v>140</v>
      </c>
    </row>
    <row r="4" spans="1:5" ht="14.25" x14ac:dyDescent="0.45">
      <c r="A4" s="123" t="s">
        <v>252</v>
      </c>
      <c r="B4" s="124" t="s">
        <v>138</v>
      </c>
      <c r="C4" s="124" t="s">
        <v>1099</v>
      </c>
      <c r="D4" s="163" t="s">
        <v>1100</v>
      </c>
      <c r="E4" s="127" t="s">
        <v>140</v>
      </c>
    </row>
    <row r="5" spans="1:5" ht="14.25" x14ac:dyDescent="0.45">
      <c r="A5" s="2"/>
    </row>
    <row r="6" spans="1:5" ht="14.25" x14ac:dyDescent="0.45">
      <c r="A6" s="2"/>
      <c r="C6" s="6"/>
    </row>
    <row r="7" spans="1:5" ht="14.25" x14ac:dyDescent="0.45">
      <c r="A7" s="2"/>
    </row>
    <row r="8" spans="1:5" ht="14.25" x14ac:dyDescent="0.45">
      <c r="A8" s="17"/>
    </row>
  </sheetData>
  <mergeCells count="1">
    <mergeCell ref="A1:E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7690-844D-4721-97E1-D3426428999E}">
  <dimension ref="A1:E15"/>
  <sheetViews>
    <sheetView zoomScale="87" zoomScaleNormal="87" workbookViewId="0">
      <selection activeCell="C26" sqref="C26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35.1328125" customWidth="1"/>
    <col min="5" max="5" width="19.6640625" customWidth="1"/>
  </cols>
  <sheetData>
    <row r="1" spans="1:5" ht="28.5" x14ac:dyDescent="0.85">
      <c r="A1" s="218" t="s">
        <v>117</v>
      </c>
      <c r="B1" s="218"/>
      <c r="C1" s="218"/>
      <c r="D1" s="218"/>
      <c r="E1" s="218"/>
    </row>
    <row r="2" spans="1:5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ht="14.25" x14ac:dyDescent="0.45">
      <c r="A3" s="2" t="s">
        <v>28</v>
      </c>
      <c r="B3" s="1" t="s">
        <v>141</v>
      </c>
      <c r="C3" s="53">
        <v>4347237093</v>
      </c>
      <c r="D3" s="4" t="s">
        <v>1101</v>
      </c>
      <c r="E3" t="s">
        <v>140</v>
      </c>
    </row>
    <row r="4" spans="1:5" ht="14.25" x14ac:dyDescent="0.45">
      <c r="A4" s="2"/>
      <c r="C4" s="53">
        <v>4603627094</v>
      </c>
      <c r="D4" t="s">
        <v>1102</v>
      </c>
      <c r="E4" t="s">
        <v>140</v>
      </c>
    </row>
    <row r="5" spans="1:5" ht="14.25" x14ac:dyDescent="0.45">
      <c r="A5" s="2"/>
      <c r="C5" s="53">
        <v>7789118200</v>
      </c>
      <c r="D5" t="s">
        <v>1103</v>
      </c>
      <c r="E5" t="s">
        <v>140</v>
      </c>
    </row>
    <row r="6" spans="1:5" ht="14.25" x14ac:dyDescent="0.45">
      <c r="A6" s="2"/>
      <c r="C6" s="53">
        <v>9103770211</v>
      </c>
      <c r="D6" s="3" t="s">
        <v>1104</v>
      </c>
      <c r="E6" t="s">
        <v>140</v>
      </c>
    </row>
    <row r="7" spans="1:5" ht="14.25" x14ac:dyDescent="0.45">
      <c r="A7" s="2"/>
      <c r="C7" s="53">
        <v>1194166193</v>
      </c>
      <c r="D7" s="3" t="s">
        <v>1105</v>
      </c>
      <c r="E7" t="s">
        <v>140</v>
      </c>
    </row>
    <row r="8" spans="1:5" ht="14.25" x14ac:dyDescent="0.45">
      <c r="A8" s="2"/>
      <c r="C8" s="53">
        <v>1920339353</v>
      </c>
      <c r="D8" s="3" t="s">
        <v>1106</v>
      </c>
      <c r="E8" t="s">
        <v>140</v>
      </c>
    </row>
    <row r="9" spans="1:5" ht="14.25" x14ac:dyDescent="0.45">
      <c r="A9" s="2"/>
      <c r="C9" s="53">
        <v>7313640513</v>
      </c>
      <c r="D9" s="3" t="s">
        <v>1107</v>
      </c>
      <c r="E9" t="s">
        <v>140</v>
      </c>
    </row>
    <row r="10" spans="1:5" ht="14.25" x14ac:dyDescent="0.45">
      <c r="A10" s="2"/>
      <c r="C10" s="52">
        <v>4122848098</v>
      </c>
      <c r="D10" s="17" t="s">
        <v>1108</v>
      </c>
      <c r="E10" t="s">
        <v>717</v>
      </c>
    </row>
    <row r="11" spans="1:5" ht="14.25" x14ac:dyDescent="0.45">
      <c r="A11" s="2"/>
    </row>
    <row r="12" spans="1:5" ht="14.25" x14ac:dyDescent="0.45">
      <c r="A12" s="2"/>
      <c r="C12" s="6"/>
    </row>
    <row r="13" spans="1:5" ht="28.5" x14ac:dyDescent="0.45">
      <c r="A13" s="2" t="s">
        <v>39</v>
      </c>
      <c r="B13" s="16" t="s">
        <v>321</v>
      </c>
      <c r="C13" s="1" t="s">
        <v>1109</v>
      </c>
      <c r="D13" s="4" t="s">
        <v>1110</v>
      </c>
      <c r="E13" t="s">
        <v>140</v>
      </c>
    </row>
    <row r="14" spans="1:5" ht="14.25" x14ac:dyDescent="0.45">
      <c r="A14" s="2"/>
    </row>
    <row r="15" spans="1:5" ht="15" customHeight="1" x14ac:dyDescent="0.45">
      <c r="A15" s="2" t="s">
        <v>18</v>
      </c>
      <c r="B15" s="1" t="s">
        <v>145</v>
      </c>
      <c r="C15" s="9" t="s">
        <v>1407</v>
      </c>
      <c r="D15" s="4" t="s">
        <v>1110</v>
      </c>
    </row>
  </sheetData>
  <mergeCells count="1">
    <mergeCell ref="A1:E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3CE4-98E9-4A49-9DD6-8EFDB90805B2}">
  <dimension ref="A1:K16"/>
  <sheetViews>
    <sheetView showGridLines="0" zoomScale="87" zoomScaleNormal="87" workbookViewId="0">
      <selection activeCell="B6" sqref="B6:F6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33.6640625" customWidth="1"/>
    <col min="5" max="5" width="19.6640625" customWidth="1"/>
  </cols>
  <sheetData>
    <row r="1" spans="1:11" ht="28.5" x14ac:dyDescent="0.85">
      <c r="A1" s="218" t="s">
        <v>118</v>
      </c>
      <c r="B1" s="218"/>
      <c r="C1" s="218"/>
      <c r="D1" s="218"/>
      <c r="E1" s="218"/>
    </row>
    <row r="2" spans="1:11" ht="14.25" x14ac:dyDescent="0.45">
      <c r="A2" s="114" t="s">
        <v>133</v>
      </c>
      <c r="B2" s="114" t="s">
        <v>134</v>
      </c>
      <c r="C2" s="114" t="s">
        <v>135</v>
      </c>
      <c r="D2" s="114" t="s">
        <v>136</v>
      </c>
      <c r="E2" s="114" t="s">
        <v>137</v>
      </c>
    </row>
    <row r="3" spans="1:11" ht="42.75" x14ac:dyDescent="0.45">
      <c r="A3" s="130" t="s">
        <v>169</v>
      </c>
      <c r="B3" s="124" t="s">
        <v>141</v>
      </c>
      <c r="C3" s="156" t="s">
        <v>1111</v>
      </c>
      <c r="D3" s="165" t="s">
        <v>1112</v>
      </c>
      <c r="E3" s="127" t="s">
        <v>140</v>
      </c>
      <c r="F3" s="127" t="s">
        <v>254</v>
      </c>
    </row>
    <row r="4" spans="1:11" ht="42.75" x14ac:dyDescent="0.45">
      <c r="A4" s="233"/>
      <c r="B4" s="124" t="s">
        <v>141</v>
      </c>
      <c r="C4" s="146" t="s">
        <v>1113</v>
      </c>
      <c r="D4" s="126" t="s">
        <v>1114</v>
      </c>
      <c r="E4" s="127" t="s">
        <v>140</v>
      </c>
      <c r="F4" s="127" t="s">
        <v>254</v>
      </c>
    </row>
    <row r="5" spans="1:11" ht="42.75" x14ac:dyDescent="0.45">
      <c r="A5" s="233"/>
      <c r="B5" s="124" t="s">
        <v>141</v>
      </c>
      <c r="C5" s="146" t="s">
        <v>1115</v>
      </c>
      <c r="D5" s="126" t="s">
        <v>1116</v>
      </c>
      <c r="E5" s="127" t="s">
        <v>140</v>
      </c>
      <c r="F5" s="127" t="s">
        <v>254</v>
      </c>
      <c r="K5" t="s">
        <v>1117</v>
      </c>
    </row>
    <row r="6" spans="1:11" ht="14.25" x14ac:dyDescent="0.45">
      <c r="A6" s="234"/>
      <c r="B6" s="124"/>
      <c r="D6" s="126"/>
      <c r="E6" s="127"/>
      <c r="F6" s="127"/>
    </row>
    <row r="7" spans="1:11" ht="28.5" x14ac:dyDescent="0.45">
      <c r="A7" s="123" t="s">
        <v>64</v>
      </c>
      <c r="B7" s="124" t="s">
        <v>138</v>
      </c>
      <c r="C7" s="124" t="s">
        <v>1118</v>
      </c>
      <c r="D7" s="126" t="s">
        <v>1119</v>
      </c>
      <c r="E7" s="127" t="s">
        <v>140</v>
      </c>
      <c r="F7" s="127"/>
    </row>
    <row r="8" spans="1:11" ht="14.25" x14ac:dyDescent="0.45">
      <c r="A8" s="123"/>
      <c r="B8" s="124"/>
      <c r="C8" s="124"/>
      <c r="D8" s="127"/>
      <c r="E8" s="127"/>
      <c r="F8" s="127"/>
    </row>
    <row r="9" spans="1:11" ht="14.25" x14ac:dyDescent="0.45">
      <c r="A9" s="123" t="s">
        <v>119</v>
      </c>
      <c r="B9" s="124" t="s">
        <v>1120</v>
      </c>
      <c r="C9" s="124" t="s">
        <v>1121</v>
      </c>
      <c r="D9" s="126" t="s">
        <v>1122</v>
      </c>
      <c r="E9" s="127" t="s">
        <v>140</v>
      </c>
      <c r="F9" s="127"/>
    </row>
    <row r="10" spans="1:11" ht="28.5" x14ac:dyDescent="0.45">
      <c r="A10" s="123" t="s">
        <v>18</v>
      </c>
      <c r="B10" s="124" t="s">
        <v>145</v>
      </c>
      <c r="C10" s="124" t="s">
        <v>1123</v>
      </c>
      <c r="D10" s="126" t="s">
        <v>1124</v>
      </c>
      <c r="E10" s="127" t="s">
        <v>140</v>
      </c>
      <c r="F10" s="127"/>
    </row>
    <row r="11" spans="1:11" ht="15" customHeight="1" x14ac:dyDescent="0.45">
      <c r="A11" s="127"/>
      <c r="B11" s="124" t="s">
        <v>1125</v>
      </c>
      <c r="C11" s="124" t="s">
        <v>1126</v>
      </c>
      <c r="D11" s="127"/>
      <c r="E11" s="127" t="s">
        <v>140</v>
      </c>
      <c r="F11" s="127"/>
    </row>
    <row r="12" spans="1:11" ht="15" customHeight="1" x14ac:dyDescent="0.45">
      <c r="A12" s="174"/>
      <c r="B12" s="175" t="s">
        <v>1127</v>
      </c>
      <c r="C12" s="175" t="s">
        <v>1128</v>
      </c>
      <c r="D12" s="174" t="s">
        <v>1129</v>
      </c>
      <c r="E12" s="174" t="s">
        <v>140</v>
      </c>
      <c r="F12" s="127"/>
    </row>
    <row r="13" spans="1:11" ht="15" customHeight="1" x14ac:dyDescent="0.45">
      <c r="A13" s="173" t="s">
        <v>678</v>
      </c>
      <c r="B13" s="133" t="s">
        <v>141</v>
      </c>
      <c r="C13" s="176" t="s">
        <v>1130</v>
      </c>
      <c r="D13" s="134" t="s">
        <v>1116</v>
      </c>
      <c r="E13" s="138" t="s">
        <v>140</v>
      </c>
      <c r="F13" s="138" t="s">
        <v>255</v>
      </c>
      <c r="G13" s="27"/>
    </row>
    <row r="14" spans="1:11" ht="15" customHeight="1" x14ac:dyDescent="0.45">
      <c r="A14" s="138"/>
      <c r="B14" s="133" t="s">
        <v>141</v>
      </c>
      <c r="C14" s="176" t="s">
        <v>1131</v>
      </c>
      <c r="D14" s="134" t="s">
        <v>1116</v>
      </c>
      <c r="E14" s="138" t="s">
        <v>152</v>
      </c>
      <c r="F14" s="138" t="s">
        <v>285</v>
      </c>
      <c r="G14" s="27"/>
    </row>
    <row r="15" spans="1:11" ht="15" customHeight="1" x14ac:dyDescent="0.45">
      <c r="A15" s="138"/>
      <c r="B15" s="133" t="s">
        <v>141</v>
      </c>
      <c r="C15" s="176" t="s">
        <v>1132</v>
      </c>
      <c r="D15" s="134" t="s">
        <v>1133</v>
      </c>
      <c r="E15" s="138" t="s">
        <v>140</v>
      </c>
      <c r="F15" s="138" t="s">
        <v>255</v>
      </c>
      <c r="G15" s="27"/>
    </row>
    <row r="16" spans="1:11" ht="15" customHeight="1" x14ac:dyDescent="0.45">
      <c r="C16" s="29"/>
      <c r="D16" s="27"/>
      <c r="E16" s="27"/>
      <c r="F16" s="27"/>
      <c r="G16" s="27"/>
    </row>
  </sheetData>
  <mergeCells count="2">
    <mergeCell ref="A1:E1"/>
    <mergeCell ref="A4:A6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20C4-B1BC-46ED-A9CF-976F0E4BE143}">
  <dimension ref="A1:L96"/>
  <sheetViews>
    <sheetView topLeftCell="A12" zoomScale="87" zoomScaleNormal="87" workbookViewId="0">
      <selection activeCell="F29" sqref="F29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44.86328125" customWidth="1"/>
    <col min="5" max="5" width="19.6640625" customWidth="1"/>
    <col min="6" max="6" width="22.86328125" customWidth="1"/>
  </cols>
  <sheetData>
    <row r="1" spans="1:5" ht="28.5" x14ac:dyDescent="0.85">
      <c r="A1" s="218" t="s">
        <v>120</v>
      </c>
      <c r="B1" s="218"/>
      <c r="C1" s="218"/>
      <c r="D1" s="218"/>
      <c r="E1" s="218"/>
    </row>
    <row r="2" spans="1:5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ht="14.25" x14ac:dyDescent="0.45">
      <c r="A3" s="123" t="s">
        <v>28</v>
      </c>
      <c r="B3" s="124" t="s">
        <v>141</v>
      </c>
      <c r="C3" s="156" t="s">
        <v>1134</v>
      </c>
      <c r="D3" s="157" t="s">
        <v>1135</v>
      </c>
      <c r="E3" s="127" t="s">
        <v>140</v>
      </c>
    </row>
    <row r="4" spans="1:5" ht="14.25" x14ac:dyDescent="0.45">
      <c r="A4" s="123" t="s">
        <v>28</v>
      </c>
      <c r="B4" s="124" t="s">
        <v>141</v>
      </c>
      <c r="C4" s="156" t="s">
        <v>1136</v>
      </c>
      <c r="D4" s="127" t="s">
        <v>1137</v>
      </c>
      <c r="E4" s="127" t="s">
        <v>140</v>
      </c>
    </row>
    <row r="5" spans="1:5" ht="14.25" x14ac:dyDescent="0.45">
      <c r="A5" s="123" t="s">
        <v>28</v>
      </c>
      <c r="B5" s="124" t="s">
        <v>141</v>
      </c>
      <c r="C5" s="156" t="s">
        <v>1138</v>
      </c>
      <c r="D5" s="127" t="s">
        <v>1139</v>
      </c>
      <c r="E5" s="127" t="s">
        <v>140</v>
      </c>
    </row>
    <row r="6" spans="1:5" ht="14.25" x14ac:dyDescent="0.45">
      <c r="A6" s="123" t="s">
        <v>28</v>
      </c>
      <c r="B6" s="124" t="s">
        <v>141</v>
      </c>
      <c r="C6" s="156" t="s">
        <v>1140</v>
      </c>
      <c r="D6" s="126" t="s">
        <v>1141</v>
      </c>
      <c r="E6" s="127" t="s">
        <v>140</v>
      </c>
    </row>
    <row r="7" spans="1:5" ht="14.25" x14ac:dyDescent="0.45">
      <c r="A7" s="123" t="s">
        <v>28</v>
      </c>
      <c r="B7" s="124" t="s">
        <v>141</v>
      </c>
      <c r="C7" s="156" t="s">
        <v>1142</v>
      </c>
      <c r="D7" s="127" t="s">
        <v>1143</v>
      </c>
      <c r="E7" s="127" t="s">
        <v>140</v>
      </c>
    </row>
    <row r="8" spans="1:5" ht="14.25" x14ac:dyDescent="0.45">
      <c r="A8" s="123" t="s">
        <v>28</v>
      </c>
      <c r="B8" s="124" t="s">
        <v>141</v>
      </c>
      <c r="C8" s="156" t="s">
        <v>1144</v>
      </c>
      <c r="D8" s="127" t="s">
        <v>1145</v>
      </c>
      <c r="E8" s="127" t="s">
        <v>140</v>
      </c>
    </row>
    <row r="9" spans="1:5" ht="14.25" x14ac:dyDescent="0.45">
      <c r="A9" s="123" t="s">
        <v>28</v>
      </c>
      <c r="B9" s="124" t="s">
        <v>141</v>
      </c>
      <c r="C9" s="158">
        <v>1466627328</v>
      </c>
      <c r="D9" s="127" t="s">
        <v>1146</v>
      </c>
      <c r="E9" s="127" t="s">
        <v>140</v>
      </c>
    </row>
    <row r="10" spans="1:5" ht="14.25" x14ac:dyDescent="0.45">
      <c r="A10" s="123" t="s">
        <v>28</v>
      </c>
      <c r="B10" s="124" t="s">
        <v>141</v>
      </c>
      <c r="C10" s="158">
        <v>1491803126</v>
      </c>
      <c r="D10" s="127" t="s">
        <v>1147</v>
      </c>
      <c r="E10" s="127" t="s">
        <v>140</v>
      </c>
    </row>
    <row r="11" spans="1:5" ht="14.25" x14ac:dyDescent="0.45">
      <c r="A11" s="123" t="s">
        <v>28</v>
      </c>
      <c r="B11" s="124" t="s">
        <v>141</v>
      </c>
      <c r="C11" s="158">
        <v>1615214457</v>
      </c>
      <c r="D11" s="127" t="s">
        <v>1148</v>
      </c>
      <c r="E11" s="127" t="s">
        <v>140</v>
      </c>
    </row>
    <row r="12" spans="1:5" ht="14.25" x14ac:dyDescent="0.45">
      <c r="A12" s="123" t="s">
        <v>28</v>
      </c>
      <c r="B12" s="124" t="s">
        <v>141</v>
      </c>
      <c r="C12" s="158">
        <v>1887785416</v>
      </c>
      <c r="D12" s="127" t="s">
        <v>1149</v>
      </c>
      <c r="E12" s="127" t="s">
        <v>140</v>
      </c>
    </row>
    <row r="13" spans="1:5" ht="14.25" x14ac:dyDescent="0.45">
      <c r="A13" s="123" t="s">
        <v>28</v>
      </c>
      <c r="B13" s="124" t="s">
        <v>141</v>
      </c>
      <c r="C13" s="158">
        <v>4244203255</v>
      </c>
      <c r="D13" s="127" t="s">
        <v>1150</v>
      </c>
      <c r="E13" s="127" t="s">
        <v>140</v>
      </c>
    </row>
    <row r="14" spans="1:5" ht="14.25" x14ac:dyDescent="0.45">
      <c r="A14" s="123" t="s">
        <v>28</v>
      </c>
      <c r="B14" s="124" t="s">
        <v>141</v>
      </c>
      <c r="C14" s="158">
        <v>4307254526</v>
      </c>
      <c r="D14" s="127" t="s">
        <v>1151</v>
      </c>
      <c r="E14" s="127" t="s">
        <v>140</v>
      </c>
    </row>
    <row r="15" spans="1:5" ht="14.25" x14ac:dyDescent="0.45">
      <c r="A15" s="123" t="s">
        <v>28</v>
      </c>
      <c r="B15" s="124" t="s">
        <v>141</v>
      </c>
      <c r="C15" s="158">
        <v>4379004452</v>
      </c>
      <c r="D15" s="127" t="s">
        <v>1152</v>
      </c>
      <c r="E15" s="127" t="s">
        <v>140</v>
      </c>
    </row>
    <row r="16" spans="1:5" ht="14.25" x14ac:dyDescent="0.45">
      <c r="A16" s="123" t="s">
        <v>28</v>
      </c>
      <c r="B16" s="124" t="s">
        <v>141</v>
      </c>
      <c r="C16" s="158">
        <v>4869380198</v>
      </c>
      <c r="D16" s="127" t="s">
        <v>1153</v>
      </c>
      <c r="E16" s="127" t="s">
        <v>140</v>
      </c>
    </row>
    <row r="17" spans="1:7" ht="14.25" x14ac:dyDescent="0.45">
      <c r="A17" s="123" t="s">
        <v>28</v>
      </c>
      <c r="B17" s="124" t="s">
        <v>141</v>
      </c>
      <c r="C17" s="158">
        <v>5348854521</v>
      </c>
      <c r="D17" s="127" t="s">
        <v>1154</v>
      </c>
      <c r="E17" s="127" t="s">
        <v>140</v>
      </c>
    </row>
    <row r="18" spans="1:7" ht="14.25" x14ac:dyDescent="0.45">
      <c r="A18" s="123" t="s">
        <v>28</v>
      </c>
      <c r="B18" s="124" t="s">
        <v>141</v>
      </c>
      <c r="C18" s="158">
        <v>7125237326</v>
      </c>
      <c r="D18" s="127" t="s">
        <v>1155</v>
      </c>
      <c r="E18" s="127" t="s">
        <v>140</v>
      </c>
    </row>
    <row r="19" spans="1:7" ht="14.25" x14ac:dyDescent="0.45">
      <c r="A19" s="123" t="s">
        <v>28</v>
      </c>
      <c r="B19" s="124" t="s">
        <v>141</v>
      </c>
      <c r="C19" s="158">
        <v>7595213112</v>
      </c>
      <c r="D19" s="127" t="s">
        <v>1156</v>
      </c>
      <c r="E19" s="127" t="s">
        <v>140</v>
      </c>
    </row>
    <row r="20" spans="1:7" ht="14.25" x14ac:dyDescent="0.45">
      <c r="A20" s="123" t="s">
        <v>28</v>
      </c>
      <c r="B20" s="124" t="s">
        <v>141</v>
      </c>
      <c r="C20" s="158">
        <v>8356257488</v>
      </c>
      <c r="D20" s="127" t="s">
        <v>1157</v>
      </c>
      <c r="E20" s="127" t="s">
        <v>140</v>
      </c>
    </row>
    <row r="21" spans="1:7" ht="14.25" x14ac:dyDescent="0.45">
      <c r="A21" s="123" t="s">
        <v>28</v>
      </c>
      <c r="B21" s="124" t="s">
        <v>141</v>
      </c>
      <c r="C21" s="158">
        <v>8491347327</v>
      </c>
      <c r="D21" s="127" t="s">
        <v>1158</v>
      </c>
      <c r="E21" s="127" t="s">
        <v>140</v>
      </c>
    </row>
    <row r="22" spans="1:7" ht="14.25" x14ac:dyDescent="0.45">
      <c r="A22" s="123" t="s">
        <v>28</v>
      </c>
      <c r="B22" s="124" t="s">
        <v>141</v>
      </c>
      <c r="C22" s="158">
        <v>9107704455</v>
      </c>
      <c r="D22" s="127" t="s">
        <v>1159</v>
      </c>
      <c r="E22" s="127" t="s">
        <v>140</v>
      </c>
    </row>
    <row r="23" spans="1:7" ht="14.25" x14ac:dyDescent="0.45">
      <c r="A23" s="123" t="s">
        <v>28</v>
      </c>
      <c r="B23" s="124" t="s">
        <v>141</v>
      </c>
      <c r="C23" s="158">
        <v>9515764521</v>
      </c>
      <c r="D23" s="138" t="s">
        <v>1160</v>
      </c>
      <c r="E23" s="138" t="s">
        <v>717</v>
      </c>
    </row>
    <row r="24" spans="1:7" ht="14.25" x14ac:dyDescent="0.45">
      <c r="A24" s="123" t="s">
        <v>28</v>
      </c>
      <c r="B24" s="124" t="s">
        <v>141</v>
      </c>
      <c r="C24" s="158">
        <v>9727614456</v>
      </c>
      <c r="D24" s="127" t="s">
        <v>1161</v>
      </c>
      <c r="E24" s="127" t="s">
        <v>140</v>
      </c>
    </row>
    <row r="25" spans="1:7" ht="14.25" x14ac:dyDescent="0.45">
      <c r="A25" s="123" t="s">
        <v>28</v>
      </c>
      <c r="B25" s="124" t="s">
        <v>141</v>
      </c>
      <c r="C25" s="158">
        <v>9785523110</v>
      </c>
      <c r="D25" s="127" t="s">
        <v>1162</v>
      </c>
      <c r="E25" s="127" t="s">
        <v>140</v>
      </c>
    </row>
    <row r="26" spans="1:7" ht="14.25" x14ac:dyDescent="0.45">
      <c r="A26" s="123" t="s">
        <v>28</v>
      </c>
      <c r="B26" s="124" t="s">
        <v>141</v>
      </c>
      <c r="C26" s="158">
        <v>9810881541</v>
      </c>
      <c r="D26" s="127" t="s">
        <v>1163</v>
      </c>
      <c r="E26" s="127" t="s">
        <v>140</v>
      </c>
    </row>
    <row r="27" spans="1:7" ht="15" customHeight="1" x14ac:dyDescent="0.45">
      <c r="A27" s="123" t="s">
        <v>488</v>
      </c>
      <c r="B27" s="124" t="s">
        <v>138</v>
      </c>
      <c r="C27" s="156" t="s">
        <v>1164</v>
      </c>
      <c r="D27" s="165" t="s">
        <v>1165</v>
      </c>
      <c r="E27" s="127" t="s">
        <v>140</v>
      </c>
      <c r="F27" t="s">
        <v>1166</v>
      </c>
    </row>
    <row r="28" spans="1:7" ht="14.25" x14ac:dyDescent="0.45">
      <c r="A28" s="123" t="s">
        <v>488</v>
      </c>
      <c r="B28" s="124" t="s">
        <v>138</v>
      </c>
      <c r="C28" s="146" t="s">
        <v>1167</v>
      </c>
      <c r="D28" s="127" t="s">
        <v>1168</v>
      </c>
      <c r="E28" s="127" t="s">
        <v>140</v>
      </c>
      <c r="F28" t="s">
        <v>1166</v>
      </c>
    </row>
    <row r="29" spans="1:7" ht="14.25" x14ac:dyDescent="0.45">
      <c r="A29" s="123" t="s">
        <v>488</v>
      </c>
      <c r="B29" s="124" t="s">
        <v>138</v>
      </c>
      <c r="C29" s="146" t="s">
        <v>1169</v>
      </c>
      <c r="D29" s="127" t="s">
        <v>1170</v>
      </c>
      <c r="E29" s="127" t="s">
        <v>140</v>
      </c>
    </row>
    <row r="30" spans="1:7" ht="14.25" x14ac:dyDescent="0.45">
      <c r="A30" s="123" t="s">
        <v>488</v>
      </c>
      <c r="B30" s="124" t="s">
        <v>138</v>
      </c>
      <c r="C30" s="148" t="s">
        <v>1171</v>
      </c>
      <c r="D30" s="127" t="s">
        <v>1172</v>
      </c>
      <c r="E30" s="127"/>
      <c r="F30" t="s">
        <v>1166</v>
      </c>
    </row>
    <row r="31" spans="1:7" ht="31.5" customHeight="1" x14ac:dyDescent="0.45">
      <c r="A31" s="123" t="s">
        <v>509</v>
      </c>
      <c r="B31" s="124" t="s">
        <v>145</v>
      </c>
      <c r="C31" s="162" t="s">
        <v>1173</v>
      </c>
      <c r="D31" s="166" t="s">
        <v>1174</v>
      </c>
      <c r="E31" s="127" t="s">
        <v>140</v>
      </c>
    </row>
    <row r="32" spans="1:7" ht="15" customHeight="1" x14ac:dyDescent="0.45">
      <c r="A32" s="123" t="s">
        <v>121</v>
      </c>
      <c r="B32" s="124" t="s">
        <v>147</v>
      </c>
      <c r="C32" s="167" t="s">
        <v>1175</v>
      </c>
      <c r="D32" s="157" t="s">
        <v>1176</v>
      </c>
      <c r="E32" s="127" t="s">
        <v>140</v>
      </c>
      <c r="F32" t="str">
        <f>C32</f>
        <v>055572-000</v>
      </c>
      <c r="G32" t="s">
        <v>1166</v>
      </c>
    </row>
    <row r="33" spans="1:7" ht="14.25" x14ac:dyDescent="0.45">
      <c r="A33" s="123" t="s">
        <v>121</v>
      </c>
      <c r="B33" s="124" t="s">
        <v>147</v>
      </c>
      <c r="C33" s="168" t="s">
        <v>1177</v>
      </c>
      <c r="D33" s="127" t="s">
        <v>1178</v>
      </c>
      <c r="E33" s="127"/>
    </row>
    <row r="34" spans="1:7" ht="14.25" x14ac:dyDescent="0.45">
      <c r="A34" s="123" t="s">
        <v>121</v>
      </c>
      <c r="B34" s="124" t="s">
        <v>147</v>
      </c>
      <c r="C34" s="168" t="s">
        <v>1179</v>
      </c>
      <c r="D34" s="127" t="s">
        <v>1180</v>
      </c>
      <c r="E34" s="127"/>
    </row>
    <row r="35" spans="1:7" ht="14.25" x14ac:dyDescent="0.45">
      <c r="A35" s="123" t="s">
        <v>121</v>
      </c>
      <c r="B35" s="124" t="s">
        <v>147</v>
      </c>
      <c r="C35" s="168" t="s">
        <v>1181</v>
      </c>
      <c r="D35" s="127" t="s">
        <v>1182</v>
      </c>
      <c r="E35" s="127"/>
    </row>
    <row r="36" spans="1:7" ht="14.25" x14ac:dyDescent="0.45">
      <c r="A36" s="123" t="s">
        <v>121</v>
      </c>
      <c r="B36" s="124" t="s">
        <v>147</v>
      </c>
      <c r="C36" s="167" t="s">
        <v>1183</v>
      </c>
      <c r="D36" s="127" t="s">
        <v>1184</v>
      </c>
      <c r="E36" s="127" t="s">
        <v>140</v>
      </c>
      <c r="F36" t="str">
        <f>C36</f>
        <v>055576-000</v>
      </c>
    </row>
    <row r="37" spans="1:7" ht="14.25" x14ac:dyDescent="0.45">
      <c r="A37" s="123" t="s">
        <v>121</v>
      </c>
      <c r="B37" s="124" t="s">
        <v>147</v>
      </c>
      <c r="C37" s="168" t="s">
        <v>1185</v>
      </c>
      <c r="D37" s="127" t="s">
        <v>1186</v>
      </c>
      <c r="E37" s="127"/>
    </row>
    <row r="38" spans="1:7" ht="14.25" x14ac:dyDescent="0.45">
      <c r="A38" s="123" t="s">
        <v>121</v>
      </c>
      <c r="B38" s="124" t="s">
        <v>147</v>
      </c>
      <c r="C38" s="168" t="s">
        <v>1187</v>
      </c>
      <c r="D38" s="127" t="s">
        <v>1188</v>
      </c>
      <c r="E38" s="127"/>
    </row>
    <row r="39" spans="1:7" ht="14.25" x14ac:dyDescent="0.45">
      <c r="A39" s="123" t="s">
        <v>121</v>
      </c>
      <c r="B39" s="124" t="s">
        <v>147</v>
      </c>
      <c r="C39" s="168" t="s">
        <v>1189</v>
      </c>
      <c r="D39" s="127" t="s">
        <v>1190</v>
      </c>
      <c r="E39" s="127"/>
    </row>
    <row r="40" spans="1:7" ht="14.25" x14ac:dyDescent="0.45">
      <c r="A40" s="123" t="s">
        <v>121</v>
      </c>
      <c r="B40" s="124" t="s">
        <v>147</v>
      </c>
      <c r="C40" s="168" t="s">
        <v>1191</v>
      </c>
      <c r="D40" s="127" t="s">
        <v>1192</v>
      </c>
      <c r="E40" s="127"/>
    </row>
    <row r="41" spans="1:7" ht="14.25" x14ac:dyDescent="0.45">
      <c r="A41" s="123" t="s">
        <v>121</v>
      </c>
      <c r="B41" s="124" t="s">
        <v>147</v>
      </c>
      <c r="C41" s="168" t="s">
        <v>1193</v>
      </c>
      <c r="D41" s="127" t="s">
        <v>1194</v>
      </c>
      <c r="E41" s="127"/>
    </row>
    <row r="42" spans="1:7" ht="14.25" x14ac:dyDescent="0.45">
      <c r="A42" s="123" t="s">
        <v>121</v>
      </c>
      <c r="B42" s="124" t="s">
        <v>147</v>
      </c>
      <c r="C42" s="168" t="s">
        <v>1195</v>
      </c>
      <c r="D42" s="127" t="s">
        <v>1196</v>
      </c>
      <c r="E42" s="127"/>
    </row>
    <row r="43" spans="1:7" ht="14.25" x14ac:dyDescent="0.45">
      <c r="A43" s="123" t="s">
        <v>121</v>
      </c>
      <c r="B43" s="124" t="s">
        <v>147</v>
      </c>
      <c r="C43" s="167" t="s">
        <v>1197</v>
      </c>
      <c r="D43" s="127" t="s">
        <v>1198</v>
      </c>
      <c r="E43" s="127" t="s">
        <v>140</v>
      </c>
      <c r="F43" t="str">
        <f>C43</f>
        <v>055583-000</v>
      </c>
      <c r="G43" t="s">
        <v>1166</v>
      </c>
    </row>
    <row r="44" spans="1:7" ht="14.25" x14ac:dyDescent="0.45">
      <c r="A44" s="123" t="s">
        <v>121</v>
      </c>
      <c r="B44" s="124" t="s">
        <v>147</v>
      </c>
      <c r="C44" s="167" t="s">
        <v>1199</v>
      </c>
      <c r="D44" s="127" t="s">
        <v>1200</v>
      </c>
      <c r="E44" s="127" t="s">
        <v>140</v>
      </c>
      <c r="F44" t="str">
        <f>C44</f>
        <v>055584-000</v>
      </c>
      <c r="G44" t="s">
        <v>1166</v>
      </c>
    </row>
    <row r="45" spans="1:7" ht="14.25" x14ac:dyDescent="0.45">
      <c r="A45" s="123" t="s">
        <v>121</v>
      </c>
      <c r="B45" s="124" t="s">
        <v>147</v>
      </c>
      <c r="C45" s="168" t="s">
        <v>1201</v>
      </c>
      <c r="D45" s="127" t="s">
        <v>1202</v>
      </c>
      <c r="E45" s="127"/>
    </row>
    <row r="46" spans="1:7" ht="14.25" x14ac:dyDescent="0.45">
      <c r="A46" s="123" t="s">
        <v>121</v>
      </c>
      <c r="B46" s="124" t="s">
        <v>147</v>
      </c>
      <c r="C46" s="168" t="s">
        <v>1203</v>
      </c>
      <c r="D46" s="127" t="s">
        <v>1204</v>
      </c>
      <c r="E46" s="127"/>
    </row>
    <row r="47" spans="1:7" ht="14.25" x14ac:dyDescent="0.45">
      <c r="A47" s="123" t="s">
        <v>121</v>
      </c>
      <c r="B47" s="124" t="s">
        <v>147</v>
      </c>
      <c r="C47" s="168" t="s">
        <v>1205</v>
      </c>
      <c r="D47" s="127" t="s">
        <v>1206</v>
      </c>
      <c r="E47" s="127"/>
    </row>
    <row r="48" spans="1:7" ht="14.25" x14ac:dyDescent="0.45">
      <c r="A48" s="123" t="s">
        <v>121</v>
      </c>
      <c r="B48" s="124" t="s">
        <v>147</v>
      </c>
      <c r="C48" s="168" t="s">
        <v>1207</v>
      </c>
      <c r="D48" s="127" t="s">
        <v>1208</v>
      </c>
      <c r="E48" s="127"/>
    </row>
    <row r="49" spans="1:7" ht="14.25" x14ac:dyDescent="0.45">
      <c r="A49" s="123" t="s">
        <v>121</v>
      </c>
      <c r="B49" s="124" t="s">
        <v>147</v>
      </c>
      <c r="C49" s="168" t="s">
        <v>1209</v>
      </c>
      <c r="D49" s="127" t="s">
        <v>1210</v>
      </c>
      <c r="E49" s="127"/>
    </row>
    <row r="50" spans="1:7" ht="14.25" x14ac:dyDescent="0.45">
      <c r="A50" s="123" t="s">
        <v>121</v>
      </c>
      <c r="B50" s="124" t="s">
        <v>147</v>
      </c>
      <c r="C50" s="167" t="s">
        <v>1211</v>
      </c>
      <c r="D50" s="127" t="s">
        <v>1212</v>
      </c>
      <c r="E50" s="127" t="s">
        <v>140</v>
      </c>
      <c r="F50" t="str">
        <f>C50</f>
        <v>055590-000</v>
      </c>
      <c r="G50" t="s">
        <v>1166</v>
      </c>
    </row>
    <row r="51" spans="1:7" ht="14.25" x14ac:dyDescent="0.45">
      <c r="A51" s="123" t="s">
        <v>121</v>
      </c>
      <c r="B51" s="124" t="s">
        <v>147</v>
      </c>
      <c r="C51" s="168" t="s">
        <v>1213</v>
      </c>
      <c r="D51" s="127" t="s">
        <v>1214</v>
      </c>
      <c r="E51" s="127"/>
    </row>
    <row r="52" spans="1:7" ht="14.25" x14ac:dyDescent="0.45">
      <c r="A52" s="123" t="s">
        <v>121</v>
      </c>
      <c r="B52" s="124" t="s">
        <v>147</v>
      </c>
      <c r="C52" s="168" t="s">
        <v>1215</v>
      </c>
      <c r="D52" s="127" t="s">
        <v>1216</v>
      </c>
      <c r="E52" s="127"/>
    </row>
    <row r="53" spans="1:7" ht="14.25" x14ac:dyDescent="0.45">
      <c r="A53" s="123" t="s">
        <v>121</v>
      </c>
      <c r="B53" s="124" t="s">
        <v>147</v>
      </c>
      <c r="C53" s="168" t="s">
        <v>1217</v>
      </c>
      <c r="D53" s="127" t="s">
        <v>1218</v>
      </c>
      <c r="E53" s="127"/>
    </row>
    <row r="54" spans="1:7" ht="14.25" x14ac:dyDescent="0.45">
      <c r="A54" s="123" t="s">
        <v>121</v>
      </c>
      <c r="B54" s="124" t="s">
        <v>147</v>
      </c>
      <c r="C54" s="167" t="s">
        <v>1219</v>
      </c>
      <c r="D54" s="127" t="s">
        <v>1220</v>
      </c>
      <c r="E54" s="127" t="s">
        <v>140</v>
      </c>
      <c r="F54" t="str">
        <f>C54</f>
        <v>055594-000</v>
      </c>
      <c r="G54" t="s">
        <v>1166</v>
      </c>
    </row>
    <row r="55" spans="1:7" ht="14.25" x14ac:dyDescent="0.45">
      <c r="A55" s="123" t="s">
        <v>121</v>
      </c>
      <c r="B55" s="124" t="s">
        <v>147</v>
      </c>
      <c r="C55" s="167" t="s">
        <v>1221</v>
      </c>
      <c r="D55" s="127" t="s">
        <v>1222</v>
      </c>
      <c r="E55" s="127" t="s">
        <v>140</v>
      </c>
      <c r="F55" t="str">
        <f>C55</f>
        <v>055595-000</v>
      </c>
      <c r="G55" t="s">
        <v>1166</v>
      </c>
    </row>
    <row r="56" spans="1:7" ht="14.25" x14ac:dyDescent="0.45">
      <c r="A56" s="123" t="s">
        <v>121</v>
      </c>
      <c r="B56" s="124" t="s">
        <v>147</v>
      </c>
      <c r="C56" s="168" t="s">
        <v>1223</v>
      </c>
      <c r="D56" s="127" t="s">
        <v>1224</v>
      </c>
      <c r="E56" s="127"/>
    </row>
    <row r="57" spans="1:7" ht="14.25" x14ac:dyDescent="0.45">
      <c r="A57" s="123" t="s">
        <v>121</v>
      </c>
      <c r="B57" s="124" t="s">
        <v>147</v>
      </c>
      <c r="C57" s="168" t="s">
        <v>1225</v>
      </c>
      <c r="D57" s="127" t="s">
        <v>1226</v>
      </c>
      <c r="E57" s="127"/>
    </row>
    <row r="58" spans="1:7" ht="14.25" x14ac:dyDescent="0.45">
      <c r="A58" s="123" t="s">
        <v>121</v>
      </c>
      <c r="B58" s="124" t="s">
        <v>147</v>
      </c>
      <c r="C58" s="167" t="s">
        <v>1227</v>
      </c>
      <c r="D58" s="127" t="s">
        <v>1228</v>
      </c>
      <c r="E58" s="127" t="s">
        <v>140</v>
      </c>
      <c r="F58" t="str">
        <f>C58</f>
        <v>055598-000</v>
      </c>
      <c r="G58" t="s">
        <v>1166</v>
      </c>
    </row>
    <row r="59" spans="1:7" ht="14.25" x14ac:dyDescent="0.45">
      <c r="A59" s="123" t="s">
        <v>121</v>
      </c>
      <c r="B59" s="124" t="s">
        <v>147</v>
      </c>
      <c r="C59" s="168" t="s">
        <v>1229</v>
      </c>
      <c r="D59" s="127" t="s">
        <v>1230</v>
      </c>
      <c r="E59" s="127"/>
    </row>
    <row r="60" spans="1:7" ht="14.25" x14ac:dyDescent="0.45">
      <c r="A60" s="123" t="s">
        <v>121</v>
      </c>
      <c r="B60" s="124" t="s">
        <v>147</v>
      </c>
      <c r="C60" s="167" t="s">
        <v>1231</v>
      </c>
      <c r="D60" s="127" t="s">
        <v>1232</v>
      </c>
      <c r="E60" s="127" t="s">
        <v>140</v>
      </c>
      <c r="F60" t="str">
        <f>C60</f>
        <v>055600-000</v>
      </c>
      <c r="G60" t="s">
        <v>1166</v>
      </c>
    </row>
    <row r="61" spans="1:7" ht="14.25" x14ac:dyDescent="0.45">
      <c r="A61" s="123" t="s">
        <v>121</v>
      </c>
      <c r="B61" s="124" t="s">
        <v>147</v>
      </c>
      <c r="C61" s="168" t="s">
        <v>1233</v>
      </c>
      <c r="D61" s="127" t="s">
        <v>1234</v>
      </c>
      <c r="E61" s="127"/>
    </row>
    <row r="62" spans="1:7" ht="14.25" x14ac:dyDescent="0.45">
      <c r="A62" s="123" t="s">
        <v>121</v>
      </c>
      <c r="B62" s="124" t="s">
        <v>147</v>
      </c>
      <c r="C62" s="168" t="s">
        <v>1235</v>
      </c>
      <c r="D62" s="127" t="s">
        <v>1236</v>
      </c>
      <c r="E62" s="127"/>
    </row>
    <row r="63" spans="1:7" ht="14.25" x14ac:dyDescent="0.45">
      <c r="A63" s="123" t="s">
        <v>121</v>
      </c>
      <c r="B63" s="124" t="s">
        <v>147</v>
      </c>
      <c r="C63" s="168" t="s">
        <v>1237</v>
      </c>
      <c r="D63" s="127" t="s">
        <v>1238</v>
      </c>
      <c r="E63" s="127"/>
    </row>
    <row r="64" spans="1:7" ht="14.25" x14ac:dyDescent="0.45">
      <c r="A64" s="123" t="s">
        <v>121</v>
      </c>
      <c r="B64" s="124" t="s">
        <v>147</v>
      </c>
      <c r="C64" s="168" t="s">
        <v>1239</v>
      </c>
      <c r="D64" s="127" t="s">
        <v>1240</v>
      </c>
      <c r="E64" s="127"/>
    </row>
    <row r="65" spans="1:10" ht="14.25" x14ac:dyDescent="0.45">
      <c r="A65" s="123" t="s">
        <v>121</v>
      </c>
      <c r="B65" s="124" t="s">
        <v>147</v>
      </c>
      <c r="C65" s="168" t="s">
        <v>1241</v>
      </c>
      <c r="D65" s="127" t="s">
        <v>1242</v>
      </c>
      <c r="E65" s="127"/>
    </row>
    <row r="66" spans="1:10" ht="14.25" x14ac:dyDescent="0.45">
      <c r="A66" s="123" t="s">
        <v>121</v>
      </c>
      <c r="B66" s="124" t="s">
        <v>147</v>
      </c>
      <c r="C66" s="167" t="s">
        <v>1243</v>
      </c>
      <c r="D66" s="127" t="s">
        <v>1244</v>
      </c>
      <c r="E66" s="127" t="s">
        <v>140</v>
      </c>
      <c r="F66" t="str">
        <f>C66</f>
        <v>055606-000</v>
      </c>
      <c r="G66" t="s">
        <v>1166</v>
      </c>
    </row>
    <row r="67" spans="1:10" ht="14.25" x14ac:dyDescent="0.45">
      <c r="A67" s="123" t="s">
        <v>121</v>
      </c>
      <c r="B67" s="124" t="s">
        <v>147</v>
      </c>
      <c r="C67" s="167" t="s">
        <v>1245</v>
      </c>
      <c r="D67" s="127" t="s">
        <v>1246</v>
      </c>
      <c r="E67" s="127" t="s">
        <v>140</v>
      </c>
      <c r="F67" t="str">
        <f>C67</f>
        <v>055607-000</v>
      </c>
      <c r="G67" t="s">
        <v>1166</v>
      </c>
    </row>
    <row r="68" spans="1:10" ht="14.25" x14ac:dyDescent="0.45">
      <c r="A68" s="123" t="s">
        <v>121</v>
      </c>
      <c r="B68" s="124" t="s">
        <v>147</v>
      </c>
      <c r="C68" s="167" t="s">
        <v>1247</v>
      </c>
      <c r="D68" s="127" t="s">
        <v>1248</v>
      </c>
      <c r="E68" s="127" t="s">
        <v>140</v>
      </c>
      <c r="F68" t="str">
        <f>C68</f>
        <v>055608-000</v>
      </c>
      <c r="G68" t="s">
        <v>1166</v>
      </c>
    </row>
    <row r="69" spans="1:10" ht="14.25" x14ac:dyDescent="0.45">
      <c r="A69" s="123" t="s">
        <v>121</v>
      </c>
      <c r="B69" s="124" t="s">
        <v>147</v>
      </c>
      <c r="C69" s="168" t="s">
        <v>1249</v>
      </c>
      <c r="D69" s="127" t="s">
        <v>1250</v>
      </c>
      <c r="E69" s="127"/>
    </row>
    <row r="70" spans="1:10" ht="14.25" x14ac:dyDescent="0.45">
      <c r="A70" s="123" t="s">
        <v>121</v>
      </c>
      <c r="B70" s="124" t="s">
        <v>147</v>
      </c>
      <c r="C70" s="168" t="s">
        <v>1251</v>
      </c>
      <c r="D70" s="127" t="s">
        <v>1252</v>
      </c>
      <c r="E70" s="127"/>
    </row>
    <row r="71" spans="1:10" ht="14.25" x14ac:dyDescent="0.45">
      <c r="A71" s="123" t="s">
        <v>121</v>
      </c>
      <c r="B71" s="124" t="s">
        <v>147</v>
      </c>
      <c r="C71" s="168" t="s">
        <v>1253</v>
      </c>
      <c r="D71" s="127" t="s">
        <v>1254</v>
      </c>
      <c r="E71" s="127"/>
    </row>
    <row r="72" spans="1:10" ht="14.25" x14ac:dyDescent="0.45">
      <c r="A72" s="123" t="s">
        <v>121</v>
      </c>
      <c r="B72" s="124" t="s">
        <v>147</v>
      </c>
      <c r="C72" s="168" t="s">
        <v>1255</v>
      </c>
      <c r="D72" s="127" t="s">
        <v>1256</v>
      </c>
      <c r="E72" s="127"/>
    </row>
    <row r="73" spans="1:10" ht="14.25" x14ac:dyDescent="0.45">
      <c r="A73" s="123" t="s">
        <v>121</v>
      </c>
      <c r="B73" s="124" t="s">
        <v>147</v>
      </c>
      <c r="C73" s="167" t="s">
        <v>1257</v>
      </c>
      <c r="D73" s="127" t="s">
        <v>1258</v>
      </c>
      <c r="E73" s="127" t="s">
        <v>140</v>
      </c>
      <c r="F73" t="str">
        <f>C73</f>
        <v>055613-000</v>
      </c>
      <c r="G73" t="s">
        <v>1166</v>
      </c>
    </row>
    <row r="74" spans="1:10" ht="14.25" x14ac:dyDescent="0.45">
      <c r="A74" s="123" t="s">
        <v>121</v>
      </c>
      <c r="B74" s="124" t="s">
        <v>147</v>
      </c>
      <c r="C74" s="168" t="s">
        <v>1259</v>
      </c>
      <c r="D74" s="127" t="s">
        <v>1260</v>
      </c>
      <c r="E74" s="127"/>
    </row>
    <row r="75" spans="1:10" ht="14.25" x14ac:dyDescent="0.45">
      <c r="A75" s="123" t="s">
        <v>121</v>
      </c>
      <c r="B75" s="124" t="s">
        <v>147</v>
      </c>
      <c r="C75" s="168" t="s">
        <v>1261</v>
      </c>
      <c r="D75" s="127" t="s">
        <v>1262</v>
      </c>
      <c r="E75" s="127"/>
    </row>
    <row r="76" spans="1:10" ht="14.25" x14ac:dyDescent="0.45">
      <c r="A76" s="123" t="s">
        <v>121</v>
      </c>
      <c r="B76" s="124" t="s">
        <v>147</v>
      </c>
      <c r="C76" s="167" t="s">
        <v>1263</v>
      </c>
      <c r="D76" s="127" t="s">
        <v>1264</v>
      </c>
      <c r="E76" s="127" t="s">
        <v>140</v>
      </c>
      <c r="F76" t="str">
        <f>C76</f>
        <v>055616-000</v>
      </c>
    </row>
    <row r="77" spans="1:10" ht="14.25" x14ac:dyDescent="0.45">
      <c r="A77" s="123" t="s">
        <v>121</v>
      </c>
      <c r="B77" s="124" t="s">
        <v>147</v>
      </c>
      <c r="C77" s="167" t="s">
        <v>1265</v>
      </c>
      <c r="D77" s="127" t="s">
        <v>1266</v>
      </c>
      <c r="E77" s="127" t="s">
        <v>140</v>
      </c>
      <c r="F77" t="str">
        <f>C77</f>
        <v>055617-000</v>
      </c>
      <c r="G77" t="s">
        <v>1166</v>
      </c>
    </row>
    <row r="78" spans="1:10" ht="14.25" x14ac:dyDescent="0.45">
      <c r="A78" s="123" t="s">
        <v>121</v>
      </c>
      <c r="B78" s="124" t="s">
        <v>147</v>
      </c>
      <c r="C78" s="168" t="s">
        <v>1267</v>
      </c>
      <c r="D78" s="127" t="s">
        <v>1268</v>
      </c>
      <c r="E78" s="127"/>
    </row>
    <row r="79" spans="1:10" ht="14.25" x14ac:dyDescent="0.45">
      <c r="A79" s="123" t="s">
        <v>121</v>
      </c>
      <c r="B79" s="124" t="s">
        <v>147</v>
      </c>
      <c r="C79" s="167" t="s">
        <v>1269</v>
      </c>
      <c r="D79" s="127" t="s">
        <v>1270</v>
      </c>
      <c r="E79" s="127" t="s">
        <v>140</v>
      </c>
      <c r="F79" t="str">
        <f>C79</f>
        <v>055619-000</v>
      </c>
      <c r="G79" t="s">
        <v>1166</v>
      </c>
      <c r="J79">
        <v>7.2</v>
      </c>
    </row>
    <row r="80" spans="1:10" ht="14.25" x14ac:dyDescent="0.45">
      <c r="A80" s="123" t="s">
        <v>121</v>
      </c>
      <c r="B80" s="124" t="s">
        <v>147</v>
      </c>
      <c r="C80" s="167" t="s">
        <v>1271</v>
      </c>
      <c r="D80" s="127" t="s">
        <v>1272</v>
      </c>
      <c r="E80" s="127" t="s">
        <v>140</v>
      </c>
      <c r="F80" t="str">
        <f>C80</f>
        <v>055620-000</v>
      </c>
      <c r="G80" t="s">
        <v>1166</v>
      </c>
      <c r="J80">
        <v>65.67</v>
      </c>
    </row>
    <row r="81" spans="1:12" ht="14.25" x14ac:dyDescent="0.45">
      <c r="A81" s="123" t="s">
        <v>121</v>
      </c>
      <c r="B81" s="124" t="s">
        <v>147</v>
      </c>
      <c r="C81" s="168" t="s">
        <v>1273</v>
      </c>
      <c r="D81" s="127" t="s">
        <v>1274</v>
      </c>
      <c r="E81" s="127"/>
      <c r="J81">
        <v>11.87</v>
      </c>
    </row>
    <row r="82" spans="1:12" ht="14.25" x14ac:dyDescent="0.45">
      <c r="A82" s="123" t="s">
        <v>121</v>
      </c>
      <c r="B82" s="124" t="s">
        <v>147</v>
      </c>
      <c r="C82" s="168" t="s">
        <v>1275</v>
      </c>
      <c r="D82" s="127" t="s">
        <v>1276</v>
      </c>
      <c r="E82" s="127"/>
      <c r="J82">
        <v>0.36</v>
      </c>
    </row>
    <row r="83" spans="1:12" ht="14.25" x14ac:dyDescent="0.45">
      <c r="A83" s="123" t="s">
        <v>121</v>
      </c>
      <c r="B83" s="124" t="s">
        <v>147</v>
      </c>
      <c r="C83" s="168" t="s">
        <v>1277</v>
      </c>
      <c r="D83" s="127" t="s">
        <v>1278</v>
      </c>
      <c r="E83" s="127"/>
      <c r="J83">
        <v>6.67</v>
      </c>
      <c r="L83">
        <v>6173.14</v>
      </c>
    </row>
    <row r="84" spans="1:12" ht="14.25" x14ac:dyDescent="0.45">
      <c r="A84" s="123" t="s">
        <v>121</v>
      </c>
      <c r="B84" s="124" t="s">
        <v>147</v>
      </c>
      <c r="C84" s="167" t="s">
        <v>1279</v>
      </c>
      <c r="D84" s="127" t="s">
        <v>1280</v>
      </c>
      <c r="E84" s="127" t="s">
        <v>140</v>
      </c>
      <c r="F84" t="str">
        <f>C84</f>
        <v>055624-000</v>
      </c>
      <c r="G84" t="s">
        <v>1166</v>
      </c>
      <c r="J84">
        <v>7</v>
      </c>
      <c r="L84">
        <v>3694.04</v>
      </c>
    </row>
    <row r="85" spans="1:12" ht="14.25" x14ac:dyDescent="0.45">
      <c r="A85" s="123" t="s">
        <v>121</v>
      </c>
      <c r="B85" s="124" t="s">
        <v>147</v>
      </c>
      <c r="C85" s="168" t="s">
        <v>1281</v>
      </c>
      <c r="D85" s="127" t="s">
        <v>1282</v>
      </c>
      <c r="E85" s="127"/>
      <c r="J85">
        <v>1374.05</v>
      </c>
    </row>
    <row r="86" spans="1:12" ht="14.25" x14ac:dyDescent="0.45">
      <c r="A86" s="123" t="s">
        <v>121</v>
      </c>
      <c r="B86" s="124" t="s">
        <v>147</v>
      </c>
      <c r="C86" s="168" t="s">
        <v>1283</v>
      </c>
      <c r="D86" s="127" t="s">
        <v>1284</v>
      </c>
      <c r="E86" s="127"/>
      <c r="J86" s="2">
        <f>SUM(J79:J85)</f>
        <v>1472.82</v>
      </c>
      <c r="L86">
        <f>L83-L84</f>
        <v>2479.1000000000004</v>
      </c>
    </row>
    <row r="87" spans="1:12" ht="14.25" x14ac:dyDescent="0.45">
      <c r="A87" s="123" t="s">
        <v>121</v>
      </c>
      <c r="B87" s="124" t="s">
        <v>147</v>
      </c>
      <c r="C87" s="168" t="s">
        <v>1285</v>
      </c>
      <c r="D87" s="127" t="s">
        <v>1286</v>
      </c>
      <c r="E87" s="127"/>
    </row>
    <row r="88" spans="1:12" ht="14.25" x14ac:dyDescent="0.45">
      <c r="A88" s="123" t="s">
        <v>121</v>
      </c>
      <c r="B88" s="124" t="s">
        <v>147</v>
      </c>
      <c r="C88" s="167" t="s">
        <v>1287</v>
      </c>
      <c r="D88" s="127" t="s">
        <v>1288</v>
      </c>
      <c r="E88" s="127" t="s">
        <v>140</v>
      </c>
      <c r="F88" t="str">
        <f>C88</f>
        <v>055628-000</v>
      </c>
      <c r="G88" t="s">
        <v>1166</v>
      </c>
      <c r="K88">
        <f>L86-J86</f>
        <v>1006.2800000000004</v>
      </c>
    </row>
    <row r="89" spans="1:12" ht="14.25" x14ac:dyDescent="0.45">
      <c r="A89" s="123" t="s">
        <v>121</v>
      </c>
      <c r="B89" s="124" t="s">
        <v>147</v>
      </c>
      <c r="C89" s="167" t="s">
        <v>1289</v>
      </c>
      <c r="D89" s="127" t="s">
        <v>1290</v>
      </c>
      <c r="E89" s="127" t="s">
        <v>140</v>
      </c>
      <c r="F89" t="str">
        <f>C89</f>
        <v>055629-000</v>
      </c>
      <c r="G89" t="s">
        <v>1166</v>
      </c>
    </row>
    <row r="90" spans="1:12" ht="14.25" x14ac:dyDescent="0.45">
      <c r="A90" s="123" t="s">
        <v>121</v>
      </c>
      <c r="B90" s="124" t="s">
        <v>147</v>
      </c>
      <c r="C90" s="168" t="s">
        <v>1291</v>
      </c>
      <c r="D90" s="127" t="s">
        <v>1292</v>
      </c>
      <c r="E90" s="127"/>
    </row>
    <row r="91" spans="1:12" ht="14.25" x14ac:dyDescent="0.45">
      <c r="A91" s="123" t="s">
        <v>121</v>
      </c>
      <c r="B91" s="124" t="s">
        <v>147</v>
      </c>
      <c r="C91" s="168" t="s">
        <v>1293</v>
      </c>
      <c r="D91" s="127" t="s">
        <v>1294</v>
      </c>
      <c r="E91" s="127"/>
    </row>
    <row r="92" spans="1:12" ht="14.25" x14ac:dyDescent="0.45">
      <c r="A92" s="123" t="s">
        <v>122</v>
      </c>
      <c r="B92" s="124" t="s">
        <v>431</v>
      </c>
      <c r="C92" s="124">
        <v>2177344</v>
      </c>
      <c r="D92" s="127" t="s">
        <v>1295</v>
      </c>
      <c r="E92" s="127" t="s">
        <v>140</v>
      </c>
    </row>
    <row r="93" spans="1:12" ht="15" customHeight="1" x14ac:dyDescent="0.45">
      <c r="A93" s="149" t="s">
        <v>1296</v>
      </c>
      <c r="B93" s="124" t="s">
        <v>178</v>
      </c>
      <c r="C93" s="124"/>
      <c r="D93" s="127"/>
      <c r="E93" s="127"/>
    </row>
    <row r="94" spans="1:12" ht="15" customHeight="1" x14ac:dyDescent="0.45">
      <c r="A94" s="123" t="s">
        <v>28</v>
      </c>
      <c r="B94" s="124" t="s">
        <v>141</v>
      </c>
      <c r="C94" s="136" t="s">
        <v>1297</v>
      </c>
      <c r="D94" s="138" t="s">
        <v>1298</v>
      </c>
      <c r="E94" s="138" t="s">
        <v>152</v>
      </c>
      <c r="F94" s="34" t="s">
        <v>263</v>
      </c>
    </row>
    <row r="95" spans="1:12" ht="15" customHeight="1" x14ac:dyDescent="0.45">
      <c r="A95" s="123" t="s">
        <v>28</v>
      </c>
      <c r="B95" s="124" t="s">
        <v>141</v>
      </c>
      <c r="C95" s="139">
        <v>9004772324</v>
      </c>
      <c r="D95" s="138" t="s">
        <v>1299</v>
      </c>
      <c r="E95" s="138" t="s">
        <v>152</v>
      </c>
      <c r="F95" s="34" t="s">
        <v>214</v>
      </c>
    </row>
    <row r="96" spans="1:12" ht="15" customHeight="1" x14ac:dyDescent="0.45">
      <c r="A96" s="123" t="s">
        <v>28</v>
      </c>
      <c r="B96" s="124" t="s">
        <v>141</v>
      </c>
      <c r="C96" s="139">
        <v>8454276430</v>
      </c>
      <c r="D96" s="138" t="s">
        <v>1300</v>
      </c>
      <c r="E96" s="138"/>
      <c r="F96" s="34" t="s">
        <v>214</v>
      </c>
    </row>
  </sheetData>
  <mergeCells count="1">
    <mergeCell ref="A1:E1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3E02-995C-45FF-88B6-CC192AB6CC7F}">
  <dimension ref="A1:E9"/>
  <sheetViews>
    <sheetView zoomScale="87" zoomScaleNormal="87" workbookViewId="0">
      <selection activeCell="E9" sqref="E9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46.1328125" customWidth="1"/>
    <col min="5" max="5" width="19.6640625" customWidth="1"/>
  </cols>
  <sheetData>
    <row r="1" spans="1:5" ht="28.5" x14ac:dyDescent="0.85">
      <c r="A1" s="218" t="s">
        <v>123</v>
      </c>
      <c r="B1" s="218"/>
      <c r="C1" s="218"/>
      <c r="D1" s="218"/>
      <c r="E1" s="218"/>
    </row>
    <row r="2" spans="1:5" ht="14.25" x14ac:dyDescent="0.45">
      <c r="A2" s="114" t="s">
        <v>133</v>
      </c>
      <c r="B2" s="114" t="s">
        <v>134</v>
      </c>
      <c r="C2" s="114" t="s">
        <v>135</v>
      </c>
      <c r="D2" s="114" t="s">
        <v>136</v>
      </c>
      <c r="E2" s="114" t="s">
        <v>137</v>
      </c>
    </row>
    <row r="3" spans="1:5" ht="14.25" x14ac:dyDescent="0.45">
      <c r="A3" s="123" t="s">
        <v>28</v>
      </c>
      <c r="B3" s="124" t="s">
        <v>141</v>
      </c>
      <c r="C3" s="158">
        <v>4538081359</v>
      </c>
      <c r="D3" s="157" t="s">
        <v>1301</v>
      </c>
      <c r="E3" s="127" t="s">
        <v>140</v>
      </c>
    </row>
    <row r="4" spans="1:5" ht="14.25" x14ac:dyDescent="0.45">
      <c r="A4" s="123" t="s">
        <v>28</v>
      </c>
      <c r="B4" s="124" t="s">
        <v>141</v>
      </c>
      <c r="C4" s="156" t="s">
        <v>1302</v>
      </c>
      <c r="D4" s="127" t="s">
        <v>1303</v>
      </c>
      <c r="E4" s="127" t="s">
        <v>140</v>
      </c>
    </row>
    <row r="5" spans="1:5" ht="14.25" x14ac:dyDescent="0.45">
      <c r="A5" s="123" t="s">
        <v>28</v>
      </c>
      <c r="B5" s="124" t="s">
        <v>141</v>
      </c>
      <c r="C5" s="158">
        <v>8719366406</v>
      </c>
      <c r="D5" s="127" t="s">
        <v>1304</v>
      </c>
      <c r="E5" s="127" t="s">
        <v>140</v>
      </c>
    </row>
    <row r="6" spans="1:5" ht="14.25" x14ac:dyDescent="0.45">
      <c r="A6" s="123" t="s">
        <v>28</v>
      </c>
      <c r="B6" s="124" t="s">
        <v>141</v>
      </c>
      <c r="C6" s="158">
        <v>8072316501</v>
      </c>
      <c r="D6" s="126" t="s">
        <v>1305</v>
      </c>
      <c r="E6" s="127" t="s">
        <v>140</v>
      </c>
    </row>
    <row r="7" spans="1:5" ht="14.25" x14ac:dyDescent="0.45">
      <c r="A7" s="123" t="s">
        <v>488</v>
      </c>
      <c r="B7" s="124" t="s">
        <v>138</v>
      </c>
      <c r="C7" s="162" t="s">
        <v>1306</v>
      </c>
      <c r="D7" s="157" t="s">
        <v>1307</v>
      </c>
      <c r="E7" s="127" t="s">
        <v>140</v>
      </c>
    </row>
    <row r="8" spans="1:5" ht="14.25" x14ac:dyDescent="0.45">
      <c r="A8" s="123" t="s">
        <v>488</v>
      </c>
      <c r="B8" s="124" t="s">
        <v>138</v>
      </c>
      <c r="C8" s="148" t="s">
        <v>1308</v>
      </c>
      <c r="D8" s="127" t="s">
        <v>1307</v>
      </c>
      <c r="E8" s="127" t="s">
        <v>140</v>
      </c>
    </row>
    <row r="9" spans="1:5" ht="14.25" x14ac:dyDescent="0.45">
      <c r="A9" s="123" t="s">
        <v>1309</v>
      </c>
      <c r="B9" s="124" t="s">
        <v>147</v>
      </c>
      <c r="C9" s="162" t="s">
        <v>1310</v>
      </c>
      <c r="D9" s="157" t="s">
        <v>1311</v>
      </c>
      <c r="E9" s="127" t="s">
        <v>140</v>
      </c>
    </row>
  </sheetData>
  <mergeCells count="1">
    <mergeCell ref="A1:E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2E8F-236A-41BB-8A5E-E5801CD2DF49}">
  <dimension ref="A1:F72"/>
  <sheetViews>
    <sheetView topLeftCell="A6" zoomScale="87" zoomScaleNormal="87" workbookViewId="0">
      <selection activeCell="G64" sqref="G64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55" customWidth="1"/>
    <col min="5" max="5" width="19.6640625" customWidth="1"/>
  </cols>
  <sheetData>
    <row r="1" spans="1:5" ht="28.5" x14ac:dyDescent="0.85">
      <c r="A1" s="218" t="s">
        <v>1312</v>
      </c>
      <c r="B1" s="218"/>
      <c r="C1" s="218"/>
      <c r="D1" s="218"/>
      <c r="E1" s="218"/>
    </row>
    <row r="2" spans="1:5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ht="14.25" x14ac:dyDescent="0.45">
      <c r="A3" s="2" t="s">
        <v>28</v>
      </c>
      <c r="B3" s="1" t="s">
        <v>141</v>
      </c>
      <c r="C3" s="13">
        <v>1343310254</v>
      </c>
      <c r="D3" s="4" t="s">
        <v>1313</v>
      </c>
      <c r="E3" t="s">
        <v>140</v>
      </c>
    </row>
    <row r="4" spans="1:5" ht="14.25" x14ac:dyDescent="0.45">
      <c r="A4" s="2"/>
      <c r="C4" s="13">
        <v>6156041276</v>
      </c>
      <c r="D4" t="s">
        <v>1314</v>
      </c>
      <c r="E4" t="s">
        <v>140</v>
      </c>
    </row>
    <row r="5" spans="1:5" ht="14.25" x14ac:dyDescent="0.45">
      <c r="A5" s="2"/>
      <c r="C5" s="13">
        <v>8991284509</v>
      </c>
      <c r="D5" t="s">
        <v>1315</v>
      </c>
      <c r="E5" t="s">
        <v>140</v>
      </c>
    </row>
    <row r="6" spans="1:5" ht="14.25" x14ac:dyDescent="0.45">
      <c r="A6" s="2"/>
      <c r="C6" s="12" t="s">
        <v>1316</v>
      </c>
      <c r="D6" s="3" t="s">
        <v>1317</v>
      </c>
      <c r="E6" t="s">
        <v>140</v>
      </c>
    </row>
    <row r="7" spans="1:5" ht="14.25" x14ac:dyDescent="0.45">
      <c r="A7" s="2"/>
      <c r="C7" s="12" t="s">
        <v>1318</v>
      </c>
      <c r="D7" t="s">
        <v>1319</v>
      </c>
      <c r="E7" t="s">
        <v>140</v>
      </c>
    </row>
    <row r="8" spans="1:5" ht="14.25" x14ac:dyDescent="0.45">
      <c r="A8" s="2"/>
      <c r="C8" s="12" t="s">
        <v>1320</v>
      </c>
      <c r="D8" t="s">
        <v>1321</v>
      </c>
      <c r="E8" t="s">
        <v>140</v>
      </c>
    </row>
    <row r="9" spans="1:5" ht="14.25" x14ac:dyDescent="0.45">
      <c r="A9" s="2"/>
      <c r="C9" s="12" t="s">
        <v>1322</v>
      </c>
      <c r="D9" t="s">
        <v>1323</v>
      </c>
    </row>
    <row r="10" spans="1:5" ht="14.25" x14ac:dyDescent="0.45">
      <c r="A10" s="2"/>
      <c r="C10" s="12" t="s">
        <v>1324</v>
      </c>
      <c r="D10" t="s">
        <v>1325</v>
      </c>
    </row>
    <row r="11" spans="1:5" ht="14.25" x14ac:dyDescent="0.45">
      <c r="C11" s="13">
        <v>1256566504</v>
      </c>
      <c r="D11" t="s">
        <v>1326</v>
      </c>
    </row>
    <row r="12" spans="1:5" ht="14.25" x14ac:dyDescent="0.45">
      <c r="C12" s="13">
        <v>1665511075</v>
      </c>
      <c r="D12" t="s">
        <v>1327</v>
      </c>
      <c r="E12" t="s">
        <v>140</v>
      </c>
    </row>
    <row r="13" spans="1:5" ht="14.25" x14ac:dyDescent="0.45">
      <c r="C13" s="13">
        <v>4419483591</v>
      </c>
      <c r="D13" t="s">
        <v>1328</v>
      </c>
      <c r="E13" t="s">
        <v>140</v>
      </c>
    </row>
    <row r="14" spans="1:5" ht="14.25" x14ac:dyDescent="0.45">
      <c r="C14" s="13">
        <v>4953314236</v>
      </c>
      <c r="D14" t="s">
        <v>1329</v>
      </c>
      <c r="E14" t="s">
        <v>140</v>
      </c>
    </row>
    <row r="15" spans="1:5" ht="14.25" x14ac:dyDescent="0.45">
      <c r="C15" s="13">
        <v>5056419079</v>
      </c>
      <c r="D15" t="s">
        <v>1330</v>
      </c>
      <c r="E15" t="s">
        <v>140</v>
      </c>
    </row>
    <row r="16" spans="1:5" ht="14.25" x14ac:dyDescent="0.45">
      <c r="C16" s="13">
        <v>5260283592</v>
      </c>
      <c r="D16" t="s">
        <v>1331</v>
      </c>
      <c r="E16" t="s">
        <v>140</v>
      </c>
    </row>
    <row r="17" spans="3:5" ht="14.25" x14ac:dyDescent="0.45">
      <c r="C17" s="13">
        <v>5546611236</v>
      </c>
      <c r="D17" t="s">
        <v>1332</v>
      </c>
      <c r="E17" t="s">
        <v>140</v>
      </c>
    </row>
    <row r="18" spans="3:5" ht="14.25" x14ac:dyDescent="0.45">
      <c r="C18" s="13">
        <v>5592221070</v>
      </c>
      <c r="D18" t="s">
        <v>1333</v>
      </c>
      <c r="E18" t="s">
        <v>140</v>
      </c>
    </row>
    <row r="19" spans="3:5" ht="14.25" x14ac:dyDescent="0.45">
      <c r="C19" s="13">
        <v>5759783599</v>
      </c>
      <c r="D19" t="s">
        <v>1334</v>
      </c>
      <c r="E19" t="s">
        <v>140</v>
      </c>
    </row>
    <row r="20" spans="3:5" ht="14.25" x14ac:dyDescent="0.45">
      <c r="C20" s="13">
        <v>6383614234</v>
      </c>
      <c r="D20" t="s">
        <v>1335</v>
      </c>
      <c r="E20" t="s">
        <v>140</v>
      </c>
    </row>
    <row r="21" spans="3:5" ht="14.25" x14ac:dyDescent="0.45">
      <c r="C21" s="13">
        <v>6509469463</v>
      </c>
      <c r="D21" t="s">
        <v>1336</v>
      </c>
      <c r="E21" t="s">
        <v>140</v>
      </c>
    </row>
    <row r="22" spans="3:5" ht="14.25" x14ac:dyDescent="0.45">
      <c r="C22" s="13">
        <v>6595029072</v>
      </c>
      <c r="D22" t="s">
        <v>1337</v>
      </c>
    </row>
    <row r="23" spans="3:5" ht="14.25" x14ac:dyDescent="0.45">
      <c r="C23" s="13">
        <v>7139859461</v>
      </c>
      <c r="D23" t="s">
        <v>1338</v>
      </c>
      <c r="E23" t="s">
        <v>140</v>
      </c>
    </row>
    <row r="24" spans="3:5" ht="14.25" x14ac:dyDescent="0.45">
      <c r="C24" s="13">
        <v>7315014238</v>
      </c>
      <c r="D24" t="s">
        <v>1339</v>
      </c>
      <c r="E24" t="s">
        <v>140</v>
      </c>
    </row>
    <row r="25" spans="3:5" ht="14.25" x14ac:dyDescent="0.45">
      <c r="C25" s="13">
        <v>7607561193</v>
      </c>
      <c r="D25" t="s">
        <v>1340</v>
      </c>
      <c r="E25" t="s">
        <v>140</v>
      </c>
    </row>
    <row r="26" spans="3:5" ht="14.25" x14ac:dyDescent="0.45">
      <c r="C26" s="13">
        <v>7697719073</v>
      </c>
      <c r="D26" t="s">
        <v>1341</v>
      </c>
      <c r="E26" t="s">
        <v>140</v>
      </c>
    </row>
    <row r="27" spans="3:5" ht="14.25" x14ac:dyDescent="0.45">
      <c r="C27" s="13">
        <v>7756093592</v>
      </c>
      <c r="D27" t="s">
        <v>1342</v>
      </c>
      <c r="E27" t="s">
        <v>140</v>
      </c>
    </row>
    <row r="28" spans="3:5" ht="14.25" x14ac:dyDescent="0.45">
      <c r="C28" s="13">
        <v>8343329077</v>
      </c>
      <c r="D28" t="s">
        <v>1343</v>
      </c>
      <c r="E28" t="s">
        <v>140</v>
      </c>
    </row>
    <row r="29" spans="3:5" ht="14.25" x14ac:dyDescent="0.45">
      <c r="C29" s="13">
        <v>8543604238</v>
      </c>
      <c r="D29" t="s">
        <v>1344</v>
      </c>
      <c r="E29" t="s">
        <v>140</v>
      </c>
    </row>
    <row r="30" spans="3:5" ht="14.25" x14ac:dyDescent="0.45">
      <c r="C30" s="13">
        <v>1980225138</v>
      </c>
      <c r="D30" t="s">
        <v>1345</v>
      </c>
    </row>
    <row r="31" spans="3:5" ht="14.25" x14ac:dyDescent="0.45">
      <c r="C31" s="39">
        <v>6468394041</v>
      </c>
      <c r="D31" s="2" t="s">
        <v>1346</v>
      </c>
    </row>
    <row r="32" spans="3:5" ht="14.25" x14ac:dyDescent="0.45">
      <c r="C32" s="39">
        <v>6886994042</v>
      </c>
      <c r="D32" s="2" t="s">
        <v>1347</v>
      </c>
    </row>
    <row r="33" spans="1:6" ht="14.25" x14ac:dyDescent="0.45">
      <c r="C33" s="39">
        <v>1018305043</v>
      </c>
      <c r="D33" s="2" t="s">
        <v>1348</v>
      </c>
    </row>
    <row r="34" spans="1:6" ht="14.25" x14ac:dyDescent="0.45">
      <c r="C34" s="26">
        <v>8135699539</v>
      </c>
      <c r="D34" s="27" t="s">
        <v>1349</v>
      </c>
      <c r="F34" s="34" t="s">
        <v>214</v>
      </c>
    </row>
    <row r="35" spans="1:6" ht="14.25" x14ac:dyDescent="0.45">
      <c r="C35" s="26">
        <v>8597800047</v>
      </c>
      <c r="D35" s="27" t="s">
        <v>1350</v>
      </c>
      <c r="F35" s="34" t="s">
        <v>214</v>
      </c>
    </row>
    <row r="36" spans="1:6" ht="14.25" x14ac:dyDescent="0.45">
      <c r="C36" s="26">
        <v>7328510040</v>
      </c>
      <c r="D36" s="27" t="s">
        <v>1347</v>
      </c>
      <c r="F36" s="34" t="s">
        <v>214</v>
      </c>
    </row>
    <row r="37" spans="1:6" ht="14.25" x14ac:dyDescent="0.45">
      <c r="C37" s="28" t="s">
        <v>1351</v>
      </c>
      <c r="D37" s="27" t="s">
        <v>1352</v>
      </c>
      <c r="F37" s="34" t="s">
        <v>214</v>
      </c>
    </row>
    <row r="38" spans="1:6" ht="14.25" x14ac:dyDescent="0.45">
      <c r="C38" s="26">
        <v>6911820048</v>
      </c>
      <c r="D38" s="27" t="s">
        <v>1353</v>
      </c>
      <c r="F38" s="34" t="s">
        <v>214</v>
      </c>
    </row>
    <row r="40" spans="1:6" ht="14.25" x14ac:dyDescent="0.45">
      <c r="A40" s="2" t="s">
        <v>1040</v>
      </c>
      <c r="B40" s="1" t="s">
        <v>522</v>
      </c>
      <c r="C40" s="19">
        <v>135542</v>
      </c>
      <c r="D40" s="20" t="s">
        <v>1354</v>
      </c>
    </row>
    <row r="41" spans="1:6" ht="14.25" x14ac:dyDescent="0.45">
      <c r="C41" s="53">
        <v>134890</v>
      </c>
      <c r="D41" s="20" t="s">
        <v>1355</v>
      </c>
      <c r="E41" t="s">
        <v>140</v>
      </c>
    </row>
    <row r="42" spans="1:6" ht="14.25" x14ac:dyDescent="0.45">
      <c r="C42" s="53">
        <v>133620</v>
      </c>
      <c r="D42" s="20" t="s">
        <v>1356</v>
      </c>
      <c r="E42" t="s">
        <v>140</v>
      </c>
    </row>
    <row r="43" spans="1:6" ht="14.25" x14ac:dyDescent="0.45">
      <c r="C43" s="53">
        <v>133037</v>
      </c>
      <c r="D43" s="20" t="s">
        <v>1357</v>
      </c>
      <c r="E43" t="s">
        <v>140</v>
      </c>
    </row>
    <row r="44" spans="1:6" ht="14.25" x14ac:dyDescent="0.45">
      <c r="C44" s="53">
        <v>133036</v>
      </c>
      <c r="D44" s="20" t="s">
        <v>1358</v>
      </c>
      <c r="E44" t="s">
        <v>140</v>
      </c>
    </row>
    <row r="45" spans="1:6" ht="14.25" x14ac:dyDescent="0.45">
      <c r="C45" s="53">
        <v>133034</v>
      </c>
      <c r="D45" s="20" t="s">
        <v>1359</v>
      </c>
      <c r="E45" t="s">
        <v>140</v>
      </c>
    </row>
    <row r="46" spans="1:6" ht="14.25" x14ac:dyDescent="0.45">
      <c r="C46" s="53">
        <v>133033</v>
      </c>
      <c r="D46" s="20" t="s">
        <v>1360</v>
      </c>
      <c r="E46" t="s">
        <v>140</v>
      </c>
    </row>
    <row r="47" spans="1:6" ht="14.25" x14ac:dyDescent="0.45">
      <c r="C47" s="53">
        <v>133032</v>
      </c>
      <c r="D47" s="20" t="s">
        <v>1361</v>
      </c>
      <c r="E47" t="s">
        <v>140</v>
      </c>
    </row>
    <row r="48" spans="1:6" ht="14.25" x14ac:dyDescent="0.45">
      <c r="C48" s="53">
        <v>133029</v>
      </c>
      <c r="D48" s="20" t="s">
        <v>1362</v>
      </c>
      <c r="E48" t="s">
        <v>140</v>
      </c>
    </row>
    <row r="49" spans="3:5" ht="14.25" x14ac:dyDescent="0.45">
      <c r="C49" s="53">
        <v>133030</v>
      </c>
      <c r="D49" s="20" t="s">
        <v>1363</v>
      </c>
      <c r="E49" t="s">
        <v>140</v>
      </c>
    </row>
    <row r="50" spans="3:5" ht="14.25" x14ac:dyDescent="0.45">
      <c r="C50" s="53">
        <v>133028</v>
      </c>
      <c r="D50" s="20" t="s">
        <v>1364</v>
      </c>
      <c r="E50" t="s">
        <v>140</v>
      </c>
    </row>
    <row r="51" spans="3:5" ht="14.25" x14ac:dyDescent="0.45">
      <c r="C51" s="19">
        <v>133032</v>
      </c>
      <c r="D51" s="20" t="s">
        <v>1365</v>
      </c>
    </row>
    <row r="52" spans="3:5" ht="14.25" x14ac:dyDescent="0.45">
      <c r="C52" s="53">
        <v>133026</v>
      </c>
      <c r="D52" s="20" t="s">
        <v>1366</v>
      </c>
      <c r="E52" t="s">
        <v>140</v>
      </c>
    </row>
    <row r="53" spans="3:5" ht="14.25" x14ac:dyDescent="0.45">
      <c r="C53" s="19">
        <v>136016</v>
      </c>
      <c r="D53" s="20"/>
    </row>
    <row r="54" spans="3:5" ht="14.25" x14ac:dyDescent="0.45">
      <c r="C54" s="53">
        <v>135072</v>
      </c>
      <c r="D54" s="20" t="s">
        <v>1367</v>
      </c>
      <c r="E54" t="s">
        <v>140</v>
      </c>
    </row>
    <row r="55" spans="3:5" ht="14.25" x14ac:dyDescent="0.45">
      <c r="C55" s="19">
        <v>133035</v>
      </c>
      <c r="D55" s="20"/>
    </row>
    <row r="56" spans="3:5" ht="14.25" x14ac:dyDescent="0.45">
      <c r="C56" s="53">
        <v>95989</v>
      </c>
      <c r="D56" s="20" t="s">
        <v>1347</v>
      </c>
      <c r="E56" t="s">
        <v>140</v>
      </c>
    </row>
    <row r="57" spans="3:5" ht="14.25" x14ac:dyDescent="0.45">
      <c r="C57" s="53">
        <v>108247</v>
      </c>
      <c r="D57" s="20" t="s">
        <v>1368</v>
      </c>
      <c r="E57" t="s">
        <v>140</v>
      </c>
    </row>
    <row r="58" spans="3:5" ht="15" customHeight="1" x14ac:dyDescent="0.45">
      <c r="C58" s="54">
        <v>135542</v>
      </c>
      <c r="D58" s="20" t="s">
        <v>1369</v>
      </c>
      <c r="E58" t="s">
        <v>717</v>
      </c>
    </row>
    <row r="59" spans="3:5" ht="15" customHeight="1" x14ac:dyDescent="0.45">
      <c r="C59" s="54">
        <v>137518</v>
      </c>
      <c r="D59" s="20" t="s">
        <v>1370</v>
      </c>
      <c r="E59" t="s">
        <v>717</v>
      </c>
    </row>
    <row r="60" spans="3:5" ht="15" customHeight="1" x14ac:dyDescent="0.45">
      <c r="C60" s="54">
        <v>137580</v>
      </c>
      <c r="D60" s="20" t="s">
        <v>1368</v>
      </c>
      <c r="E60" t="s">
        <v>717</v>
      </c>
    </row>
    <row r="61" spans="3:5" ht="15" customHeight="1" x14ac:dyDescent="0.45">
      <c r="C61" s="54">
        <v>137632</v>
      </c>
      <c r="D61" s="20" t="s">
        <v>1371</v>
      </c>
      <c r="E61" t="s">
        <v>717</v>
      </c>
    </row>
    <row r="62" spans="3:5" ht="15" customHeight="1" x14ac:dyDescent="0.45">
      <c r="C62" s="54" t="s">
        <v>1372</v>
      </c>
      <c r="D62" s="20"/>
      <c r="E62" t="s">
        <v>717</v>
      </c>
    </row>
    <row r="63" spans="3:5" ht="15" customHeight="1" x14ac:dyDescent="0.45">
      <c r="C63" s="54" t="s">
        <v>1373</v>
      </c>
      <c r="D63" s="20"/>
      <c r="E63" t="s">
        <v>717</v>
      </c>
    </row>
    <row r="64" spans="3:5" ht="15" customHeight="1" x14ac:dyDescent="0.45">
      <c r="C64" s="54" t="s">
        <v>1374</v>
      </c>
      <c r="E64" t="s">
        <v>717</v>
      </c>
    </row>
    <row r="66" spans="1:5" ht="14.25" x14ac:dyDescent="0.45">
      <c r="A66" s="2" t="s">
        <v>1375</v>
      </c>
      <c r="B66" s="1" t="s">
        <v>1376</v>
      </c>
      <c r="C66" s="1" t="s">
        <v>1377</v>
      </c>
      <c r="D66" s="20" t="s">
        <v>1378</v>
      </c>
      <c r="E66" t="s">
        <v>140</v>
      </c>
    </row>
    <row r="67" spans="1:5" ht="14.25" x14ac:dyDescent="0.45">
      <c r="A67" s="2"/>
      <c r="C67" s="1" t="s">
        <v>1379</v>
      </c>
      <c r="D67" s="20" t="s">
        <v>1380</v>
      </c>
      <c r="E67" s="34" t="s">
        <v>152</v>
      </c>
    </row>
    <row r="68" spans="1:5" ht="15" customHeight="1" x14ac:dyDescent="0.45">
      <c r="C68" s="1" t="s">
        <v>1381</v>
      </c>
      <c r="D68" t="s">
        <v>1382</v>
      </c>
      <c r="E68" t="s">
        <v>140</v>
      </c>
    </row>
    <row r="70" spans="1:5" ht="14.25" x14ac:dyDescent="0.45">
      <c r="A70" s="2" t="s">
        <v>91</v>
      </c>
      <c r="B70" s="1" t="s">
        <v>1376</v>
      </c>
      <c r="C70" s="6">
        <v>287331777102</v>
      </c>
    </row>
    <row r="72" spans="1:5" ht="14.25" x14ac:dyDescent="0.45">
      <c r="A72" s="2" t="s">
        <v>1383</v>
      </c>
      <c r="B72" s="1" t="s">
        <v>431</v>
      </c>
      <c r="C72" s="1" t="s">
        <v>1384</v>
      </c>
      <c r="D72" t="s">
        <v>1385</v>
      </c>
      <c r="E72" t="s">
        <v>140</v>
      </c>
    </row>
  </sheetData>
  <mergeCells count="1">
    <mergeCell ref="A1:E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D6D5-F95D-4409-9FEA-01D6E7ADE21D}">
  <dimension ref="A1:F11"/>
  <sheetViews>
    <sheetView showGridLines="0" zoomScale="87" zoomScaleNormal="87" workbookViewId="0">
      <selection activeCell="F7" sqref="F7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40.53125" customWidth="1"/>
    <col min="5" max="5" width="19.6640625" customWidth="1"/>
  </cols>
  <sheetData>
    <row r="1" spans="1:6" ht="28.5" x14ac:dyDescent="0.85">
      <c r="A1" s="218" t="s">
        <v>126</v>
      </c>
      <c r="B1" s="218"/>
      <c r="C1" s="218"/>
      <c r="D1" s="218"/>
      <c r="E1" s="218"/>
    </row>
    <row r="2" spans="1:6" ht="14.25" x14ac:dyDescent="0.45">
      <c r="A2" s="114" t="s">
        <v>133</v>
      </c>
      <c r="B2" s="114" t="s">
        <v>134</v>
      </c>
      <c r="C2" s="114" t="s">
        <v>135</v>
      </c>
      <c r="D2" s="114" t="s">
        <v>136</v>
      </c>
      <c r="E2" s="114" t="s">
        <v>137</v>
      </c>
    </row>
    <row r="3" spans="1:6" ht="14.25" x14ac:dyDescent="0.45">
      <c r="A3" s="235" t="s">
        <v>1386</v>
      </c>
      <c r="B3" s="124" t="s">
        <v>141</v>
      </c>
      <c r="C3" s="162">
        <v>2819821024</v>
      </c>
      <c r="D3" s="165" t="s">
        <v>1387</v>
      </c>
      <c r="E3" s="127" t="s">
        <v>140</v>
      </c>
    </row>
    <row r="4" spans="1:6" ht="14.25" x14ac:dyDescent="0.45">
      <c r="A4" s="236"/>
      <c r="B4" s="124" t="s">
        <v>141</v>
      </c>
      <c r="C4" s="124">
        <v>5311548030</v>
      </c>
      <c r="D4" s="165" t="s">
        <v>1387</v>
      </c>
      <c r="E4" s="127" t="s">
        <v>140</v>
      </c>
      <c r="F4" s="27"/>
    </row>
    <row r="5" spans="1:6" ht="14.25" x14ac:dyDescent="0.45">
      <c r="A5" s="127" t="s">
        <v>1388</v>
      </c>
      <c r="B5" s="124" t="s">
        <v>138</v>
      </c>
      <c r="C5" s="162" t="s">
        <v>1389</v>
      </c>
      <c r="D5" s="165" t="s">
        <v>1390</v>
      </c>
      <c r="E5" s="127" t="s">
        <v>140</v>
      </c>
    </row>
    <row r="6" spans="1:6" ht="14.25" x14ac:dyDescent="0.45">
      <c r="A6" s="127" t="s">
        <v>1391</v>
      </c>
      <c r="B6" s="124" t="s">
        <v>147</v>
      </c>
      <c r="C6" s="162" t="s">
        <v>1392</v>
      </c>
      <c r="D6" s="165" t="s">
        <v>1387</v>
      </c>
      <c r="E6" s="127" t="s">
        <v>140</v>
      </c>
    </row>
    <row r="7" spans="1:6" ht="15" customHeight="1" x14ac:dyDescent="0.45">
      <c r="A7" s="127" t="s">
        <v>1393</v>
      </c>
      <c r="B7" s="124" t="s">
        <v>326</v>
      </c>
      <c r="C7" s="124" t="s">
        <v>1394</v>
      </c>
      <c r="D7" s="127" t="s">
        <v>1395</v>
      </c>
      <c r="E7" s="127" t="s">
        <v>152</v>
      </c>
      <c r="F7" t="s">
        <v>1396</v>
      </c>
    </row>
    <row r="8" spans="1:6" ht="15" customHeight="1" x14ac:dyDescent="0.45">
      <c r="A8" s="173" t="s">
        <v>678</v>
      </c>
      <c r="B8" s="133"/>
      <c r="C8" s="133"/>
      <c r="D8" s="138"/>
      <c r="E8" s="138"/>
    </row>
    <row r="9" spans="1:6" ht="15" customHeight="1" x14ac:dyDescent="0.45">
      <c r="A9" s="138" t="s">
        <v>1393</v>
      </c>
      <c r="B9" s="133" t="s">
        <v>138</v>
      </c>
      <c r="C9" s="177"/>
      <c r="D9" s="178"/>
      <c r="E9" s="138"/>
    </row>
    <row r="10" spans="1:6" ht="15" customHeight="1" x14ac:dyDescent="0.45">
      <c r="A10" s="27"/>
      <c r="B10" s="29"/>
      <c r="C10" s="29"/>
      <c r="D10" s="27"/>
      <c r="E10" s="27"/>
    </row>
    <row r="11" spans="1:6" ht="15" customHeight="1" x14ac:dyDescent="0.45">
      <c r="A11" s="27"/>
      <c r="B11" s="29"/>
      <c r="C11" s="29"/>
      <c r="D11" s="27"/>
      <c r="E11" s="27"/>
    </row>
  </sheetData>
  <mergeCells count="2">
    <mergeCell ref="A1:E1"/>
    <mergeCell ref="A3:A4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E8F0-9C7C-468B-BF67-32F4D022991C}">
  <dimension ref="A1:E13"/>
  <sheetViews>
    <sheetView zoomScale="145" zoomScaleNormal="145" workbookViewId="0">
      <selection activeCell="D20" sqref="D20"/>
    </sheetView>
  </sheetViews>
  <sheetFormatPr defaultRowHeight="15" customHeight="1" x14ac:dyDescent="0.45"/>
  <cols>
    <col min="1" max="1" width="27.1328125" customWidth="1"/>
    <col min="2" max="2" width="18.33203125" style="1" customWidth="1"/>
    <col min="3" max="3" width="20.33203125" style="1" customWidth="1"/>
    <col min="4" max="4" width="39.33203125" customWidth="1"/>
    <col min="5" max="5" width="19.6640625" customWidth="1"/>
  </cols>
  <sheetData>
    <row r="1" spans="1:5" ht="28.5" x14ac:dyDescent="0.85">
      <c r="A1" s="218" t="s">
        <v>129</v>
      </c>
      <c r="B1" s="218"/>
      <c r="C1" s="218"/>
      <c r="D1" s="218"/>
      <c r="E1" s="218"/>
    </row>
    <row r="2" spans="1:5" ht="14.25" x14ac:dyDescent="0.4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ht="28.5" x14ac:dyDescent="0.45">
      <c r="A3" s="2" t="s">
        <v>1397</v>
      </c>
      <c r="B3" s="1" t="s">
        <v>141</v>
      </c>
      <c r="C3" s="12" t="s">
        <v>1398</v>
      </c>
      <c r="D3" s="14" t="s">
        <v>1399</v>
      </c>
      <c r="E3" t="s">
        <v>140</v>
      </c>
    </row>
    <row r="4" spans="1:5" ht="14.25" x14ac:dyDescent="0.45">
      <c r="A4" s="2"/>
    </row>
    <row r="5" spans="1:5" ht="14.25" x14ac:dyDescent="0.45">
      <c r="A5" s="2" t="s">
        <v>1400</v>
      </c>
      <c r="B5" s="1" t="s">
        <v>147</v>
      </c>
      <c r="C5" s="12">
        <v>2000067805</v>
      </c>
      <c r="D5" s="4" t="s">
        <v>1401</v>
      </c>
      <c r="E5" t="s">
        <v>140</v>
      </c>
    </row>
    <row r="6" spans="1:5" ht="14.25" x14ac:dyDescent="0.45">
      <c r="A6" s="2"/>
      <c r="D6" s="3"/>
    </row>
    <row r="7" spans="1:5" ht="14.25" x14ac:dyDescent="0.45">
      <c r="A7" s="2" t="s">
        <v>1402</v>
      </c>
      <c r="B7" s="1" t="s">
        <v>326</v>
      </c>
      <c r="C7" s="12">
        <v>30511700</v>
      </c>
      <c r="D7" s="4" t="s">
        <v>1403</v>
      </c>
      <c r="E7" t="s">
        <v>140</v>
      </c>
    </row>
    <row r="8" spans="1:5" ht="14.25" x14ac:dyDescent="0.45">
      <c r="A8" s="2"/>
      <c r="C8" s="6"/>
    </row>
    <row r="9" spans="1:5" ht="14.25" x14ac:dyDescent="0.45">
      <c r="A9" s="2" t="s">
        <v>1404</v>
      </c>
      <c r="B9" s="1" t="s">
        <v>138</v>
      </c>
      <c r="C9" s="12" t="s">
        <v>1405</v>
      </c>
      <c r="D9" s="4" t="s">
        <v>1406</v>
      </c>
      <c r="E9" t="s">
        <v>140</v>
      </c>
    </row>
    <row r="10" spans="1:5" ht="14.25" x14ac:dyDescent="0.45">
      <c r="A10" s="2"/>
    </row>
    <row r="13" spans="1:5" ht="14.25" x14ac:dyDescent="0.45"/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3F35BBD7BE847B1FE9D41E83E62E1" ma:contentTypeVersion="5" ma:contentTypeDescription="Create a new document." ma:contentTypeScope="" ma:versionID="4de38bc70b46bf211a8bca91ccacfa73">
  <xsd:schema xmlns:xsd="http://www.w3.org/2001/XMLSchema" xmlns:xs="http://www.w3.org/2001/XMLSchema" xmlns:p="http://schemas.microsoft.com/office/2006/metadata/properties" xmlns:ns2="8b946ec2-561f-4a03-a63a-0eab221a5776" targetNamespace="http://schemas.microsoft.com/office/2006/metadata/properties" ma:root="true" ma:fieldsID="163cbbbd2a2baced66042b4a09b3616a" ns2:_="">
    <xsd:import namespace="8b946ec2-561f-4a03-a63a-0eab221a5776"/>
    <xsd:element name="properties">
      <xsd:complexType>
        <xsd:sequence>
          <xsd:element name="documentManagement">
            <xsd:complexType>
              <xsd:all>
                <xsd:element ref="ns2:PropertyShortName" minOccurs="0"/>
                <xsd:element ref="ns2:DocumentType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46ec2-561f-4a03-a63a-0eab221a5776" elementFormDefault="qualified">
    <xsd:import namespace="http://schemas.microsoft.com/office/2006/documentManagement/types"/>
    <xsd:import namespace="http://schemas.microsoft.com/office/infopath/2007/PartnerControls"/>
    <xsd:element name="PropertyShortName" ma:index="8" nillable="true" ma:displayName="Property Short Name" ma:format="Dropdown" ma:internalName="PropertyShortName">
      <xsd:simpleType>
        <xsd:restriction base="dms:Choice">
          <xsd:enumeration value="JBJ"/>
          <xsd:enumeration value="GO"/>
          <xsd:enumeration value="A2Z"/>
          <xsd:enumeration value="PC"/>
          <xsd:enumeration value="KEET"/>
          <xsd:enumeration value="BOVI"/>
          <xsd:enumeration value="BOVII"/>
          <xsd:enumeration value="POBOVI"/>
          <xsd:enumeration value="POBOVII"/>
          <xsd:enumeration value="ARD"/>
          <xsd:enumeration value="AMER"/>
          <xsd:enumeration value="APPLE"/>
          <xsd:enumeration value="AW"/>
          <xsd:enumeration value="Choice 14"/>
        </xsd:restriction>
      </xsd:simpleType>
    </xsd:element>
    <xsd:element name="DocumentType" ma:index="9" nillable="true" ma:displayName="Document Type" ma:format="Dropdown" ma:internalName="DocumentType">
      <xsd:simpleType>
        <xsd:restriction base="dms:Choice">
          <xsd:enumeration value="Cert of Formation"/>
          <xsd:enumeration value="EIN Letter"/>
          <xsd:enumeration value="LLC Agreeement"/>
          <xsd:enumeration value="Cert of Registration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8b946ec2-561f-4a03-a63a-0eab221a5776" xsi:nil="true"/>
    <PropertyShortName xmlns="8b946ec2-561f-4a03-a63a-0eab221a5776" xsi:nil="true"/>
  </documentManagement>
</p:properties>
</file>

<file path=customXml/itemProps1.xml><?xml version="1.0" encoding="utf-8"?>
<ds:datastoreItem xmlns:ds="http://schemas.openxmlformats.org/officeDocument/2006/customXml" ds:itemID="{D3E01002-6821-4D18-AE1F-C4EB6A69DF2E}"/>
</file>

<file path=customXml/itemProps2.xml><?xml version="1.0" encoding="utf-8"?>
<ds:datastoreItem xmlns:ds="http://schemas.openxmlformats.org/officeDocument/2006/customXml" ds:itemID="{096A394E-0FC1-4BFB-9F56-6368B00426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82261E-01B2-4419-8218-377BFA9B719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51aad5b-167b-4d6c-939c-63203bdf6bab"/>
    <ds:schemaRef ds:uri="c503ef68-8e6b-4103-88cd-6d3eed0e207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SUMMARY</vt:lpstr>
      <vt:lpstr>AMERICAN</vt:lpstr>
      <vt:lpstr>APPLECREEK</vt:lpstr>
      <vt:lpstr>APPLEGATE</vt:lpstr>
      <vt:lpstr>AUBURN RIDGE</vt:lpstr>
      <vt:lpstr>BELLE HAVEN</vt:lpstr>
      <vt:lpstr>BRUNSWICK</vt:lpstr>
      <vt:lpstr>BOVI&amp;II</vt:lpstr>
      <vt:lpstr>CAMBRIDGE</vt:lpstr>
      <vt:lpstr>CARLEY's</vt:lpstr>
      <vt:lpstr>CENTRAL</vt:lpstr>
      <vt:lpstr>CONGRESS</vt:lpstr>
      <vt:lpstr>COUNTRYSIDE</vt:lpstr>
      <vt:lpstr>CRYSTAL ACRES</vt:lpstr>
      <vt:lpstr>DRUID OAKS</vt:lpstr>
      <vt:lpstr>GEIGER KEY</vt:lpstr>
      <vt:lpstr>GREENE POINTE</vt:lpstr>
      <vt:lpstr>GULF BREEZE</vt:lpstr>
      <vt:lpstr>HARBOUR</vt:lpstr>
      <vt:lpstr>HERSHEY PARK</vt:lpstr>
      <vt:lpstr>HUNTER SPRINGS</vt:lpstr>
      <vt:lpstr>JBARJ</vt:lpstr>
      <vt:lpstr>LAKE SAUNDERS</vt:lpstr>
      <vt:lpstr>LAKE WALES</vt:lpstr>
      <vt:lpstr>LAMBERTON LAKE</vt:lpstr>
      <vt:lpstr>LUCKY CLOVER</vt:lpstr>
      <vt:lpstr>MAYFLOWER</vt:lpstr>
      <vt:lpstr>MEADOW</vt:lpstr>
      <vt:lpstr>MIAMI</vt:lpstr>
      <vt:lpstr>MONSON</vt:lpstr>
      <vt:lpstr>NDC</vt:lpstr>
      <vt:lpstr>OCEANAIRE</vt:lpstr>
      <vt:lpstr>OBO</vt:lpstr>
      <vt:lpstr>OAKSIDE</vt:lpstr>
      <vt:lpstr>PALM HAVEN</vt:lpstr>
      <vt:lpstr>PARADISE PALMS</vt:lpstr>
      <vt:lpstr>PALM SPRING</vt:lpstr>
      <vt:lpstr>PARADISE LAKES</vt:lpstr>
      <vt:lpstr>PARKTOWN</vt:lpstr>
      <vt:lpstr>PARKWOOD</vt:lpstr>
      <vt:lpstr>REDLANDS</vt:lpstr>
      <vt:lpstr>RIVER OAKS</vt:lpstr>
      <vt:lpstr>RIVIERA PARK</vt:lpstr>
      <vt:lpstr>ROYAL OAKS</vt:lpstr>
      <vt:lpstr>ROYAL PALM</vt:lpstr>
      <vt:lpstr>SEA SHELLS</vt:lpstr>
      <vt:lpstr>SHADY ACRES</vt:lpstr>
      <vt:lpstr>SHADY OAKS</vt:lpstr>
      <vt:lpstr>SILVER BREEZE</vt:lpstr>
      <vt:lpstr>SOUTHGATE</vt:lpstr>
      <vt:lpstr>SU-RENE</vt:lpstr>
      <vt:lpstr>TOWN&amp;COUNTRY</vt:lpstr>
      <vt:lpstr>TRADEWINDS</vt:lpstr>
      <vt:lpstr>TRIPLE S</vt:lpstr>
      <vt:lpstr>VANTAGE OAKS</vt:lpstr>
      <vt:lpstr>WESTWOOD</vt:lpstr>
      <vt:lpstr>WPMH</vt:lpstr>
      <vt:lpstr>WPMA</vt:lpstr>
      <vt:lpstr>WOLF BAY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Sony Sailadin</dc:creator>
  <cp:keywords/>
  <dc:description/>
  <cp:lastModifiedBy>David Berman</cp:lastModifiedBy>
  <cp:revision/>
  <dcterms:created xsi:type="dcterms:W3CDTF">2023-10-02T15:28:14Z</dcterms:created>
  <dcterms:modified xsi:type="dcterms:W3CDTF">2026-04-02T01:44:10Z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0x010100E233F35BBD7BE847B1FE9D41E83E62E1</vt:lpwstr>
  </property>
  <property fmtid="{D5CDD505-2E9C-101B-9397-08002B2CF9AE}" pid="3" name="MediaServiceImageTags">
    <vt:lpwstr/>
  </property>
</Properties>
</file>