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arakeetcommunities-my.sharepoint.com/personal/dberman_parakeetcommunities_com/Documents/Desktop/"/>
    </mc:Choice>
  </mc:AlternateContent>
  <xr:revisionPtr revIDLastSave="1440" documentId="13_ncr:1_{64C126EA-9133-4478-B92F-14B7CB05AA2B}" xr6:coauthVersionLast="47" xr6:coauthVersionMax="47" xr10:uidLastSave="{E4FFD692-FB04-4979-A809-A292683CB5BB}"/>
  <bookViews>
    <workbookView xWindow="-98" yWindow="-98" windowWidth="19396" windowHeight="11475" firstSheet="3" activeTab="3" xr2:uid="{93D10924-11C5-4AEE-A07C-A0447AD6AB7F}"/>
  </bookViews>
  <sheets>
    <sheet name="Insurance Policy Summary" sheetId="12" r:id="rId1"/>
    <sheet name="Breakout of Home Policy" sheetId="13" r:id="rId2"/>
    <sheet name="Annual Renewals" sheetId="10" r:id="rId3"/>
    <sheet name="v16 Detailed by each exposure" sheetId="7" r:id="rId4"/>
  </sheets>
  <definedNames>
    <definedName name="_xlnm._FilterDatabase" localSheetId="2" hidden="1">'Annual Renewals'!$A$3:$U$62</definedName>
    <definedName name="_xlnm._FilterDatabase" localSheetId="0" hidden="1">'Insurance Policy Summary'!$A$6:$F$6</definedName>
    <definedName name="_xlnm._FilterDatabase" localSheetId="3" hidden="1">'v16 Detailed by each exposure'!$A$3:$AZ$120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30" i="7" l="1"/>
  <c r="M126" i="7"/>
  <c r="AA126" i="7"/>
  <c r="AB126" i="7"/>
  <c r="AC126" i="7"/>
  <c r="AD126" i="7"/>
  <c r="AF126" i="7"/>
  <c r="AG126" i="7"/>
  <c r="M127" i="7"/>
  <c r="AA127" i="7"/>
  <c r="AB127" i="7"/>
  <c r="AC127" i="7"/>
  <c r="AD127" i="7"/>
  <c r="AF127" i="7"/>
  <c r="AG127" i="7"/>
  <c r="M128" i="7"/>
  <c r="AA128" i="7"/>
  <c r="AB128" i="7"/>
  <c r="AC128" i="7"/>
  <c r="AD128" i="7"/>
  <c r="AF128" i="7"/>
  <c r="AG128" i="7"/>
  <c r="M129" i="7"/>
  <c r="AA129" i="7"/>
  <c r="AB129" i="7"/>
  <c r="AC129" i="7"/>
  <c r="AD129" i="7"/>
  <c r="AF129" i="7"/>
  <c r="AG129" i="7"/>
  <c r="M125" i="7"/>
  <c r="M124" i="7"/>
  <c r="M123" i="7"/>
  <c r="M122" i="7"/>
  <c r="M121" i="7"/>
  <c r="M16" i="7"/>
  <c r="J50" i="12"/>
  <c r="G50" i="12" l="1"/>
  <c r="G53" i="12"/>
  <c r="G71" i="12" l="1"/>
  <c r="H22" i="13"/>
  <c r="H81" i="12" l="1"/>
  <c r="G81" i="12"/>
  <c r="F81" i="12"/>
  <c r="E81" i="12"/>
  <c r="H80" i="12"/>
  <c r="G80" i="12"/>
  <c r="F80" i="12"/>
  <c r="E80" i="12"/>
  <c r="H79" i="12"/>
  <c r="G79" i="12"/>
  <c r="F79" i="12"/>
  <c r="E79" i="12"/>
  <c r="D81" i="12"/>
  <c r="D80" i="12"/>
  <c r="D79" i="12"/>
  <c r="J2" i="13"/>
  <c r="J17" i="13" l="1"/>
  <c r="L17" i="13" s="1"/>
  <c r="J16" i="13"/>
  <c r="L16" i="13" s="1"/>
  <c r="J9" i="13"/>
  <c r="J8" i="13"/>
  <c r="J15" i="13"/>
  <c r="L15" i="13" s="1"/>
  <c r="J7" i="13"/>
  <c r="J14" i="13"/>
  <c r="J21" i="13"/>
  <c r="L21" i="13" s="1"/>
  <c r="J5" i="13"/>
  <c r="J4" i="13"/>
  <c r="J19" i="13"/>
  <c r="L19" i="13" s="1"/>
  <c r="J11" i="13"/>
  <c r="J3" i="13"/>
  <c r="J6" i="13"/>
  <c r="J13" i="13"/>
  <c r="J20" i="13"/>
  <c r="L20" i="13" s="1"/>
  <c r="J12" i="13"/>
  <c r="J18" i="13"/>
  <c r="L18" i="13" s="1"/>
  <c r="J10" i="13"/>
  <c r="AD62" i="10"/>
  <c r="AC62" i="10"/>
  <c r="AB62" i="10"/>
  <c r="AD61" i="10"/>
  <c r="AC61" i="10"/>
  <c r="AB61" i="10"/>
  <c r="AA61" i="10"/>
  <c r="AD60" i="10"/>
  <c r="AC60" i="10"/>
  <c r="AB60" i="10"/>
  <c r="AA60" i="10"/>
  <c r="AD59" i="10"/>
  <c r="AC59" i="10"/>
  <c r="AB59" i="10"/>
  <c r="AA59" i="10"/>
  <c r="AD58" i="10"/>
  <c r="AC58" i="10"/>
  <c r="AB58" i="10"/>
  <c r="AA58" i="10"/>
  <c r="AD57" i="10"/>
  <c r="AC57" i="10"/>
  <c r="AB57" i="10"/>
  <c r="AA57" i="10"/>
  <c r="AD55" i="10"/>
  <c r="AC55" i="10"/>
  <c r="AB55" i="10"/>
  <c r="AA55" i="10"/>
  <c r="AD54" i="10"/>
  <c r="AC54" i="10"/>
  <c r="AB54" i="10"/>
  <c r="AA54" i="10"/>
  <c r="AD53" i="10"/>
  <c r="AC53" i="10"/>
  <c r="AB53" i="10"/>
  <c r="AA53" i="10"/>
  <c r="AD52" i="10"/>
  <c r="AC52" i="10"/>
  <c r="AB52" i="10"/>
  <c r="AA52" i="10"/>
  <c r="AD50" i="10"/>
  <c r="AC50" i="10"/>
  <c r="AB50" i="10"/>
  <c r="AA50" i="10"/>
  <c r="AD49" i="10"/>
  <c r="AC49" i="10"/>
  <c r="AB49" i="10"/>
  <c r="AA49" i="10"/>
  <c r="AD48" i="10"/>
  <c r="AC48" i="10"/>
  <c r="AB48" i="10"/>
  <c r="AA48" i="10"/>
  <c r="AD47" i="10"/>
  <c r="AC47" i="10"/>
  <c r="AB47" i="10"/>
  <c r="AA47" i="10"/>
  <c r="AD46" i="10"/>
  <c r="AC46" i="10"/>
  <c r="AB46" i="10"/>
  <c r="AA46" i="10"/>
  <c r="AD45" i="10"/>
  <c r="AC45" i="10"/>
  <c r="AB45" i="10"/>
  <c r="AA45" i="10"/>
  <c r="AD44" i="10"/>
  <c r="AC44" i="10"/>
  <c r="AB44" i="10"/>
  <c r="AA44" i="10"/>
  <c r="AD43" i="10"/>
  <c r="AC43" i="10"/>
  <c r="AB43" i="10"/>
  <c r="AA43" i="10"/>
  <c r="AD42" i="10"/>
  <c r="AC42" i="10"/>
  <c r="AB42" i="10"/>
  <c r="AA42" i="10"/>
  <c r="AD41" i="10"/>
  <c r="AC41" i="10"/>
  <c r="AB41" i="10"/>
  <c r="AA41" i="10"/>
  <c r="AD40" i="10"/>
  <c r="AC40" i="10"/>
  <c r="AB40" i="10"/>
  <c r="AA40" i="10"/>
  <c r="AD39" i="10"/>
  <c r="AC39" i="10"/>
  <c r="AB39" i="10"/>
  <c r="AA39" i="10"/>
  <c r="AD38" i="10"/>
  <c r="AC38" i="10"/>
  <c r="AB38" i="10"/>
  <c r="AA38" i="10"/>
  <c r="AD37" i="10"/>
  <c r="AC37" i="10"/>
  <c r="AB37" i="10"/>
  <c r="AA37" i="10"/>
  <c r="AD36" i="10"/>
  <c r="AC36" i="10"/>
  <c r="AB36" i="10"/>
  <c r="AA36" i="10"/>
  <c r="AD35" i="10"/>
  <c r="AC35" i="10"/>
  <c r="AB35" i="10"/>
  <c r="AA35" i="10"/>
  <c r="AD34" i="10"/>
  <c r="AC34" i="10"/>
  <c r="AB34" i="10"/>
  <c r="AA34" i="10"/>
  <c r="AD33" i="10"/>
  <c r="AC33" i="10"/>
  <c r="AB33" i="10"/>
  <c r="AA33" i="10"/>
  <c r="AD32" i="10"/>
  <c r="AC32" i="10"/>
  <c r="AB32" i="10"/>
  <c r="AA32" i="10"/>
  <c r="AD31" i="10"/>
  <c r="AC31" i="10"/>
  <c r="AB31" i="10"/>
  <c r="AA31" i="10"/>
  <c r="AD30" i="10"/>
  <c r="AC30" i="10"/>
  <c r="AB30" i="10"/>
  <c r="AA30" i="10"/>
  <c r="AD29" i="10"/>
  <c r="AC29" i="10"/>
  <c r="AB29" i="10"/>
  <c r="AA29" i="10"/>
  <c r="AD28" i="10"/>
  <c r="AC28" i="10"/>
  <c r="AB28" i="10"/>
  <c r="AA28" i="10"/>
  <c r="AD27" i="10"/>
  <c r="AC27" i="10"/>
  <c r="AB27" i="10"/>
  <c r="AA27" i="10"/>
  <c r="AD26" i="10"/>
  <c r="AC26" i="10"/>
  <c r="AB26" i="10"/>
  <c r="AA26" i="10"/>
  <c r="AD24" i="10"/>
  <c r="AC24" i="10"/>
  <c r="AB24" i="10"/>
  <c r="AA24" i="10"/>
  <c r="AD23" i="10"/>
  <c r="AC23" i="10"/>
  <c r="AB23" i="10"/>
  <c r="AA23" i="10"/>
  <c r="AD22" i="10"/>
  <c r="AC22" i="10"/>
  <c r="AB22" i="10"/>
  <c r="AA22" i="10"/>
  <c r="AD21" i="10"/>
  <c r="AC21" i="10"/>
  <c r="AB21" i="10"/>
  <c r="AA21" i="10"/>
  <c r="AD20" i="10"/>
  <c r="AC20" i="10"/>
  <c r="AB20" i="10"/>
  <c r="AA20" i="10"/>
  <c r="AD19" i="10"/>
  <c r="AC19" i="10"/>
  <c r="AB19" i="10"/>
  <c r="AA19" i="10"/>
  <c r="AD18" i="10"/>
  <c r="AC18" i="10"/>
  <c r="AB18" i="10"/>
  <c r="AA18" i="10"/>
  <c r="AD17" i="10"/>
  <c r="AC17" i="10"/>
  <c r="AB17" i="10"/>
  <c r="AA17" i="10"/>
  <c r="AD16" i="10"/>
  <c r="AC16" i="10"/>
  <c r="AB16" i="10"/>
  <c r="AA16" i="10"/>
  <c r="AD15" i="10"/>
  <c r="AC15" i="10"/>
  <c r="AB15" i="10"/>
  <c r="AA15" i="10"/>
  <c r="AD14" i="10"/>
  <c r="AC14" i="10"/>
  <c r="AB14" i="10"/>
  <c r="AA14" i="10"/>
  <c r="AD13" i="10"/>
  <c r="AC13" i="10"/>
  <c r="AB13" i="10"/>
  <c r="AA13" i="10"/>
  <c r="AD12" i="10"/>
  <c r="AC12" i="10"/>
  <c r="AB12" i="10"/>
  <c r="AA12" i="10"/>
  <c r="AD11" i="10"/>
  <c r="AC11" i="10"/>
  <c r="AB11" i="10"/>
  <c r="AA11" i="10"/>
  <c r="AD10" i="10"/>
  <c r="AC10" i="10"/>
  <c r="AB10" i="10"/>
  <c r="AA10" i="10"/>
  <c r="AD9" i="10"/>
  <c r="AC9" i="10"/>
  <c r="AB9" i="10"/>
  <c r="AA9" i="10"/>
  <c r="AD8" i="10"/>
  <c r="AC8" i="10"/>
  <c r="AB8" i="10"/>
  <c r="AA8" i="10"/>
  <c r="AD7" i="10"/>
  <c r="AC7" i="10"/>
  <c r="AB7" i="10"/>
  <c r="AA7" i="10"/>
  <c r="AD6" i="10"/>
  <c r="AC6" i="10"/>
  <c r="AB6" i="10"/>
  <c r="AA6" i="10"/>
  <c r="AD5" i="10"/>
  <c r="AC5" i="10"/>
  <c r="AB5" i="10"/>
  <c r="AA5" i="10"/>
  <c r="AD4" i="10"/>
  <c r="AC4" i="10"/>
  <c r="AB4" i="10"/>
  <c r="AA4" i="10"/>
  <c r="V14" i="10"/>
  <c r="U28" i="10"/>
  <c r="J22" i="13" l="1"/>
  <c r="L4" i="13"/>
  <c r="L2" i="13"/>
  <c r="Q75" i="10"/>
  <c r="N75" i="10"/>
  <c r="K75" i="10"/>
  <c r="J75" i="10"/>
  <c r="I75" i="10"/>
  <c r="H75" i="10"/>
  <c r="S75" i="10" l="1"/>
  <c r="S69" i="10"/>
  <c r="Q69" i="10"/>
  <c r="O69" i="10"/>
  <c r="N69" i="10"/>
  <c r="L69" i="10"/>
  <c r="K69" i="10"/>
  <c r="J69" i="10"/>
  <c r="I69" i="10"/>
  <c r="H69" i="10"/>
  <c r="S68" i="10"/>
  <c r="Q68" i="10"/>
  <c r="O68" i="10"/>
  <c r="N68" i="10"/>
  <c r="L68" i="10"/>
  <c r="K68" i="10"/>
  <c r="J68" i="10"/>
  <c r="I68" i="10"/>
  <c r="H68" i="10"/>
  <c r="S67" i="10"/>
  <c r="Q67" i="10"/>
  <c r="O67" i="10"/>
  <c r="N67" i="10"/>
  <c r="L67" i="10"/>
  <c r="K67" i="10"/>
  <c r="J67" i="10"/>
  <c r="I67" i="10"/>
  <c r="H67" i="10"/>
  <c r="R71" i="10"/>
  <c r="P71" i="10"/>
  <c r="M71" i="10"/>
  <c r="G71" i="10"/>
  <c r="S71" i="10" l="1"/>
  <c r="Q71" i="10"/>
  <c r="I71" i="10"/>
  <c r="H71" i="10"/>
  <c r="J71" i="10"/>
  <c r="K71" i="10"/>
  <c r="L71" i="10"/>
  <c r="N71" i="10"/>
  <c r="O71" i="10"/>
  <c r="P146" i="7"/>
  <c r="P150" i="7" s="1"/>
  <c r="P152" i="7" s="1"/>
  <c r="P154" i="7" s="1"/>
  <c r="Q150" i="7"/>
  <c r="AH143" i="7"/>
  <c r="AE143" i="7"/>
  <c r="Z143" i="7"/>
  <c r="O143" i="7"/>
  <c r="N141" i="7"/>
  <c r="L141" i="7"/>
  <c r="K141" i="7"/>
  <c r="J141" i="7"/>
  <c r="I141" i="7"/>
  <c r="N140" i="7"/>
  <c r="L140" i="7"/>
  <c r="K140" i="7"/>
  <c r="J140" i="7"/>
  <c r="I140" i="7"/>
  <c r="N139" i="7"/>
  <c r="L139" i="7"/>
  <c r="K139" i="7"/>
  <c r="J139" i="7"/>
  <c r="I139" i="7"/>
  <c r="AP131" i="7"/>
  <c r="N131" i="7"/>
  <c r="L131" i="7"/>
  <c r="K131" i="7"/>
  <c r="J131" i="7"/>
  <c r="I13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8" i="7"/>
  <c r="M37" i="7"/>
  <c r="M36" i="7"/>
  <c r="M35" i="7"/>
  <c r="M34" i="7"/>
  <c r="M33" i="7"/>
  <c r="M31" i="7"/>
  <c r="M30" i="7"/>
  <c r="M29" i="7"/>
  <c r="M27" i="7"/>
  <c r="M25" i="7"/>
  <c r="M24" i="7"/>
  <c r="M22" i="7"/>
  <c r="M20" i="7"/>
  <c r="M19" i="7"/>
  <c r="M18" i="7"/>
  <c r="M15" i="7"/>
  <c r="M14" i="7"/>
  <c r="M13" i="7"/>
  <c r="M12" i="7"/>
  <c r="M10" i="7"/>
  <c r="M8" i="7"/>
  <c r="M7" i="7"/>
  <c r="M6" i="7"/>
  <c r="M5" i="7"/>
  <c r="M4" i="7"/>
  <c r="AF125" i="7" l="1"/>
  <c r="AG125" i="7" s="1"/>
  <c r="AC125" i="7"/>
  <c r="AD125" i="7" s="1"/>
  <c r="AA125" i="7"/>
  <c r="AB125" i="7" s="1"/>
  <c r="AF124" i="7"/>
  <c r="AG124" i="7" s="1"/>
  <c r="AC124" i="7"/>
  <c r="AD124" i="7" s="1"/>
  <c r="AA124" i="7"/>
  <c r="AB124" i="7" s="1"/>
  <c r="AF123" i="7"/>
  <c r="AG123" i="7" s="1"/>
  <c r="AC123" i="7"/>
  <c r="AD123" i="7" s="1"/>
  <c r="AA123" i="7"/>
  <c r="AB123" i="7" s="1"/>
  <c r="AF122" i="7"/>
  <c r="AG122" i="7" s="1"/>
  <c r="AC122" i="7"/>
  <c r="AD122" i="7" s="1"/>
  <c r="AA122" i="7"/>
  <c r="AB122" i="7" s="1"/>
  <c r="AA121" i="7"/>
  <c r="AB121" i="7" s="1"/>
  <c r="AF121" i="7"/>
  <c r="AG121" i="7" s="1"/>
  <c r="AC121" i="7"/>
  <c r="AD121" i="7" s="1"/>
  <c r="AF69" i="7"/>
  <c r="AA39" i="7"/>
  <c r="AC39" i="7"/>
  <c r="AF39" i="7"/>
  <c r="K143" i="7"/>
  <c r="L143" i="7"/>
  <c r="AF26" i="7"/>
  <c r="AA95" i="7"/>
  <c r="AA60" i="7"/>
  <c r="AB60" i="7" s="1"/>
  <c r="AF82" i="7"/>
  <c r="AF44" i="7"/>
  <c r="AF99" i="7"/>
  <c r="AF109" i="7"/>
  <c r="AF94" i="7"/>
  <c r="AC80" i="7"/>
  <c r="AD80" i="7" s="1"/>
  <c r="AA69" i="7"/>
  <c r="AA34" i="7"/>
  <c r="AA23" i="7"/>
  <c r="AC10" i="7"/>
  <c r="AA109" i="7"/>
  <c r="AA94" i="7"/>
  <c r="AA80" i="7"/>
  <c r="AB80" i="7" s="1"/>
  <c r="AF56" i="7"/>
  <c r="AF43" i="7"/>
  <c r="AA10" i="7"/>
  <c r="AA68" i="7"/>
  <c r="AC56" i="7"/>
  <c r="AD56" i="7" s="1"/>
  <c r="AC43" i="7"/>
  <c r="AF33" i="7"/>
  <c r="AA21" i="7"/>
  <c r="AC120" i="7"/>
  <c r="AD120" i="7" s="1"/>
  <c r="AA43" i="7"/>
  <c r="AF20" i="7"/>
  <c r="AF9" i="7"/>
  <c r="AA120" i="7"/>
  <c r="AB120" i="7" s="1"/>
  <c r="AF78" i="7"/>
  <c r="AG78" i="7" s="1"/>
  <c r="AF67" i="7"/>
  <c r="AA55" i="7"/>
  <c r="AF31" i="7"/>
  <c r="AC20" i="7"/>
  <c r="AC9" i="7"/>
  <c r="AF91" i="7"/>
  <c r="AC78" i="7"/>
  <c r="AD78" i="7" s="1"/>
  <c r="AC31" i="7"/>
  <c r="AA20" i="7"/>
  <c r="AA9" i="7"/>
  <c r="AC119" i="7"/>
  <c r="AD119" i="7" s="1"/>
  <c r="AC91" i="7"/>
  <c r="AD91" i="7" s="1"/>
  <c r="AA78" i="7"/>
  <c r="AB78" i="7" s="1"/>
  <c r="AA31" i="7"/>
  <c r="AF104" i="7"/>
  <c r="AA91" i="7"/>
  <c r="AF40" i="7"/>
  <c r="AF19" i="7"/>
  <c r="AF7" i="7"/>
  <c r="AC118" i="7"/>
  <c r="AD118" i="7" s="1"/>
  <c r="AA104" i="7"/>
  <c r="AF77" i="7"/>
  <c r="AG77" i="7" s="1"/>
  <c r="AC52" i="7"/>
  <c r="AD52" i="7" s="1"/>
  <c r="AC40" i="7"/>
  <c r="AF30" i="7"/>
  <c r="AC7" i="7"/>
  <c r="AA118" i="7"/>
  <c r="AB118" i="7" s="1"/>
  <c r="AF63" i="7"/>
  <c r="AA52" i="7"/>
  <c r="AA40" i="7"/>
  <c r="AC30" i="7"/>
  <c r="AA7" i="7"/>
  <c r="AA63" i="7"/>
  <c r="AA30" i="7"/>
  <c r="AF17" i="7"/>
  <c r="AF102" i="7"/>
  <c r="AF88" i="7"/>
  <c r="AC75" i="7"/>
  <c r="AD75" i="7" s="1"/>
  <c r="AF51" i="7"/>
  <c r="AC17" i="7"/>
  <c r="AF6" i="7"/>
  <c r="AA117" i="7"/>
  <c r="AA102" i="7"/>
  <c r="AA88" i="7"/>
  <c r="AA75" i="7"/>
  <c r="AB75" i="7" s="1"/>
  <c r="AF62" i="7"/>
  <c r="AC29" i="7"/>
  <c r="AA17" i="7"/>
  <c r="AC6" i="7"/>
  <c r="AA50" i="7"/>
  <c r="AA29" i="7"/>
  <c r="AA6" i="7"/>
  <c r="AF72" i="7"/>
  <c r="AF60" i="7"/>
  <c r="AG60" i="7" s="1"/>
  <c r="AA38" i="7"/>
  <c r="AF13" i="7"/>
  <c r="AF97" i="7"/>
  <c r="AF117" i="7"/>
  <c r="AA62" i="7"/>
  <c r="AF16" i="7"/>
  <c r="AG16" i="7" s="1"/>
  <c r="AF38" i="7"/>
  <c r="AF27" i="7"/>
  <c r="AC38" i="7"/>
  <c r="AF48" i="7"/>
  <c r="AG48" i="7" s="1"/>
  <c r="AC27" i="7"/>
  <c r="AA4" i="7"/>
  <c r="AF113" i="7"/>
  <c r="AA84" i="7"/>
  <c r="AC72" i="7"/>
  <c r="AD72" i="7" s="1"/>
  <c r="AC60" i="7"/>
  <c r="AD60" i="7" s="1"/>
  <c r="AA113" i="7"/>
  <c r="AA72" i="7"/>
  <c r="AF80" i="7"/>
  <c r="AG80" i="7" s="1"/>
  <c r="AF23" i="7"/>
  <c r="AA24" i="7"/>
  <c r="AB24" i="7" s="1"/>
  <c r="AF47" i="7"/>
  <c r="AC23" i="7"/>
  <c r="AC11" i="7"/>
  <c r="AC35" i="7"/>
  <c r="AF12" i="7"/>
  <c r="AG12" i="7" s="1"/>
  <c r="AA59" i="7"/>
  <c r="AA47" i="7"/>
  <c r="AA110" i="7"/>
  <c r="AB110" i="7" s="1"/>
  <c r="AC71" i="7"/>
  <c r="AD71" i="7" s="1"/>
  <c r="AA11" i="7"/>
  <c r="AC34" i="7"/>
  <c r="AF11" i="7"/>
  <c r="AF35" i="7"/>
  <c r="AC97" i="7"/>
  <c r="AD97" i="7" s="1"/>
  <c r="AF59" i="7"/>
  <c r="J143" i="7"/>
  <c r="AA112" i="7"/>
  <c r="AA65" i="7"/>
  <c r="AA76" i="7"/>
  <c r="AB76" i="7" s="1"/>
  <c r="AF87" i="7"/>
  <c r="AA99" i="7"/>
  <c r="AF112" i="7"/>
  <c r="I143" i="7"/>
  <c r="M140" i="7"/>
  <c r="N143" i="7"/>
  <c r="AF75" i="7"/>
  <c r="AG75" i="7" s="1"/>
  <c r="AC4" i="7"/>
  <c r="AF34" i="7"/>
  <c r="AF55" i="7"/>
  <c r="AA87" i="7"/>
  <c r="AA14" i="7"/>
  <c r="AA26" i="7"/>
  <c r="AA44" i="7"/>
  <c r="AC14" i="7"/>
  <c r="AC26" i="7"/>
  <c r="AA35" i="7"/>
  <c r="AC44" i="7"/>
  <c r="AA56" i="7"/>
  <c r="AC76" i="7"/>
  <c r="AD76" i="7" s="1"/>
  <c r="M131" i="7"/>
  <c r="P84" i="7"/>
  <c r="X24" i="7"/>
  <c r="Y24" i="7" s="1"/>
  <c r="P31" i="7"/>
  <c r="X35" i="7"/>
  <c r="AF115" i="7"/>
  <c r="AC111" i="7"/>
  <c r="AD111" i="7" s="1"/>
  <c r="AF103" i="7"/>
  <c r="AF86" i="7"/>
  <c r="AF83" i="7"/>
  <c r="AA51" i="7"/>
  <c r="AC37" i="7"/>
  <c r="AC33" i="7"/>
  <c r="AA19" i="7"/>
  <c r="AF64" i="7"/>
  <c r="AF24" i="7"/>
  <c r="AG24" i="7" s="1"/>
  <c r="AC95" i="7"/>
  <c r="AD95" i="7" s="1"/>
  <c r="AA90" i="7"/>
  <c r="AB90" i="7" s="1"/>
  <c r="AF74" i="7"/>
  <c r="AF71" i="7"/>
  <c r="AG71" i="7" s="1"/>
  <c r="AA64" i="7"/>
  <c r="AF57" i="7"/>
  <c r="AC45" i="7"/>
  <c r="AC41" i="7"/>
  <c r="AA16" i="7"/>
  <c r="AF118" i="7"/>
  <c r="AG118" i="7" s="1"/>
  <c r="AF107" i="7"/>
  <c r="AF92" i="7"/>
  <c r="AA74" i="7"/>
  <c r="AA45" i="7"/>
  <c r="AF29" i="7"/>
  <c r="AC24" i="7"/>
  <c r="AD24" i="7" s="1"/>
  <c r="AF10" i="7"/>
  <c r="AA115" i="7"/>
  <c r="AA103" i="7"/>
  <c r="AF98" i="7"/>
  <c r="AF95" i="7"/>
  <c r="AC90" i="7"/>
  <c r="AD90" i="7" s="1"/>
  <c r="AA86" i="7"/>
  <c r="AF68" i="7"/>
  <c r="AF54" i="7"/>
  <c r="AC48" i="7"/>
  <c r="AD48" i="7" s="1"/>
  <c r="AA37" i="7"/>
  <c r="AA33" i="7"/>
  <c r="AA27" i="7"/>
  <c r="AC16" i="7"/>
  <c r="AC13" i="7"/>
  <c r="AA8" i="7"/>
  <c r="AF5" i="7"/>
  <c r="AF41" i="7"/>
  <c r="AF120" i="7"/>
  <c r="AG120" i="7" s="1"/>
  <c r="AA83" i="7"/>
  <c r="AF50" i="7"/>
  <c r="AA111" i="7"/>
  <c r="AA98" i="7"/>
  <c r="AC83" i="7"/>
  <c r="AD83" i="7" s="1"/>
  <c r="AA54" i="7"/>
  <c r="AF45" i="7"/>
  <c r="AC5" i="7"/>
  <c r="AC68" i="7"/>
  <c r="AD68" i="7" s="1"/>
  <c r="AA48" i="7"/>
  <c r="AB48" i="7" s="1"/>
  <c r="AA13" i="7"/>
  <c r="AA5" i="7"/>
  <c r="AA57" i="7"/>
  <c r="AA41" i="7"/>
  <c r="AF84" i="7"/>
  <c r="AA105" i="7"/>
  <c r="AC110" i="7"/>
  <c r="AD110" i="7" s="1"/>
  <c r="AA81" i="7"/>
  <c r="M141" i="7"/>
  <c r="AF105" i="7"/>
  <c r="AA114" i="7"/>
  <c r="AF52" i="7"/>
  <c r="AF65" i="7"/>
  <c r="AF110" i="7"/>
  <c r="AG110" i="7" s="1"/>
  <c r="AF114" i="7"/>
  <c r="AA119" i="7"/>
  <c r="AB119" i="7" s="1"/>
  <c r="P103" i="7"/>
  <c r="AC81" i="7"/>
  <c r="AD81" i="7" s="1"/>
  <c r="AA89" i="7"/>
  <c r="AA92" i="7"/>
  <c r="AA100" i="7"/>
  <c r="AF4" i="7"/>
  <c r="AF21" i="7"/>
  <c r="AC28" i="7"/>
  <c r="AA36" i="7"/>
  <c r="AF70" i="7"/>
  <c r="AA73" i="7"/>
  <c r="AF76" i="7"/>
  <c r="AG76" i="7" s="1"/>
  <c r="AA79" i="7"/>
  <c r="AB79" i="7" s="1"/>
  <c r="AF81" i="7"/>
  <c r="AF96" i="7"/>
  <c r="AA106" i="7"/>
  <c r="M139" i="7"/>
  <c r="AA28" i="7"/>
  <c r="AA46" i="7"/>
  <c r="AA61" i="7"/>
  <c r="AA70" i="7"/>
  <c r="AF89" i="7"/>
  <c r="AA96" i="7"/>
  <c r="AB95" i="7" s="1"/>
  <c r="AF28" i="7"/>
  <c r="AA42" i="7"/>
  <c r="AC49" i="7"/>
  <c r="AD49" i="7" s="1"/>
  <c r="AA66" i="7"/>
  <c r="AF73" i="7"/>
  <c r="AA93" i="7"/>
  <c r="AF106" i="7"/>
  <c r="AF119" i="7"/>
  <c r="AG119" i="7" s="1"/>
  <c r="AF36" i="7"/>
  <c r="AF100" i="7"/>
  <c r="AC8" i="7"/>
  <c r="AC18" i="7"/>
  <c r="AC46" i="7"/>
  <c r="AD46" i="7" s="1"/>
  <c r="AC61" i="7"/>
  <c r="AD61" i="7" s="1"/>
  <c r="AA85" i="7"/>
  <c r="AA25" i="7"/>
  <c r="AA22" i="7"/>
  <c r="AF49" i="7"/>
  <c r="AA58" i="7"/>
  <c r="AC93" i="7"/>
  <c r="AD93" i="7" s="1"/>
  <c r="AF116" i="7"/>
  <c r="AA12" i="7"/>
  <c r="AB12" i="7" s="1"/>
  <c r="AC15" i="7"/>
  <c r="AC22" i="7"/>
  <c r="AC25" i="7"/>
  <c r="AF37" i="7"/>
  <c r="AF53" i="7"/>
  <c r="AF58" i="7"/>
  <c r="AA77" i="7"/>
  <c r="AB77" i="7" s="1"/>
  <c r="AF79" i="7"/>
  <c r="AG79" i="7" s="1"/>
  <c r="AF90" i="7"/>
  <c r="AG90" i="7" s="1"/>
  <c r="AF101" i="7"/>
  <c r="AF111" i="7"/>
  <c r="AF14" i="7"/>
  <c r="AA18" i="7"/>
  <c r="AC21" i="7"/>
  <c r="AA49" i="7"/>
  <c r="AC36" i="7"/>
  <c r="AC42" i="7"/>
  <c r="AF66" i="7"/>
  <c r="AC79" i="7"/>
  <c r="AD79" i="7" s="1"/>
  <c r="AA116" i="7"/>
  <c r="AF18" i="7"/>
  <c r="AF46" i="7"/>
  <c r="AF61" i="7"/>
  <c r="AF15" i="7"/>
  <c r="AF85" i="7"/>
  <c r="AF93" i="7"/>
  <c r="AG93" i="7" s="1"/>
  <c r="AA107" i="7"/>
  <c r="AF8" i="7"/>
  <c r="AA15" i="7"/>
  <c r="AF42" i="7"/>
  <c r="AA53" i="7"/>
  <c r="AC85" i="7"/>
  <c r="AD85" i="7" s="1"/>
  <c r="AA101" i="7"/>
  <c r="AC12" i="7"/>
  <c r="AD12" i="7" s="1"/>
  <c r="AC19" i="7"/>
  <c r="AF22" i="7"/>
  <c r="AF25" i="7"/>
  <c r="AA67" i="7"/>
  <c r="AA71" i="7"/>
  <c r="AB71" i="7" s="1"/>
  <c r="AC77" i="7"/>
  <c r="AD77" i="7" s="1"/>
  <c r="AA82" i="7"/>
  <c r="AA97" i="7"/>
  <c r="P126" i="7" l="1"/>
  <c r="Q126" i="7" s="1"/>
  <c r="R126" i="7"/>
  <c r="S126" i="7" s="1"/>
  <c r="T126" i="7"/>
  <c r="U126" i="7" s="1"/>
  <c r="V126" i="7"/>
  <c r="W126" i="7" s="1"/>
  <c r="X126" i="7"/>
  <c r="Y126" i="7" s="1"/>
  <c r="P127" i="7"/>
  <c r="Q127" i="7" s="1"/>
  <c r="R127" i="7"/>
  <c r="S127" i="7" s="1"/>
  <c r="T127" i="7"/>
  <c r="U127" i="7" s="1"/>
  <c r="V127" i="7"/>
  <c r="W127" i="7" s="1"/>
  <c r="X127" i="7"/>
  <c r="Y127" i="7" s="1"/>
  <c r="P128" i="7"/>
  <c r="Q128" i="7" s="1"/>
  <c r="R128" i="7"/>
  <c r="S128" i="7" s="1"/>
  <c r="T128" i="7"/>
  <c r="U128" i="7" s="1"/>
  <c r="V128" i="7"/>
  <c r="W128" i="7" s="1"/>
  <c r="X128" i="7"/>
  <c r="Y128" i="7" s="1"/>
  <c r="P129" i="7"/>
  <c r="Q129" i="7" s="1"/>
  <c r="R129" i="7"/>
  <c r="S129" i="7" s="1"/>
  <c r="T129" i="7"/>
  <c r="U129" i="7" s="1"/>
  <c r="V129" i="7"/>
  <c r="W129" i="7" s="1"/>
  <c r="X129" i="7"/>
  <c r="Y129" i="7" s="1"/>
  <c r="P121" i="7"/>
  <c r="Q121" i="7" s="1"/>
  <c r="X125" i="7"/>
  <c r="Y125" i="7" s="1"/>
  <c r="V125" i="7"/>
  <c r="W125" i="7" s="1"/>
  <c r="T125" i="7"/>
  <c r="U125" i="7" s="1"/>
  <c r="R125" i="7"/>
  <c r="S125" i="7" s="1"/>
  <c r="P125" i="7"/>
  <c r="Q125" i="7" s="1"/>
  <c r="AI125" i="7" s="1"/>
  <c r="AJ125" i="7" s="1"/>
  <c r="X124" i="7"/>
  <c r="Y124" i="7" s="1"/>
  <c r="V124" i="7"/>
  <c r="W124" i="7" s="1"/>
  <c r="T124" i="7"/>
  <c r="U124" i="7" s="1"/>
  <c r="R124" i="7"/>
  <c r="S124" i="7" s="1"/>
  <c r="P124" i="7"/>
  <c r="Q124" i="7" s="1"/>
  <c r="AI124" i="7" s="1"/>
  <c r="X123" i="7"/>
  <c r="Y123" i="7" s="1"/>
  <c r="V123" i="7"/>
  <c r="W123" i="7" s="1"/>
  <c r="T123" i="7"/>
  <c r="U123" i="7" s="1"/>
  <c r="R123" i="7"/>
  <c r="S123" i="7" s="1"/>
  <c r="P123" i="7"/>
  <c r="Q123" i="7" s="1"/>
  <c r="AI123" i="7" s="1"/>
  <c r="X122" i="7"/>
  <c r="Y122" i="7" s="1"/>
  <c r="V122" i="7"/>
  <c r="W122" i="7" s="1"/>
  <c r="T122" i="7"/>
  <c r="U122" i="7" s="1"/>
  <c r="R122" i="7"/>
  <c r="S122" i="7" s="1"/>
  <c r="P122" i="7"/>
  <c r="Q122" i="7" s="1"/>
  <c r="AI122" i="7" s="1"/>
  <c r="X121" i="7"/>
  <c r="Y121" i="7" s="1"/>
  <c r="V121" i="7"/>
  <c r="W121" i="7" s="1"/>
  <c r="T121" i="7"/>
  <c r="U121" i="7" s="1"/>
  <c r="R121" i="7"/>
  <c r="S121" i="7" s="1"/>
  <c r="T82" i="7"/>
  <c r="T106" i="7"/>
  <c r="V106" i="7"/>
  <c r="T59" i="7"/>
  <c r="V59" i="7"/>
  <c r="T83" i="7"/>
  <c r="V83" i="7"/>
  <c r="T84" i="7"/>
  <c r="T80" i="7"/>
  <c r="U80" i="7" s="1"/>
  <c r="V80" i="7"/>
  <c r="W80" i="7" s="1"/>
  <c r="V104" i="7"/>
  <c r="T104" i="7"/>
  <c r="T31" i="7"/>
  <c r="V31" i="7"/>
  <c r="V81" i="7"/>
  <c r="T81" i="7"/>
  <c r="U81" i="7" s="1"/>
  <c r="T27" i="7"/>
  <c r="R39" i="7"/>
  <c r="T39" i="7"/>
  <c r="V39" i="7"/>
  <c r="T54" i="7"/>
  <c r="V56" i="7"/>
  <c r="T7" i="7"/>
  <c r="V35" i="7"/>
  <c r="X78" i="7"/>
  <c r="Y78" i="7" s="1"/>
  <c r="V101" i="7"/>
  <c r="V10" i="7"/>
  <c r="T56" i="7"/>
  <c r="V5" i="7"/>
  <c r="V37" i="7"/>
  <c r="T53" i="7"/>
  <c r="V13" i="7"/>
  <c r="V34" i="7"/>
  <c r="X8" i="7"/>
  <c r="V87" i="7"/>
  <c r="T5" i="7"/>
  <c r="T8" i="7"/>
  <c r="T60" i="7"/>
  <c r="U60" i="7" s="1"/>
  <c r="R101" i="7"/>
  <c r="R53" i="7"/>
  <c r="R100" i="7"/>
  <c r="V107" i="7"/>
  <c r="AG20" i="7"/>
  <c r="V103" i="7"/>
  <c r="V86" i="7"/>
  <c r="R6" i="7"/>
  <c r="V53" i="7"/>
  <c r="V85" i="7"/>
  <c r="V60" i="7"/>
  <c r="W60" i="7" s="1"/>
  <c r="T101" i="7"/>
  <c r="V110" i="7"/>
  <c r="W110" i="7" s="1"/>
  <c r="V36" i="7"/>
  <c r="V55" i="7"/>
  <c r="R81" i="7"/>
  <c r="T55" i="7"/>
  <c r="V14" i="7"/>
  <c r="T107" i="7"/>
  <c r="V12" i="7"/>
  <c r="W12" i="7" s="1"/>
  <c r="T34" i="7"/>
  <c r="T105" i="7"/>
  <c r="R5" i="7"/>
  <c r="AG8" i="7"/>
  <c r="V105" i="7"/>
  <c r="V109" i="7"/>
  <c r="R55" i="7"/>
  <c r="V57" i="7"/>
  <c r="V82" i="7"/>
  <c r="V25" i="7"/>
  <c r="T58" i="7"/>
  <c r="T25" i="7"/>
  <c r="V58" i="7"/>
  <c r="R25" i="7"/>
  <c r="R59" i="7"/>
  <c r="V29" i="7"/>
  <c r="T102" i="7"/>
  <c r="T33" i="7"/>
  <c r="V15" i="7"/>
  <c r="R102" i="7"/>
  <c r="V33" i="7"/>
  <c r="V16" i="7"/>
  <c r="R76" i="7"/>
  <c r="S76" i="7" s="1"/>
  <c r="AD6" i="7"/>
  <c r="P40" i="7"/>
  <c r="P116" i="7"/>
  <c r="AG81" i="7"/>
  <c r="V111" i="7"/>
  <c r="T78" i="7"/>
  <c r="U78" i="7" s="1"/>
  <c r="T77" i="7"/>
  <c r="U77" i="7" s="1"/>
  <c r="V30" i="7"/>
  <c r="V27" i="7"/>
  <c r="T57" i="7"/>
  <c r="T29" i="7"/>
  <c r="V77" i="7"/>
  <c r="W77" i="7" s="1"/>
  <c r="V38" i="7"/>
  <c r="R78" i="7"/>
  <c r="S78" i="7" s="1"/>
  <c r="R77" i="7"/>
  <c r="S77" i="7" s="1"/>
  <c r="R30" i="7"/>
  <c r="AB16" i="7"/>
  <c r="P134" i="7"/>
  <c r="T11" i="7"/>
  <c r="R75" i="7"/>
  <c r="S75" i="7" s="1"/>
  <c r="V11" i="7"/>
  <c r="W10" i="7" s="1"/>
  <c r="R49" i="7"/>
  <c r="R23" i="7"/>
  <c r="T76" i="7"/>
  <c r="U76" i="7" s="1"/>
  <c r="R119" i="7"/>
  <c r="S119" i="7" s="1"/>
  <c r="R47" i="7"/>
  <c r="T26" i="7"/>
  <c r="R70" i="7"/>
  <c r="T74" i="7"/>
  <c r="R117" i="7"/>
  <c r="R20" i="7"/>
  <c r="R19" i="7"/>
  <c r="T96" i="7"/>
  <c r="R115" i="7"/>
  <c r="R43" i="7"/>
  <c r="T119" i="7"/>
  <c r="U119" i="7" s="1"/>
  <c r="T22" i="7"/>
  <c r="R66" i="7"/>
  <c r="V51" i="7"/>
  <c r="T21" i="7"/>
  <c r="R41" i="7"/>
  <c r="V50" i="7"/>
  <c r="T93" i="7"/>
  <c r="T20" i="7"/>
  <c r="U20" i="7" s="1"/>
  <c r="R40" i="7"/>
  <c r="T92" i="7"/>
  <c r="R63" i="7"/>
  <c r="R26" i="7"/>
  <c r="R98" i="7"/>
  <c r="R73" i="7"/>
  <c r="R24" i="7"/>
  <c r="S24" i="7" s="1"/>
  <c r="R120" i="7"/>
  <c r="S120" i="7" s="1"/>
  <c r="R72" i="7"/>
  <c r="T52" i="7"/>
  <c r="R71" i="7"/>
  <c r="S71" i="7" s="1"/>
  <c r="T99" i="7"/>
  <c r="T75" i="7"/>
  <c r="U75" i="7" s="1"/>
  <c r="R118" i="7"/>
  <c r="S118" i="7" s="1"/>
  <c r="R94" i="7"/>
  <c r="T98" i="7"/>
  <c r="R69" i="7"/>
  <c r="T49" i="7"/>
  <c r="R116" i="7"/>
  <c r="R68" i="7"/>
  <c r="T23" i="7"/>
  <c r="R18" i="7"/>
  <c r="S18" i="7" s="1"/>
  <c r="T70" i="7"/>
  <c r="R65" i="7"/>
  <c r="V98" i="7"/>
  <c r="T69" i="7"/>
  <c r="R88" i="7"/>
  <c r="R15" i="7"/>
  <c r="V24" i="7"/>
  <c r="W24" i="7" s="1"/>
  <c r="R38" i="7"/>
  <c r="T115" i="7"/>
  <c r="T43" i="7"/>
  <c r="T9" i="7"/>
  <c r="R28" i="7"/>
  <c r="R99" i="7"/>
  <c r="R50" i="7"/>
  <c r="R48" i="7"/>
  <c r="S48" i="7" s="1"/>
  <c r="R46" i="7"/>
  <c r="T50" i="7"/>
  <c r="R93" i="7"/>
  <c r="T73" i="7"/>
  <c r="R44" i="7"/>
  <c r="T120" i="7"/>
  <c r="U120" i="7" s="1"/>
  <c r="T48" i="7"/>
  <c r="U48" i="7" s="1"/>
  <c r="R67" i="7"/>
  <c r="V100" i="7"/>
  <c r="V76" i="7"/>
  <c r="W76" i="7" s="1"/>
  <c r="V52" i="7"/>
  <c r="T95" i="7"/>
  <c r="U95" i="7" s="1"/>
  <c r="T47" i="7"/>
  <c r="R90" i="7"/>
  <c r="S90" i="7" s="1"/>
  <c r="R17" i="7"/>
  <c r="V99" i="7"/>
  <c r="V75" i="7"/>
  <c r="W75" i="7" s="1"/>
  <c r="V26" i="7"/>
  <c r="R113" i="7"/>
  <c r="R16" i="7"/>
  <c r="R112" i="7"/>
  <c r="R111" i="7"/>
  <c r="V120" i="7"/>
  <c r="W120" i="7" s="1"/>
  <c r="V23" i="7"/>
  <c r="T67" i="7"/>
  <c r="R51" i="7"/>
  <c r="R74" i="7"/>
  <c r="R97" i="7"/>
  <c r="V9" i="7"/>
  <c r="T28" i="7"/>
  <c r="U27" i="7" s="1"/>
  <c r="R96" i="7"/>
  <c r="T100" i="7"/>
  <c r="R95" i="7"/>
  <c r="S95" i="7" s="1"/>
  <c r="R22" i="7"/>
  <c r="S22" i="7" s="1"/>
  <c r="T51" i="7"/>
  <c r="R21" i="7"/>
  <c r="R45" i="7"/>
  <c r="T97" i="7"/>
  <c r="T24" i="7"/>
  <c r="U24" i="7" s="1"/>
  <c r="R92" i="7"/>
  <c r="V28" i="7"/>
  <c r="T72" i="7"/>
  <c r="R91" i="7"/>
  <c r="T71" i="7"/>
  <c r="U71" i="7" s="1"/>
  <c r="R114" i="7"/>
  <c r="R42" i="7"/>
  <c r="R89" i="7"/>
  <c r="V74" i="7"/>
  <c r="T117" i="7"/>
  <c r="T45" i="7"/>
  <c r="R64" i="7"/>
  <c r="T116" i="7"/>
  <c r="R87" i="7"/>
  <c r="V96" i="7"/>
  <c r="V48" i="7"/>
  <c r="W48" i="7" s="1"/>
  <c r="T91" i="7"/>
  <c r="T46" i="7"/>
  <c r="U46" i="7" s="1"/>
  <c r="V97" i="7"/>
  <c r="T19" i="7"/>
  <c r="T94" i="7"/>
  <c r="V49" i="7"/>
  <c r="T68" i="7"/>
  <c r="R14" i="7"/>
  <c r="T118" i="7"/>
  <c r="U118" i="7" s="1"/>
  <c r="V73" i="7"/>
  <c r="T44" i="7"/>
  <c r="V116" i="7"/>
  <c r="V21" i="7"/>
  <c r="T41" i="7"/>
  <c r="R61" i="7"/>
  <c r="V95" i="7"/>
  <c r="R60" i="7"/>
  <c r="S60" i="7" s="1"/>
  <c r="V94" i="7"/>
  <c r="T113" i="7"/>
  <c r="T17" i="7"/>
  <c r="T15" i="7"/>
  <c r="V90" i="7"/>
  <c r="W90" i="7" s="1"/>
  <c r="T14" i="7"/>
  <c r="V72" i="7"/>
  <c r="T13" i="7"/>
  <c r="U13" i="7" s="1"/>
  <c r="V70" i="7"/>
  <c r="R110" i="7"/>
  <c r="S110" i="7" s="1"/>
  <c r="R109" i="7"/>
  <c r="R108" i="7"/>
  <c r="R107" i="7"/>
  <c r="R31" i="7"/>
  <c r="R106" i="7"/>
  <c r="T65" i="7"/>
  <c r="R86" i="7"/>
  <c r="R9" i="7"/>
  <c r="V43" i="7"/>
  <c r="R82" i="7"/>
  <c r="V115" i="7"/>
  <c r="V20" i="7"/>
  <c r="T40" i="7"/>
  <c r="T37" i="7"/>
  <c r="T36" i="7"/>
  <c r="T114" i="7"/>
  <c r="T112" i="7"/>
  <c r="T16" i="7"/>
  <c r="U16" i="7" s="1"/>
  <c r="T111" i="7"/>
  <c r="T110" i="7"/>
  <c r="U110" i="7" s="1"/>
  <c r="T109" i="7"/>
  <c r="V71" i="7"/>
  <c r="W71" i="7" s="1"/>
  <c r="T12" i="7"/>
  <c r="U12" i="7" s="1"/>
  <c r="R33" i="7"/>
  <c r="V67" i="7"/>
  <c r="T85" i="7"/>
  <c r="R104" i="7"/>
  <c r="V119" i="7"/>
  <c r="W119" i="7" s="1"/>
  <c r="R7" i="7"/>
  <c r="V114" i="7"/>
  <c r="V19" i="7"/>
  <c r="T38" i="7"/>
  <c r="R62" i="7"/>
  <c r="V17" i="7"/>
  <c r="T18" i="7"/>
  <c r="V93" i="7"/>
  <c r="V92" i="7"/>
  <c r="V91" i="7"/>
  <c r="W91" i="7" s="1"/>
  <c r="R37" i="7"/>
  <c r="R36" i="7"/>
  <c r="T90" i="7"/>
  <c r="U90" i="7" s="1"/>
  <c r="R35" i="7"/>
  <c r="T89" i="7"/>
  <c r="R34" i="7"/>
  <c r="V68" i="7"/>
  <c r="T86" i="7"/>
  <c r="V66" i="7"/>
  <c r="R13" i="7"/>
  <c r="R12" i="7"/>
  <c r="S12" i="7" s="1"/>
  <c r="R10" i="7"/>
  <c r="R85" i="7"/>
  <c r="V42" i="7"/>
  <c r="V18" i="7"/>
  <c r="T88" i="7"/>
  <c r="V46" i="7"/>
  <c r="R84" i="7"/>
  <c r="T61" i="7"/>
  <c r="V22" i="7"/>
  <c r="V69" i="7"/>
  <c r="V47" i="7"/>
  <c r="R11" i="7"/>
  <c r="V4" i="7"/>
  <c r="T63" i="7"/>
  <c r="V118" i="7"/>
  <c r="W118" i="7" s="1"/>
  <c r="T87" i="7"/>
  <c r="R105" i="7"/>
  <c r="T64" i="7"/>
  <c r="V44" i="7"/>
  <c r="R8" i="7"/>
  <c r="V117" i="7"/>
  <c r="T66" i="7"/>
  <c r="V45" i="7"/>
  <c r="T62" i="7"/>
  <c r="R83" i="7"/>
  <c r="T42" i="7"/>
  <c r="T103" i="7"/>
  <c r="AG6" i="7"/>
  <c r="AG25" i="7"/>
  <c r="AD8" i="7"/>
  <c r="V84" i="7"/>
  <c r="W83" i="7" s="1"/>
  <c r="V62" i="7"/>
  <c r="V78" i="7"/>
  <c r="W78" i="7" s="1"/>
  <c r="T10" i="7"/>
  <c r="T79" i="7"/>
  <c r="U79" i="7" s="1"/>
  <c r="R27" i="7"/>
  <c r="S27" i="7" s="1"/>
  <c r="V113" i="7"/>
  <c r="AD20" i="7"/>
  <c r="T30" i="7"/>
  <c r="V61" i="7"/>
  <c r="V89" i="7"/>
  <c r="V65" i="7"/>
  <c r="V79" i="7"/>
  <c r="W79" i="7" s="1"/>
  <c r="R52" i="7"/>
  <c r="U83" i="7"/>
  <c r="V102" i="7"/>
  <c r="AG22" i="7"/>
  <c r="V6" i="7"/>
  <c r="T4" i="7"/>
  <c r="V8" i="7"/>
  <c r="V112" i="7"/>
  <c r="R79" i="7"/>
  <c r="S79" i="7" s="1"/>
  <c r="R57" i="7"/>
  <c r="R103" i="7"/>
  <c r="R29" i="7"/>
  <c r="T6" i="7"/>
  <c r="R4" i="7"/>
  <c r="T108" i="7"/>
  <c r="V64" i="7"/>
  <c r="V40" i="7"/>
  <c r="V54" i="7"/>
  <c r="R80" i="7"/>
  <c r="S80" i="7" s="1"/>
  <c r="W81" i="7"/>
  <c r="V41" i="7"/>
  <c r="V88" i="7"/>
  <c r="V7" i="7"/>
  <c r="AD27" i="7"/>
  <c r="V108" i="7"/>
  <c r="T35" i="7"/>
  <c r="R58" i="7"/>
  <c r="V63" i="7"/>
  <c r="R54" i="7"/>
  <c r="R56" i="7"/>
  <c r="P10" i="7"/>
  <c r="X49" i="7"/>
  <c r="AB72" i="7"/>
  <c r="P8" i="7"/>
  <c r="AD18" i="7"/>
  <c r="X116" i="7"/>
  <c r="P59" i="7"/>
  <c r="P46" i="7"/>
  <c r="X56" i="7"/>
  <c r="P34" i="7"/>
  <c r="AG68" i="7"/>
  <c r="P24" i="7"/>
  <c r="Q24" i="7" s="1"/>
  <c r="AB6" i="7"/>
  <c r="X34" i="7"/>
  <c r="X84" i="7"/>
  <c r="AD22" i="7"/>
  <c r="AG46" i="7"/>
  <c r="P115" i="7"/>
  <c r="P67" i="7"/>
  <c r="P49" i="7"/>
  <c r="X63" i="7"/>
  <c r="AB8" i="7"/>
  <c r="X118" i="7"/>
  <c r="Y118" i="7" s="1"/>
  <c r="X5" i="7"/>
  <c r="AB10" i="7"/>
  <c r="P14" i="7"/>
  <c r="X13" i="7"/>
  <c r="P107" i="7"/>
  <c r="AB93" i="7"/>
  <c r="P96" i="7"/>
  <c r="P30" i="7"/>
  <c r="X4" i="7"/>
  <c r="P29" i="7"/>
  <c r="X111" i="7"/>
  <c r="X7" i="7"/>
  <c r="X88" i="7"/>
  <c r="X107" i="7"/>
  <c r="X115" i="7"/>
  <c r="P77" i="7"/>
  <c r="Q77" i="7" s="1"/>
  <c r="P79" i="7"/>
  <c r="Q79" i="7" s="1"/>
  <c r="X94" i="7"/>
  <c r="X53" i="7"/>
  <c r="P78" i="7"/>
  <c r="Q78" i="7" s="1"/>
  <c r="AD10" i="7"/>
  <c r="P120" i="7"/>
  <c r="Q120" i="7" s="1"/>
  <c r="X61" i="7"/>
  <c r="X51" i="7"/>
  <c r="X43" i="7"/>
  <c r="X101" i="7"/>
  <c r="AB29" i="7"/>
  <c r="X58" i="7"/>
  <c r="X31" i="7"/>
  <c r="X22" i="7"/>
  <c r="P118" i="7"/>
  <c r="Q118" i="7" s="1"/>
  <c r="P27" i="7"/>
  <c r="P57" i="7"/>
  <c r="X33" i="7"/>
  <c r="X97" i="7"/>
  <c r="X68" i="7"/>
  <c r="AG18" i="7"/>
  <c r="P58" i="7"/>
  <c r="X69" i="7"/>
  <c r="P108" i="7"/>
  <c r="X86" i="7"/>
  <c r="AB91" i="7"/>
  <c r="P44" i="7"/>
  <c r="AB20" i="7"/>
  <c r="P51" i="7"/>
  <c r="X83" i="7"/>
  <c r="X98" i="7"/>
  <c r="P86" i="7"/>
  <c r="P61" i="7"/>
  <c r="P41" i="7"/>
  <c r="X37" i="7"/>
  <c r="AG10" i="7"/>
  <c r="X40" i="7"/>
  <c r="P19" i="7"/>
  <c r="X27" i="7"/>
  <c r="P22" i="7"/>
  <c r="X20" i="7"/>
  <c r="P94" i="7"/>
  <c r="X89" i="7"/>
  <c r="AD29" i="7"/>
  <c r="X114" i="7"/>
  <c r="P70" i="7"/>
  <c r="P37" i="7"/>
  <c r="AI37" i="7" s="1"/>
  <c r="AB22" i="7"/>
  <c r="P33" i="7"/>
  <c r="AI33" i="7" s="1"/>
  <c r="P75" i="7"/>
  <c r="Q75" i="7" s="1"/>
  <c r="P63" i="7"/>
  <c r="P100" i="7"/>
  <c r="AG29" i="7"/>
  <c r="X87" i="7"/>
  <c r="X92" i="7"/>
  <c r="X45" i="7"/>
  <c r="AG72" i="7"/>
  <c r="X14" i="7"/>
  <c r="P93" i="7"/>
  <c r="P97" i="7"/>
  <c r="AG27" i="7"/>
  <c r="X108" i="7"/>
  <c r="P54" i="7"/>
  <c r="P82" i="7"/>
  <c r="P48" i="7"/>
  <c r="Q48" i="7" s="1"/>
  <c r="P12" i="7"/>
  <c r="Q12" i="7" s="1"/>
  <c r="P92" i="7"/>
  <c r="P64" i="7"/>
  <c r="X70" i="7"/>
  <c r="P66" i="7"/>
  <c r="P18" i="7"/>
  <c r="P98" i="7"/>
  <c r="X103" i="7"/>
  <c r="X12" i="7"/>
  <c r="Y12" i="7" s="1"/>
  <c r="P117" i="7"/>
  <c r="X85" i="7"/>
  <c r="P89" i="7"/>
  <c r="X60" i="7"/>
  <c r="Y60" i="7" s="1"/>
  <c r="X57" i="7"/>
  <c r="P35" i="7"/>
  <c r="AI35" i="7" s="1"/>
  <c r="X54" i="7"/>
  <c r="P110" i="7"/>
  <c r="Q110" i="7" s="1"/>
  <c r="P43" i="7"/>
  <c r="AI43" i="7" s="1"/>
  <c r="AB68" i="7"/>
  <c r="X93" i="7"/>
  <c r="AB83" i="7"/>
  <c r="AG91" i="7"/>
  <c r="P105" i="7"/>
  <c r="P74" i="7"/>
  <c r="X48" i="7"/>
  <c r="Y48" i="7" s="1"/>
  <c r="AD16" i="7"/>
  <c r="X36" i="7"/>
  <c r="X76" i="7"/>
  <c r="Y76" i="7" s="1"/>
  <c r="P68" i="7"/>
  <c r="X66" i="7"/>
  <c r="AG83" i="7"/>
  <c r="X96" i="7"/>
  <c r="P56" i="7"/>
  <c r="Q56" i="7" s="1"/>
  <c r="P13" i="7"/>
  <c r="P119" i="7"/>
  <c r="Q119" i="7" s="1"/>
  <c r="X29" i="7"/>
  <c r="X74" i="7"/>
  <c r="P42" i="7"/>
  <c r="P81" i="7"/>
  <c r="X95" i="7"/>
  <c r="X117" i="7"/>
  <c r="P87" i="7"/>
  <c r="P104" i="7"/>
  <c r="P52" i="7"/>
  <c r="X25" i="7"/>
  <c r="X19" i="7"/>
  <c r="X71" i="7"/>
  <c r="Y71" i="7" s="1"/>
  <c r="AB46" i="7"/>
  <c r="X113" i="7"/>
  <c r="X64" i="7"/>
  <c r="P45" i="7"/>
  <c r="AI45" i="7" s="1"/>
  <c r="X52" i="7"/>
  <c r="P38" i="7"/>
  <c r="Q29" i="7"/>
  <c r="AC132" i="7"/>
  <c r="AG85" i="7"/>
  <c r="AA132" i="7"/>
  <c r="AA134" i="7" s="1"/>
  <c r="AG111" i="7"/>
  <c r="AB61" i="7"/>
  <c r="AB56" i="7"/>
  <c r="AB25" i="7"/>
  <c r="AG97" i="7"/>
  <c r="AG56" i="7"/>
  <c r="X90" i="7"/>
  <c r="Y90" i="7" s="1"/>
  <c r="X44" i="7"/>
  <c r="AB13" i="7"/>
  <c r="AD25" i="7"/>
  <c r="X104" i="7"/>
  <c r="P102" i="7"/>
  <c r="X15" i="7"/>
  <c r="AG95" i="7"/>
  <c r="P88" i="7"/>
  <c r="X18" i="7"/>
  <c r="X100" i="7"/>
  <c r="P113" i="7"/>
  <c r="AB4" i="7"/>
  <c r="AD4" i="7"/>
  <c r="AG52" i="7"/>
  <c r="AB97" i="7"/>
  <c r="AB85" i="7"/>
  <c r="AB52" i="7"/>
  <c r="AD13" i="7"/>
  <c r="AG61" i="7"/>
  <c r="AB111" i="7"/>
  <c r="AB81" i="7"/>
  <c r="AF132" i="7"/>
  <c r="AF134" i="7" s="1"/>
  <c r="AG4" i="7"/>
  <c r="M143" i="7"/>
  <c r="AD141" i="7"/>
  <c r="X11" i="7"/>
  <c r="P11" i="7"/>
  <c r="Q10" i="7" s="1"/>
  <c r="M134" i="7"/>
  <c r="X75" i="7"/>
  <c r="Y75" i="7" s="1"/>
  <c r="P9" i="7"/>
  <c r="P6" i="7"/>
  <c r="X17" i="7"/>
  <c r="X77" i="7"/>
  <c r="Y77" i="7" s="1"/>
  <c r="P15" i="7"/>
  <c r="X109" i="7"/>
  <c r="P111" i="7"/>
  <c r="P53" i="7"/>
  <c r="P114" i="7"/>
  <c r="P7" i="7"/>
  <c r="X30" i="7"/>
  <c r="P83" i="7"/>
  <c r="Q83" i="7" s="1"/>
  <c r="P101" i="7"/>
  <c r="P90" i="7"/>
  <c r="Q90" i="7" s="1"/>
  <c r="X106" i="7"/>
  <c r="P73" i="7"/>
  <c r="P25" i="7"/>
  <c r="X112" i="7"/>
  <c r="X42" i="7"/>
  <c r="P17" i="7"/>
  <c r="X91" i="7"/>
  <c r="X80" i="7"/>
  <c r="Y80" i="7" s="1"/>
  <c r="P72" i="7"/>
  <c r="X23" i="7"/>
  <c r="P26" i="7"/>
  <c r="X16" i="7"/>
  <c r="X47" i="7"/>
  <c r="P106" i="7"/>
  <c r="X79" i="7"/>
  <c r="Y79" i="7" s="1"/>
  <c r="P36" i="7"/>
  <c r="AI36" i="7" s="1"/>
  <c r="X28" i="7"/>
  <c r="P4" i="7"/>
  <c r="X46" i="7"/>
  <c r="P28" i="7"/>
  <c r="Q27" i="7" s="1"/>
  <c r="X21" i="7"/>
  <c r="Y20" i="7" s="1"/>
  <c r="P21" i="7"/>
  <c r="X119" i="7"/>
  <c r="Y119" i="7" s="1"/>
  <c r="X65" i="7"/>
  <c r="X81" i="7"/>
  <c r="X99" i="7"/>
  <c r="P95" i="7"/>
  <c r="P99" i="7"/>
  <c r="P60" i="7"/>
  <c r="Q60" i="7" s="1"/>
  <c r="X50" i="7"/>
  <c r="X26" i="7"/>
  <c r="X6" i="7"/>
  <c r="P23" i="7"/>
  <c r="P112" i="7"/>
  <c r="P109" i="7"/>
  <c r="P91" i="7"/>
  <c r="P80" i="7"/>
  <c r="Q80" i="7" s="1"/>
  <c r="X62" i="7"/>
  <c r="X55" i="7"/>
  <c r="X120" i="7"/>
  <c r="Y120" i="7" s="1"/>
  <c r="X102" i="7"/>
  <c r="P62" i="7"/>
  <c r="X59" i="7"/>
  <c r="P55" i="7"/>
  <c r="P50" i="7"/>
  <c r="P47" i="7"/>
  <c r="X38" i="7"/>
  <c r="P16" i="7"/>
  <c r="X9" i="7"/>
  <c r="X72" i="7"/>
  <c r="X41" i="7"/>
  <c r="X105" i="7"/>
  <c r="X67" i="7"/>
  <c r="AB18" i="7"/>
  <c r="P85" i="7"/>
  <c r="P65" i="7"/>
  <c r="P69" i="7"/>
  <c r="X10" i="7"/>
  <c r="X73" i="7"/>
  <c r="P71" i="7"/>
  <c r="Q71" i="7" s="1"/>
  <c r="P5" i="7"/>
  <c r="AB49" i="7"/>
  <c r="AB27" i="7"/>
  <c r="AG13" i="7"/>
  <c r="AG49" i="7"/>
  <c r="P76" i="7"/>
  <c r="Q76" i="7" s="1"/>
  <c r="X110" i="7"/>
  <c r="Y110" i="7" s="1"/>
  <c r="P20" i="7"/>
  <c r="X82" i="7"/>
  <c r="AI129" i="7" l="1"/>
  <c r="AJ129" i="7" s="1"/>
  <c r="AI128" i="7"/>
  <c r="AJ128" i="7" s="1"/>
  <c r="AI127" i="7"/>
  <c r="AJ127" i="7" s="1"/>
  <c r="AI126" i="7"/>
  <c r="AJ126" i="7" s="1"/>
  <c r="AI121" i="7"/>
  <c r="AI38" i="7"/>
  <c r="AI42" i="7"/>
  <c r="AI41" i="7"/>
  <c r="AI44" i="7"/>
  <c r="AI34" i="7"/>
  <c r="W52" i="7"/>
  <c r="S49" i="7"/>
  <c r="AI40" i="7"/>
  <c r="W16" i="7"/>
  <c r="W29" i="7"/>
  <c r="S6" i="7"/>
  <c r="AI39" i="7"/>
  <c r="Y13" i="7"/>
  <c r="S91" i="7"/>
  <c r="S16" i="7"/>
  <c r="U8" i="7"/>
  <c r="Y8" i="7"/>
  <c r="S13" i="7"/>
  <c r="W13" i="7"/>
  <c r="S8" i="7"/>
  <c r="AI78" i="7"/>
  <c r="U93" i="7"/>
  <c r="W85" i="7"/>
  <c r="Q18" i="7"/>
  <c r="U72" i="7"/>
  <c r="S25" i="7"/>
  <c r="AI79" i="7"/>
  <c r="S93" i="7"/>
  <c r="AI75" i="7"/>
  <c r="AI76" i="7"/>
  <c r="U111" i="7"/>
  <c r="AI77" i="7"/>
  <c r="AI24" i="7"/>
  <c r="U25" i="7"/>
  <c r="AI119" i="7"/>
  <c r="AI80" i="7"/>
  <c r="W25" i="7"/>
  <c r="Y18" i="7"/>
  <c r="W20" i="7"/>
  <c r="S52" i="7"/>
  <c r="S46" i="7"/>
  <c r="U56" i="7"/>
  <c r="Q8" i="7"/>
  <c r="W27" i="7"/>
  <c r="W56" i="7"/>
  <c r="U91" i="7"/>
  <c r="AD140" i="7"/>
  <c r="Y10" i="7"/>
  <c r="Y22" i="7"/>
  <c r="U6" i="7"/>
  <c r="S81" i="7"/>
  <c r="U52" i="7"/>
  <c r="S20" i="7"/>
  <c r="U49" i="7"/>
  <c r="U22" i="7"/>
  <c r="AI12" i="7"/>
  <c r="W4" i="7"/>
  <c r="V132" i="7"/>
  <c r="U140" i="7"/>
  <c r="U29" i="7"/>
  <c r="W61" i="7"/>
  <c r="AI48" i="7"/>
  <c r="AI118" i="7"/>
  <c r="U10" i="7"/>
  <c r="W93" i="7"/>
  <c r="S61" i="7"/>
  <c r="W68" i="7"/>
  <c r="S4" i="7"/>
  <c r="R132" i="7"/>
  <c r="W22" i="7"/>
  <c r="U18" i="7"/>
  <c r="S111" i="7"/>
  <c r="U61" i="7"/>
  <c r="W46" i="7"/>
  <c r="W72" i="7"/>
  <c r="W111" i="7"/>
  <c r="S68" i="7"/>
  <c r="Y68" i="7"/>
  <c r="AI71" i="7"/>
  <c r="Q22" i="7"/>
  <c r="S29" i="7"/>
  <c r="AI60" i="7"/>
  <c r="AI110" i="7"/>
  <c r="S72" i="7"/>
  <c r="S140" i="7" s="1"/>
  <c r="Q91" i="7"/>
  <c r="Y25" i="7"/>
  <c r="Y95" i="7"/>
  <c r="Y4" i="7"/>
  <c r="S56" i="7"/>
  <c r="W8" i="7"/>
  <c r="AI8" i="7" s="1"/>
  <c r="S85" i="7"/>
  <c r="U68" i="7"/>
  <c r="U97" i="7"/>
  <c r="S97" i="7"/>
  <c r="W95" i="7"/>
  <c r="Y83" i="7"/>
  <c r="AI120" i="7"/>
  <c r="T132" i="7"/>
  <c r="U4" i="7"/>
  <c r="S83" i="7"/>
  <c r="AI83" i="7" s="1"/>
  <c r="S10" i="7"/>
  <c r="AI10" i="7" s="1"/>
  <c r="W49" i="7"/>
  <c r="W97" i="7"/>
  <c r="Q72" i="7"/>
  <c r="Y6" i="7"/>
  <c r="W18" i="7"/>
  <c r="AI90" i="7"/>
  <c r="Y85" i="7"/>
  <c r="W6" i="7"/>
  <c r="U85" i="7"/>
  <c r="Q20" i="7"/>
  <c r="Q68" i="7"/>
  <c r="Q95" i="7"/>
  <c r="Q81" i="7"/>
  <c r="Y111" i="7"/>
  <c r="Q13" i="7"/>
  <c r="AI13" i="7" s="1"/>
  <c r="Y93" i="7"/>
  <c r="Q46" i="7"/>
  <c r="Y49" i="7"/>
  <c r="AG140" i="7"/>
  <c r="Y91" i="7"/>
  <c r="Y97" i="7"/>
  <c r="AG141" i="7"/>
  <c r="Y56" i="7"/>
  <c r="Q61" i="7"/>
  <c r="Q52" i="7"/>
  <c r="Q49" i="7"/>
  <c r="AI49" i="7" s="1"/>
  <c r="Y27" i="7"/>
  <c r="AI27" i="7" s="1"/>
  <c r="Y52" i="7"/>
  <c r="Y61" i="7"/>
  <c r="Q97" i="7"/>
  <c r="Q93" i="7"/>
  <c r="Y29" i="7"/>
  <c r="Q85" i="7"/>
  <c r="X132" i="7"/>
  <c r="Y46" i="7"/>
  <c r="AG132" i="7"/>
  <c r="AG139" i="7"/>
  <c r="P132" i="7"/>
  <c r="Q4" i="7"/>
  <c r="Y16" i="7"/>
  <c r="AB132" i="7"/>
  <c r="AB139" i="7"/>
  <c r="Q25" i="7"/>
  <c r="Y72" i="7"/>
  <c r="AB141" i="7"/>
  <c r="Q6" i="7"/>
  <c r="Y81" i="7"/>
  <c r="AD132" i="7"/>
  <c r="AD139" i="7"/>
  <c r="Q16" i="7"/>
  <c r="AB140" i="7"/>
  <c r="Q111" i="7"/>
  <c r="AI72" i="7" l="1"/>
  <c r="AD143" i="7"/>
  <c r="S141" i="7"/>
  <c r="AI56" i="7"/>
  <c r="W141" i="7"/>
  <c r="Y141" i="7"/>
  <c r="AI91" i="7"/>
  <c r="AI95" i="7"/>
  <c r="AI85" i="7"/>
  <c r="W140" i="7"/>
  <c r="AI29" i="7"/>
  <c r="AI46" i="7"/>
  <c r="AI18" i="7"/>
  <c r="AI68" i="7"/>
  <c r="AI20" i="7"/>
  <c r="AI93" i="7"/>
  <c r="AI16" i="7"/>
  <c r="AI97" i="7"/>
  <c r="U141" i="7"/>
  <c r="S139" i="7"/>
  <c r="S143" i="7" s="1"/>
  <c r="S132" i="7"/>
  <c r="AI6" i="7"/>
  <c r="AI25" i="7"/>
  <c r="W139" i="7"/>
  <c r="W143" i="7" s="1"/>
  <c r="W132" i="7"/>
  <c r="AI52" i="7"/>
  <c r="U132" i="7"/>
  <c r="U139" i="7"/>
  <c r="AI4" i="7"/>
  <c r="AI111" i="7"/>
  <c r="AI61" i="7"/>
  <c r="AI22" i="7"/>
  <c r="AG143" i="7"/>
  <c r="AI81" i="7"/>
  <c r="Q141" i="7"/>
  <c r="Y132" i="7"/>
  <c r="Y140" i="7"/>
  <c r="Q140" i="7"/>
  <c r="AB143" i="7"/>
  <c r="Y139" i="7"/>
  <c r="Q139" i="7"/>
  <c r="Q132" i="7"/>
  <c r="AI141" i="7" l="1"/>
  <c r="U143" i="7"/>
  <c r="Q143" i="7"/>
  <c r="Y143" i="7"/>
  <c r="AI132" i="7"/>
  <c r="AI139" i="7"/>
  <c r="AI140" i="7"/>
  <c r="AI143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tc={90418D0E-83DC-401A-A613-F568091422D3}</author>
  </authors>
  <commentList>
    <comment ref="N27" authorId="0" shapeId="0" xr:uid="{90418D0E-83DC-401A-A613-F568091422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Duplicative policy for Crystal Acres general liability as Brookstone is already Broker of record for policy running . Policy premium being refunded back to 4/22/2025. </t>
      </text>
    </comment>
  </commentList>
</comments>
</file>

<file path=xl/sharedStrings.xml><?xml version="1.0" encoding="utf-8"?>
<sst xmlns="http://schemas.openxmlformats.org/spreadsheetml/2006/main" count="2519" uniqueCount="738">
  <si>
    <t>Parakeet Communities, LLC</t>
  </si>
  <si>
    <t>Schedule of Policies</t>
  </si>
  <si>
    <t>Parakeet Communities</t>
  </si>
  <si>
    <t>Effective Date</t>
  </si>
  <si>
    <t>Named Insured</t>
  </si>
  <si>
    <t>Insurance Carrier</t>
  </si>
  <si>
    <t>Policy No.</t>
  </si>
  <si>
    <t>Line of Business</t>
  </si>
  <si>
    <t xml:space="preserve">Description </t>
  </si>
  <si>
    <t>Amount</t>
  </si>
  <si>
    <t>Status</t>
  </si>
  <si>
    <t>Recurring Entry Status</t>
  </si>
  <si>
    <t>Travelers</t>
  </si>
  <si>
    <t>BA3X237212442G</t>
  </si>
  <si>
    <t>Business Auto</t>
  </si>
  <si>
    <t xml:space="preserve">Business Auto for Management Vehicles </t>
  </si>
  <si>
    <t>Paid</t>
  </si>
  <si>
    <t>Employers Compensation Ins Co</t>
  </si>
  <si>
    <t>EIG5889008300</t>
  </si>
  <si>
    <t>Worker's Compensation</t>
  </si>
  <si>
    <t>Workers Comp on a Pay As You Go Basis</t>
  </si>
  <si>
    <t>Pay as you go</t>
  </si>
  <si>
    <t>Geiger</t>
  </si>
  <si>
    <t>Toast (Geiger) Workers Comp</t>
  </si>
  <si>
    <t>USLI</t>
  </si>
  <si>
    <t>CP2666719B</t>
  </si>
  <si>
    <t>Property &amp; GL for 2829 Bird Ave.</t>
  </si>
  <si>
    <t>Separate Policy as required by lease</t>
  </si>
  <si>
    <t>CP2667132B</t>
  </si>
  <si>
    <t xml:space="preserve">Property &amp; GL for 212435 Park Potomac </t>
  </si>
  <si>
    <t>Peleus Insurance Company</t>
  </si>
  <si>
    <t>Errors and Omissions</t>
  </si>
  <si>
    <t>D&amp;O Policy</t>
  </si>
  <si>
    <t>Covered by Jadian Master Policy</t>
  </si>
  <si>
    <t>Crum &amp; Forster Specialty Insurance Company</t>
  </si>
  <si>
    <t>CYB120793</t>
  </si>
  <si>
    <t>Cyber</t>
  </si>
  <si>
    <t>Corporate Cyber Policy</t>
  </si>
  <si>
    <t>Paid - 6 month policy</t>
  </si>
  <si>
    <t>Portfolio</t>
  </si>
  <si>
    <t>Fidelis</t>
  </si>
  <si>
    <t>SRTER251977</t>
  </si>
  <si>
    <t>TRIA - Property &amp; GL</t>
  </si>
  <si>
    <t xml:space="preserve">Portfolio Policy - Annual Renewal </t>
  </si>
  <si>
    <t>See annual renewals tab</t>
  </si>
  <si>
    <t>AtegritySpecialty</t>
  </si>
  <si>
    <t>01BGLP000708812</t>
  </si>
  <si>
    <t>General Liability</t>
  </si>
  <si>
    <t xml:space="preserve">Evanston </t>
  </si>
  <si>
    <t>MCGX10056102</t>
  </si>
  <si>
    <t>Excess Liability</t>
  </si>
  <si>
    <t>ACE American</t>
  </si>
  <si>
    <t>D39214052001</t>
  </si>
  <si>
    <t>Primary $5m Property</t>
  </si>
  <si>
    <t>Axis</t>
  </si>
  <si>
    <t>P-001-001612250-01</t>
  </si>
  <si>
    <t>$5m xs $5m Property</t>
  </si>
  <si>
    <t>James River</t>
  </si>
  <si>
    <t>001632170</t>
  </si>
  <si>
    <t>$20m xs $10m Property</t>
  </si>
  <si>
    <t>RSUI</t>
  </si>
  <si>
    <t>LHD951014</t>
  </si>
  <si>
    <t>$22m xs $30m Property</t>
  </si>
  <si>
    <t>Shady Acres</t>
  </si>
  <si>
    <t>Hartford</t>
  </si>
  <si>
    <t>Flood</t>
  </si>
  <si>
    <t>Flood as required by Lender</t>
  </si>
  <si>
    <t>Redlands</t>
  </si>
  <si>
    <t>Paradise Palms</t>
  </si>
  <si>
    <t>Brunswick Estates</t>
  </si>
  <si>
    <t>Riviera Park</t>
  </si>
  <si>
    <t>Henderson's</t>
  </si>
  <si>
    <t>Single Family Home - Flood as required by Lender</t>
  </si>
  <si>
    <t>Apartments - Flood as required by Lender</t>
  </si>
  <si>
    <t>Maintenance Shed - Flood as required by Lender</t>
  </si>
  <si>
    <t>Seashells</t>
  </si>
  <si>
    <t>Kinsale</t>
  </si>
  <si>
    <t>TRL-415701</t>
  </si>
  <si>
    <t xml:space="preserve">Marine Liabiliy for the Pier at Seashells </t>
  </si>
  <si>
    <t>To be shopped by IOA to put back into place</t>
  </si>
  <si>
    <t>Riverwalk</t>
  </si>
  <si>
    <t>To confirm if this is already in place or needs to be separately shopped</t>
  </si>
  <si>
    <t>Triple S</t>
  </si>
  <si>
    <t>Selective</t>
  </si>
  <si>
    <t>FLD3540869</t>
  </si>
  <si>
    <t>Building 1</t>
  </si>
  <si>
    <t>FLD4190760</t>
  </si>
  <si>
    <t>Building 2</t>
  </si>
  <si>
    <t>Triple S Marina</t>
  </si>
  <si>
    <t>NCJUA</t>
  </si>
  <si>
    <t>CM00792167</t>
  </si>
  <si>
    <t>Marina - Liability</t>
  </si>
  <si>
    <t>Vantage Oaks</t>
  </si>
  <si>
    <t>Chubb Eurpoean Group SE</t>
  </si>
  <si>
    <t>CGM2001401</t>
  </si>
  <si>
    <t>GL1156733C</t>
  </si>
  <si>
    <t>Vacant Land General Liability</t>
  </si>
  <si>
    <t>Markel Marine</t>
  </si>
  <si>
    <t>9CE38142</t>
  </si>
  <si>
    <t>Marina &amp; General Liabilty</t>
  </si>
  <si>
    <t>Marina &amp; General Liability Geiger</t>
  </si>
  <si>
    <t>Paid - 8 month premiums</t>
  </si>
  <si>
    <t>9CE38152</t>
  </si>
  <si>
    <t>Liquor Liability</t>
  </si>
  <si>
    <t>Liquor Liability  Geiger</t>
  </si>
  <si>
    <t>9CE38162</t>
  </si>
  <si>
    <t>Umbrella</t>
  </si>
  <si>
    <t>Umbrella over marina and liquor Geiger</t>
  </si>
  <si>
    <t>ACE American Insurance</t>
  </si>
  <si>
    <t>G74309264004</t>
  </si>
  <si>
    <t>Pollution</t>
  </si>
  <si>
    <t>Pollution Legal Liability</t>
  </si>
  <si>
    <t>Flood Geiger North Bldg</t>
  </si>
  <si>
    <t>Flood Geiger South Bldg</t>
  </si>
  <si>
    <t>Flood Geiger  3 Geiger Rd</t>
  </si>
  <si>
    <t>Carley's</t>
  </si>
  <si>
    <t>HUB International Northeast Limited</t>
  </si>
  <si>
    <t>PREE87067800</t>
  </si>
  <si>
    <t>Environmental</t>
  </si>
  <si>
    <t>Environmental as required by Lender</t>
  </si>
  <si>
    <t>Paid Policy ends 5/1/2029</t>
  </si>
  <si>
    <t>Mayflower</t>
  </si>
  <si>
    <t>Additional Abuse Liability Policy</t>
  </si>
  <si>
    <t>Capital One Requirement for debt covenant being shopped by IOA</t>
  </si>
  <si>
    <t>Meadow Woods</t>
  </si>
  <si>
    <t>Named as insured party but not billed premium at annual renewal</t>
  </si>
  <si>
    <t>Royal Oaks</t>
  </si>
  <si>
    <t>Northfield (Brookstone is agent)</t>
  </si>
  <si>
    <t>WS554042</t>
  </si>
  <si>
    <t>Lamberton Lake</t>
  </si>
  <si>
    <t>Hastings (Greenfelder)</t>
  </si>
  <si>
    <t>Commercial Auto?</t>
  </si>
  <si>
    <t>Greenfelder</t>
  </si>
  <si>
    <t>AMRMOD (Greenfelder)</t>
  </si>
  <si>
    <t>POH</t>
  </si>
  <si>
    <t>Cambridge</t>
  </si>
  <si>
    <t>077CD76908001</t>
  </si>
  <si>
    <t>Paid 10/15/2025</t>
  </si>
  <si>
    <t>Haylor Freyer (Greenfelder)</t>
  </si>
  <si>
    <t>ZDSD21280208</t>
  </si>
  <si>
    <t>Liability</t>
  </si>
  <si>
    <t>Ending 4/22/2026</t>
  </si>
  <si>
    <t>Northgate</t>
  </si>
  <si>
    <t>Paid - acquisition date until 4/22</t>
  </si>
  <si>
    <t>Great Oak</t>
  </si>
  <si>
    <t>Silver Hill</t>
  </si>
  <si>
    <t>Steiner</t>
  </si>
  <si>
    <t>The Hartford</t>
  </si>
  <si>
    <t>Paid at closing - 12 month policy</t>
  </si>
  <si>
    <t>Fox Creek</t>
  </si>
  <si>
    <t>Parakeet Home Sales</t>
  </si>
  <si>
    <t>Old Republic</t>
  </si>
  <si>
    <t>B150015625</t>
  </si>
  <si>
    <t>Bond</t>
  </si>
  <si>
    <t xml:space="preserve">Surety Bond for Parakeet Home Sales Inc - required by FL </t>
  </si>
  <si>
    <t>Palm/Southgage</t>
  </si>
  <si>
    <t xml:space="preserve">Lloyds </t>
  </si>
  <si>
    <t>B1230AP01975A25</t>
  </si>
  <si>
    <t>Property</t>
  </si>
  <si>
    <t>POH Coverage for Palm Haven and Southgate required by Lender</t>
  </si>
  <si>
    <t>Applegate</t>
  </si>
  <si>
    <t>Applegate POH</t>
  </si>
  <si>
    <t>Parakeet Home Sales SC, LLC</t>
  </si>
  <si>
    <t>Jet Insurance Company</t>
  </si>
  <si>
    <t>BX0074737</t>
  </si>
  <si>
    <t>SC Mobile Home Dealer Bond</t>
  </si>
  <si>
    <t>Paid - Policy throuigh 6/30/2026</t>
  </si>
  <si>
    <t>New Concept Homes (Cambridge)</t>
  </si>
  <si>
    <t>U.S. Speciality Insurance Company</t>
  </si>
  <si>
    <t>WV Dealer Bond</t>
  </si>
  <si>
    <t>Shell</t>
  </si>
  <si>
    <t>Terrace</t>
  </si>
  <si>
    <t>The Oaks</t>
  </si>
  <si>
    <t>River Walk</t>
  </si>
  <si>
    <t>Windward</t>
  </si>
  <si>
    <t>Ownership Entity</t>
  </si>
  <si>
    <t>Community Name</t>
  </si>
  <si>
    <t>Address</t>
  </si>
  <si>
    <t>Lot #</t>
  </si>
  <si>
    <t>HUD</t>
  </si>
  <si>
    <t>Serial Number</t>
  </si>
  <si>
    <t xml:space="preserve">Year </t>
  </si>
  <si>
    <t xml:space="preserve">Insurable Value </t>
  </si>
  <si>
    <t>Policy</t>
  </si>
  <si>
    <t xml:space="preserve">Premium Breakdown Per Unit </t>
  </si>
  <si>
    <t>Parakeet Home Sales LLC</t>
  </si>
  <si>
    <t>Southgate Mobile Homes LLC</t>
  </si>
  <si>
    <t>8817 North Atlantic Ave Cape Canavaral FL, 32920</t>
  </si>
  <si>
    <t>PFS1197480</t>
  </si>
  <si>
    <t>290AC0HA002333A</t>
  </si>
  <si>
    <t>Lloyd's FL</t>
  </si>
  <si>
    <t>NTA1797174</t>
  </si>
  <si>
    <t>SAD024079AL</t>
  </si>
  <si>
    <t>Palm Haven Estates LLC</t>
  </si>
  <si>
    <t>250 Nell Street Panama City Beach FL 32404</t>
  </si>
  <si>
    <t>NTA1788619</t>
  </si>
  <si>
    <t>SOU011983AL</t>
  </si>
  <si>
    <t>NTA1749611</t>
  </si>
  <si>
    <t>LH0117W10470AC</t>
  </si>
  <si>
    <t>NTA1746253</t>
  </si>
  <si>
    <t>125AC0HB003258A</t>
  </si>
  <si>
    <t>NTA1746217</t>
  </si>
  <si>
    <t>125AC0HB003222A</t>
  </si>
  <si>
    <t>S</t>
  </si>
  <si>
    <t>NTA1800881</t>
  </si>
  <si>
    <t>SOU012420AL</t>
  </si>
  <si>
    <t>J</t>
  </si>
  <si>
    <t>NTA1800983</t>
  </si>
  <si>
    <t>SOU012393AL</t>
  </si>
  <si>
    <t>NTA1801010</t>
  </si>
  <si>
    <t>SOU012401AL</t>
  </si>
  <si>
    <t>NTA1806570</t>
  </si>
  <si>
    <t>OC051820241AC</t>
  </si>
  <si>
    <t>NTA1790524</t>
  </si>
  <si>
    <t>CTH924117AC</t>
  </si>
  <si>
    <t>A</t>
  </si>
  <si>
    <t>NTA1797949</t>
  </si>
  <si>
    <t>OC051820218AC</t>
  </si>
  <si>
    <t>F</t>
  </si>
  <si>
    <t>NTA1879207</t>
  </si>
  <si>
    <t>SA4077450AL</t>
  </si>
  <si>
    <t>E</t>
  </si>
  <si>
    <t>25TPO24483AH25</t>
  </si>
  <si>
    <t>CLR039166TNABAC</t>
  </si>
  <si>
    <t>CLR039470TNABAC</t>
  </si>
  <si>
    <t>CLR039471TNABAC</t>
  </si>
  <si>
    <t>I</t>
  </si>
  <si>
    <t>CLR039475TNABAC</t>
  </si>
  <si>
    <t>M</t>
  </si>
  <si>
    <t>25TPO24523AH25</t>
  </si>
  <si>
    <t>CLR039476TNABAC</t>
  </si>
  <si>
    <t>H</t>
  </si>
  <si>
    <t>CLR039477TNABAC</t>
  </si>
  <si>
    <t>L</t>
  </si>
  <si>
    <t>CLR-39478TNABAC</t>
  </si>
  <si>
    <t xml:space="preserve">Fox Creek </t>
  </si>
  <si>
    <t>311 Chapman Road Fountain Inn SC 29644</t>
  </si>
  <si>
    <t>CHCCNC70141276486</t>
  </si>
  <si>
    <t xml:space="preserve">Consolidated Property </t>
  </si>
  <si>
    <t>GAFLX07A44918W512</t>
  </si>
  <si>
    <t>LS88146021FKSN23787</t>
  </si>
  <si>
    <t>H933096</t>
  </si>
  <si>
    <t>HONC57014CK2508224</t>
  </si>
  <si>
    <t>17L02988</t>
  </si>
  <si>
    <t>H90239G</t>
  </si>
  <si>
    <t>1W140230E</t>
  </si>
  <si>
    <t>H0NC28014CK3226899</t>
  </si>
  <si>
    <t>NCFLN41A22893FE</t>
  </si>
  <si>
    <t>CLM064771TN</t>
  </si>
  <si>
    <t>N01016670TN</t>
  </si>
  <si>
    <t>H36235G</t>
  </si>
  <si>
    <t>H135896G</t>
  </si>
  <si>
    <t>GBHMM52981</t>
  </si>
  <si>
    <t>PHI41226</t>
  </si>
  <si>
    <t>GAFLS07A33213W212</t>
  </si>
  <si>
    <t>GMHGA223914955</t>
  </si>
  <si>
    <t>H801749GL&amp;R</t>
  </si>
  <si>
    <t>694114X60</t>
  </si>
  <si>
    <t>H0GA19J00035A&amp;B</t>
  </si>
  <si>
    <t>GAFLM75A13354WE</t>
  </si>
  <si>
    <t>39140162V</t>
  </si>
  <si>
    <t>VAFLJ19A22498SP</t>
  </si>
  <si>
    <t>CLM064552TN</t>
  </si>
  <si>
    <t>H96756G</t>
  </si>
  <si>
    <t>TNFLK26A22791RF</t>
  </si>
  <si>
    <t>HMST13917GA</t>
  </si>
  <si>
    <t>ALS25164</t>
  </si>
  <si>
    <t>GAFLT75A66653WS12</t>
  </si>
  <si>
    <t>H71997G</t>
  </si>
  <si>
    <t>NCFLM56A&amp;B06372HP</t>
  </si>
  <si>
    <t>CLHN2121NC</t>
  </si>
  <si>
    <t>H58630G</t>
  </si>
  <si>
    <t>ALS29643</t>
  </si>
  <si>
    <t>H0NC03316110</t>
  </si>
  <si>
    <t>GAFLR75A23494WE</t>
  </si>
  <si>
    <t>GBHMA20609</t>
  </si>
  <si>
    <t>SSLAL38900</t>
  </si>
  <si>
    <t>SSLAL12057</t>
  </si>
  <si>
    <t>BHAL0891SN3300</t>
  </si>
  <si>
    <t>GAFLV34A&amp;B259290K12</t>
  </si>
  <si>
    <t>FLFLCM1AG297012069</t>
  </si>
  <si>
    <t>H75939G</t>
  </si>
  <si>
    <t>GAFLW07A4350B412</t>
  </si>
  <si>
    <t>GBHML51211</t>
  </si>
  <si>
    <t>0HC005219NC</t>
  </si>
  <si>
    <t>H97945G</t>
  </si>
  <si>
    <t>GAFLJ05A&amp;BG14740CW</t>
  </si>
  <si>
    <t>H103413G</t>
  </si>
  <si>
    <t>SSLAL17308</t>
  </si>
  <si>
    <t>ZZN4540</t>
  </si>
  <si>
    <t>GBHME13634</t>
  </si>
  <si>
    <t>F2D66S143CK5591GA</t>
  </si>
  <si>
    <t>H79372G</t>
  </si>
  <si>
    <t>H0NC27214CK2225445</t>
  </si>
  <si>
    <t>GAFLS75A26368WE12</t>
  </si>
  <si>
    <t>MS8951460SN18245</t>
  </si>
  <si>
    <t>TNFLR26A71620RL</t>
  </si>
  <si>
    <t>GAFLS75A63397WE12</t>
  </si>
  <si>
    <t>H770946</t>
  </si>
  <si>
    <t>GAFLP07A28106W2</t>
  </si>
  <si>
    <t>GAFLK75A07974WE</t>
  </si>
  <si>
    <t>H95886G</t>
  </si>
  <si>
    <t>CLA046546TN</t>
  </si>
  <si>
    <t>HMST11695GA</t>
  </si>
  <si>
    <t>NCFLS41A34504V013</t>
  </si>
  <si>
    <t>ALS36755</t>
  </si>
  <si>
    <t>16L03960</t>
  </si>
  <si>
    <t>N01017938TN</t>
  </si>
  <si>
    <t>WCHC007124GA</t>
  </si>
  <si>
    <t>VAFLL19A26055CP</t>
  </si>
  <si>
    <t>CLM056913TN</t>
  </si>
  <si>
    <t>H209953G</t>
  </si>
  <si>
    <t>N01023026TN</t>
  </si>
  <si>
    <t>H0TN12C09013</t>
  </si>
  <si>
    <t>CMII1211NC</t>
  </si>
  <si>
    <t>NCFLP41A27461EW</t>
  </si>
  <si>
    <t>GAFLS07A35915W212</t>
  </si>
  <si>
    <t>GAFLS39A04094VH11</t>
  </si>
  <si>
    <t>GAFLRO7A32692W212</t>
  </si>
  <si>
    <t>GAFLK07A17971WF</t>
  </si>
  <si>
    <t>H0NC03310963</t>
  </si>
  <si>
    <t>MP1803542</t>
  </si>
  <si>
    <t>8L1412711</t>
  </si>
  <si>
    <t>TNFLP26A71121RL</t>
  </si>
  <si>
    <t>GAFLK75A07771WE</t>
  </si>
  <si>
    <t>HONC2801CK3225742</t>
  </si>
  <si>
    <t>N01015866TN</t>
  </si>
  <si>
    <t>ALNR05897014S9435</t>
  </si>
  <si>
    <t>H108869G</t>
  </si>
  <si>
    <t>GAFLN75A15191WE</t>
  </si>
  <si>
    <t>GAFLP75A20098WE</t>
  </si>
  <si>
    <t>CLM057034TN</t>
  </si>
  <si>
    <t>NCFLV41A47292EW13</t>
  </si>
  <si>
    <t>GAFLK35A&amp;B02379ET</t>
  </si>
  <si>
    <t>SSDAL210722</t>
  </si>
  <si>
    <t>GAFLS75A64595WE11</t>
  </si>
  <si>
    <t>HMST13198GA</t>
  </si>
  <si>
    <t>GAFL1AF474501357</t>
  </si>
  <si>
    <t>H912126</t>
  </si>
  <si>
    <t>SSLAL39041</t>
  </si>
  <si>
    <t>H46788FL8R</t>
  </si>
  <si>
    <t xml:space="preserve">Applegate </t>
  </si>
  <si>
    <t>399 Circle Drive Deland FL 32724</t>
  </si>
  <si>
    <t>GEO1632062</t>
  </si>
  <si>
    <t>WHC033084GAAC</t>
  </si>
  <si>
    <t>GEO1632063</t>
  </si>
  <si>
    <t>WHCO33085GAAC</t>
  </si>
  <si>
    <t>Westchester</t>
  </si>
  <si>
    <t>Premium Breakdown</t>
  </si>
  <si>
    <t>PROPERTY - 4 LAYERS</t>
  </si>
  <si>
    <t>PROP</t>
  </si>
  <si>
    <t>GENERAL</t>
  </si>
  <si>
    <t>GL</t>
  </si>
  <si>
    <t>EXCESS</t>
  </si>
  <si>
    <t>TOTAL</t>
  </si>
  <si>
    <t>Fund</t>
  </si>
  <si>
    <t>Street Address</t>
  </si>
  <si>
    <t>City</t>
  </si>
  <si>
    <t>ST</t>
  </si>
  <si>
    <t>Zip</t>
  </si>
  <si>
    <t>LAYER 1    5M</t>
  </si>
  <si>
    <t>LAYER 2    5M</t>
  </si>
  <si>
    <t>LAYER 3    20M</t>
  </si>
  <si>
    <t>LAYER 4    22M</t>
  </si>
  <si>
    <t>TRIA</t>
  </si>
  <si>
    <t>LIABILITY</t>
  </si>
  <si>
    <t>BY ENTITY</t>
  </si>
  <si>
    <t>Property Insurance</t>
  </si>
  <si>
    <t>General Liability Insurance</t>
  </si>
  <si>
    <t>Excess Liability Insurance</t>
  </si>
  <si>
    <t>Terrorism Liability Insurance</t>
  </si>
  <si>
    <t>Jadian 1</t>
  </si>
  <si>
    <t>Southgate MHC LLC</t>
  </si>
  <si>
    <t xml:space="preserve">8817 N Atlantic Ave Cape </t>
  </si>
  <si>
    <t xml:space="preserve">Canaveral </t>
  </si>
  <si>
    <t>FL</t>
  </si>
  <si>
    <t>Updated invoice to be sent to Key Bank by IOA</t>
  </si>
  <si>
    <t>J BAR J TRAILER RANCH</t>
  </si>
  <si>
    <t xml:space="preserve">2980 NW 79th Street   </t>
  </si>
  <si>
    <t>Miami</t>
  </si>
  <si>
    <t>Congress MHC LLC</t>
  </si>
  <si>
    <t xml:space="preserve">1960 N Congress Ave  </t>
  </si>
  <si>
    <t>West Palm Beach</t>
  </si>
  <si>
    <t>Shady Oaks Mobile Home Park</t>
  </si>
  <si>
    <t xml:space="preserve">14701 NE 6 Ave   </t>
  </si>
  <si>
    <t>Lake Saunders MHC LLC</t>
  </si>
  <si>
    <t xml:space="preserve">4301 N Highway 19A     </t>
  </si>
  <si>
    <t xml:space="preserve">Mount Dora </t>
  </si>
  <si>
    <t>Applegate MH Community LLC</t>
  </si>
  <si>
    <t xml:space="preserve">399 Circle Dr    </t>
  </si>
  <si>
    <t>Deland</t>
  </si>
  <si>
    <t>Central MHC LLC</t>
  </si>
  <si>
    <t xml:space="preserve"> 810 Peachtreet Street   </t>
  </si>
  <si>
    <t xml:space="preserve">Cocoa </t>
  </si>
  <si>
    <t>Harbour Mobile Home Park LLC</t>
  </si>
  <si>
    <t xml:space="preserve">821 Peachtreet Street </t>
  </si>
  <si>
    <t>Cocoa</t>
  </si>
  <si>
    <t>Sea Shells MHP</t>
  </si>
  <si>
    <t xml:space="preserve"> 51 Hitching Post Road     </t>
  </si>
  <si>
    <t xml:space="preserve">Cape   Canaveral </t>
  </si>
  <si>
    <t>Tradewinds MHC LLC</t>
  </si>
  <si>
    <t>4100 N Cocoa Blvd</t>
  </si>
  <si>
    <t xml:space="preserve"> Cocoa</t>
  </si>
  <si>
    <t>Palm Haven Estates</t>
  </si>
  <si>
    <t xml:space="preserve">268 Nelle Ave </t>
  </si>
  <si>
    <t>Panama City</t>
  </si>
  <si>
    <t>River Oaks RV Resort LLC</t>
  </si>
  <si>
    <t>201 Stephens Road</t>
  </si>
  <si>
    <t>Ruskin</t>
  </si>
  <si>
    <t>Whispering Pines LLC</t>
  </si>
  <si>
    <t xml:space="preserve">359 Cheney Highway       </t>
  </si>
  <si>
    <t>Titusville</t>
  </si>
  <si>
    <t xml:space="preserve">4247 SE 25th Drive     </t>
  </si>
  <si>
    <t>Okeechobee</t>
  </si>
  <si>
    <t xml:space="preserve">Silver Breeze MHP LLC               </t>
  </si>
  <si>
    <t xml:space="preserve">925 Cheney Hwy   </t>
  </si>
  <si>
    <t xml:space="preserve">Titusville </t>
  </si>
  <si>
    <t>Invoice on hand to be paid</t>
  </si>
  <si>
    <t>Harson Inc DBA Paradise Lakes Travel Trailer Park</t>
  </si>
  <si>
    <t xml:space="preserve">1571 Doyle RD  </t>
  </si>
  <si>
    <t xml:space="preserve">Deltona </t>
  </si>
  <si>
    <t>Lucky Clover Mobile Home &amp; RV Park</t>
  </si>
  <si>
    <t xml:space="preserve"> 635 E Eau Gallie Blvd  </t>
  </si>
  <si>
    <t>Melbourne</t>
  </si>
  <si>
    <t>Carley's Mobile Home Park LLC</t>
  </si>
  <si>
    <t>4111 NW 37th Avenue</t>
  </si>
  <si>
    <t>Riviera Park MHC LLC</t>
  </si>
  <si>
    <t>19900 nw 37TH Ave</t>
  </si>
  <si>
    <t>Miami Gardens</t>
  </si>
  <si>
    <t>Triple S Marina LLC DBA Triple S Marina Village</t>
  </si>
  <si>
    <t xml:space="preserve">1511 E Ft Macon Rd </t>
  </si>
  <si>
    <t xml:space="preserve"> Atlantic Beach</t>
  </si>
  <si>
    <t>NC</t>
  </si>
  <si>
    <t xml:space="preserve">Belle Haven MHC </t>
  </si>
  <si>
    <t>27554 US Highway</t>
  </si>
  <si>
    <t>Clearwater</t>
  </si>
  <si>
    <t>Other</t>
  </si>
  <si>
    <t>Hunter Springs</t>
  </si>
  <si>
    <t xml:space="preserve">316 NE 2nd Ave  </t>
  </si>
  <si>
    <t>Crystal River</t>
  </si>
  <si>
    <t>Paid in full by Parakeet and confirmed received by IOA</t>
  </si>
  <si>
    <t>Crystal Acres</t>
  </si>
  <si>
    <t>2850 N Crede Ave</t>
  </si>
  <si>
    <t xml:space="preserve">A2Z Communities </t>
  </si>
  <si>
    <t>Palm Springs Estates</t>
  </si>
  <si>
    <t xml:space="preserve">40110 US Hwy 19 </t>
  </si>
  <si>
    <t>Tapron Springs</t>
  </si>
  <si>
    <t>Valley National does not escrow, Parakeet to send directly</t>
  </si>
  <si>
    <t>Ormand Beach Oasis(Arroyo)</t>
  </si>
  <si>
    <t>855 Nova Road</t>
  </si>
  <si>
    <t>Ormond Beach</t>
  </si>
  <si>
    <t>Fl</t>
  </si>
  <si>
    <t>Ormand Beach Oasis</t>
  </si>
  <si>
    <t>955 S Nova Road</t>
  </si>
  <si>
    <t>855 &amp; 955S Nova Road</t>
  </si>
  <si>
    <t>Westwood Mobile Home Park</t>
  </si>
  <si>
    <t>1804 Nelson Ave</t>
  </si>
  <si>
    <t>Paid in full by escrow and confirmed received by IOA</t>
  </si>
  <si>
    <t>Town &amp; Country Mobile Home Park</t>
  </si>
  <si>
    <t>7835 Morse Ave</t>
  </si>
  <si>
    <t xml:space="preserve">Jacksonville </t>
  </si>
  <si>
    <t>Lake Wales Mobile Home Park LLC</t>
  </si>
  <si>
    <t>705 N Scenic Highway</t>
  </si>
  <si>
    <t>Lake Wales</t>
  </si>
  <si>
    <t>Wolf Bay MHP, LLC</t>
  </si>
  <si>
    <t>9741 Wilson Road</t>
  </si>
  <si>
    <t>Elberta</t>
  </si>
  <si>
    <t>AL</t>
  </si>
  <si>
    <t xml:space="preserve">9741 Wilson Road </t>
  </si>
  <si>
    <t>Bay Oaks Village I MHP, LLC</t>
  </si>
  <si>
    <t>409 School Ave</t>
  </si>
  <si>
    <t xml:space="preserve">Panama City </t>
  </si>
  <si>
    <t>Bay Oaks Village II MHP LLC</t>
  </si>
  <si>
    <t xml:space="preserve">Gulf Breeze Mobile Home Park </t>
  </si>
  <si>
    <t>7530 Maryland Ave</t>
  </si>
  <si>
    <t>Hudson</t>
  </si>
  <si>
    <t>Monson MHC LLC</t>
  </si>
  <si>
    <t xml:space="preserve">268 Palmer Road    </t>
  </si>
  <si>
    <t>Monson</t>
  </si>
  <si>
    <t>MA</t>
  </si>
  <si>
    <t>Trimont check in mail for property premiums, IOA to provide Parakeet invoices for remaining balance (excess liability, general liability, TRIA)</t>
  </si>
  <si>
    <t xml:space="preserve">Whispering Pines MHC MA LLC                     </t>
  </si>
  <si>
    <t xml:space="preserve">47 Washington Street   </t>
  </si>
  <si>
    <t>Auburn</t>
  </si>
  <si>
    <t>American MHC LLC</t>
  </si>
  <si>
    <t xml:space="preserve">751 Washington St  </t>
  </si>
  <si>
    <t xml:space="preserve">Henderson's MHC LLC                                </t>
  </si>
  <si>
    <t xml:space="preserve">950 Old US Highway 27 N  </t>
  </si>
  <si>
    <t>South Bay</t>
  </si>
  <si>
    <t xml:space="preserve">Grove Banyan Properties LLC DBA Nalls Court MHC         </t>
  </si>
  <si>
    <t xml:space="preserve">1002 &amp; 1009 Nall Road   </t>
  </si>
  <si>
    <t>Clewiston</t>
  </si>
  <si>
    <t>Ocean Aire MHP</t>
  </si>
  <si>
    <t xml:space="preserve">1311 Turnbull Street    </t>
  </si>
  <si>
    <t>New Smyrna Beach</t>
  </si>
  <si>
    <t>Grove Banyan Properties LLC DBA Royal Palm MHP</t>
  </si>
  <si>
    <t>700 E Ventura Ave</t>
  </si>
  <si>
    <t xml:space="preserve">Grove Banyan Properties LLC DBA Everglade MHC               </t>
  </si>
  <si>
    <t xml:space="preserve">500 S Francisco Street  </t>
  </si>
  <si>
    <t>Mayflower Hills MHP</t>
  </si>
  <si>
    <t xml:space="preserve"> 1 Patriot Circle                          </t>
  </si>
  <si>
    <t>Plymouth</t>
  </si>
  <si>
    <t>IOA to send invoice to Capital One for premium to be paid out of escrow</t>
  </si>
  <si>
    <t>Geiger Key Resort Propco LLC</t>
  </si>
  <si>
    <t>3 Geiger Rd &amp; 5 Geiger Rd</t>
  </si>
  <si>
    <t>Key West</t>
  </si>
  <si>
    <t xml:space="preserve">FL  </t>
  </si>
  <si>
    <t xml:space="preserve">Parakeet II </t>
  </si>
  <si>
    <t>Brunswick Estates, LLC</t>
  </si>
  <si>
    <t>21 Gressel Circle</t>
  </si>
  <si>
    <t>Brunswick</t>
  </si>
  <si>
    <t>GA</t>
  </si>
  <si>
    <t xml:space="preserve">Shady Acres LLC </t>
  </si>
  <si>
    <t>54 Holtz Rd</t>
  </si>
  <si>
    <t>Druid Oaks LLC</t>
  </si>
  <si>
    <t>4240 US 17</t>
  </si>
  <si>
    <t>Redlands Mobile Home Park, LLC</t>
  </si>
  <si>
    <t>810 8th St.</t>
  </si>
  <si>
    <t>Vero Beach</t>
  </si>
  <si>
    <t>Su-Rene Park, LLC</t>
  </si>
  <si>
    <t>17360 SW 232ND St</t>
  </si>
  <si>
    <t>Paradise Palms, LLC</t>
  </si>
  <si>
    <t>3710 Old Tampa Highway</t>
  </si>
  <si>
    <t>Lakeland</t>
  </si>
  <si>
    <t>Auburn Manor Mobile Home Park LLC</t>
  </si>
  <si>
    <t>275 Carter Road</t>
  </si>
  <si>
    <t>Oakside MHP</t>
  </si>
  <si>
    <t xml:space="preserve">134 Oakside Dr. </t>
  </si>
  <si>
    <t>Goose Creek</t>
  </si>
  <si>
    <t>SC</t>
  </si>
  <si>
    <t>Parakeet II</t>
  </si>
  <si>
    <t>Green Pointe MHC LLC</t>
  </si>
  <si>
    <t>143 Greenpoint Dr.</t>
  </si>
  <si>
    <t>Summerville</t>
  </si>
  <si>
    <t>Parkwood Mobile Home Park LLC</t>
  </si>
  <si>
    <t>3118 Dudley Rd</t>
  </si>
  <si>
    <t>West Columbia</t>
  </si>
  <si>
    <t>Hershey Park LLC</t>
  </si>
  <si>
    <t>864 Orangeburg Road</t>
  </si>
  <si>
    <t xml:space="preserve"> </t>
  </si>
  <si>
    <t>GREAT OAKS    4-29-25</t>
  </si>
  <si>
    <t>Below is an annual estimate in red - actual issuance will be pro-rated from 4-29-25 to 4-22-26</t>
  </si>
  <si>
    <t>JP Dental Enterprises DBA Great Oak RV Resort</t>
  </si>
  <si>
    <t>4440 Yowell Road </t>
  </si>
  <si>
    <t>Kissimmee</t>
  </si>
  <si>
    <t>55,167 paid on file</t>
  </si>
  <si>
    <t>ENDORSEMENT HAS COME IN -----&gt;</t>
  </si>
  <si>
    <t>TRIA (PROP)</t>
  </si>
  <si>
    <t>GENERAL LIABILITY</t>
  </si>
  <si>
    <t>TRIA (GL)</t>
  </si>
  <si>
    <t>EXCESS LIABILITY</t>
  </si>
  <si>
    <t>County</t>
  </si>
  <si>
    <t>Bldg Description</t>
  </si>
  <si>
    <r>
      <t xml:space="preserve">BUILDING </t>
    </r>
    <r>
      <rPr>
        <sz val="11"/>
        <rFont val="Calibri"/>
        <family val="2"/>
      </rPr>
      <t>Limit</t>
    </r>
  </si>
  <si>
    <r>
      <t xml:space="preserve">INCOME </t>
    </r>
    <r>
      <rPr>
        <sz val="11"/>
        <rFont val="Calibri"/>
        <family val="2"/>
      </rPr>
      <t>Limit</t>
    </r>
  </si>
  <si>
    <t>BPP</t>
  </si>
  <si>
    <r>
      <t xml:space="preserve">Outdoor Property </t>
    </r>
    <r>
      <rPr>
        <sz val="11"/>
        <rFont val="Calibri"/>
        <family val="2"/>
      </rPr>
      <t xml:space="preserve"> Limit</t>
    </r>
  </si>
  <si>
    <t>TIV (Total Values)</t>
  </si>
  <si>
    <t>Total Pad Sites</t>
  </si>
  <si>
    <t>PER BUILDING</t>
  </si>
  <si>
    <t>PER PAD SITES</t>
  </si>
  <si>
    <t>PADS BY ENTITY</t>
  </si>
  <si>
    <t>PER PADS AT LOCATION</t>
  </si>
  <si>
    <t>Single Family Dwelling Area</t>
  </si>
  <si>
    <t>Pool Jacuzzi</t>
  </si>
  <si>
    <t>Square Feet</t>
  </si>
  <si>
    <t>Year Built</t>
  </si>
  <si>
    <t>Roof Year</t>
  </si>
  <si>
    <t>Mechanicals Year Upgraded</t>
  </si>
  <si>
    <t>Construction Type</t>
  </si>
  <si>
    <t>Stories</t>
  </si>
  <si>
    <t>Sprinklered</t>
  </si>
  <si>
    <t>Alarm</t>
  </si>
  <si>
    <t>Flood Zone</t>
  </si>
  <si>
    <t>Wind Zone</t>
  </si>
  <si>
    <t>Lender</t>
  </si>
  <si>
    <t>Cape Canaveral</t>
  </si>
  <si>
    <t>Laundry</t>
  </si>
  <si>
    <t>Frame</t>
  </si>
  <si>
    <t>No</t>
  </si>
  <si>
    <t>X</t>
  </si>
  <si>
    <t>KeyBank, as Primary Servicer, on behalf of Midland Loan Services, a Division of PNC Bank, National Association, as Master Servicer, on behalf of Computershare Trust Company, National Association, as Trustee, on behalf of the registered Holders of BMO 2024-C9 Mortgage Trust, Commercial Mortgage Pass Through Certificates, Series 2024-C9 and the Uncertificated Interest Owners</t>
  </si>
  <si>
    <t>Bathouse</t>
  </si>
  <si>
    <t>11501 Outlook Street  Ste 300  Overland Park, KS  66211</t>
  </si>
  <si>
    <t>Citrus</t>
  </si>
  <si>
    <t>Office</t>
  </si>
  <si>
    <t>JM</t>
  </si>
  <si>
    <t>AE</t>
  </si>
  <si>
    <t>Tier 1</t>
  </si>
  <si>
    <t>Shed</t>
  </si>
  <si>
    <t>Miami-Dade</t>
  </si>
  <si>
    <t>AH</t>
  </si>
  <si>
    <t>Palm Beach</t>
  </si>
  <si>
    <t>SFH(Breton Place)</t>
  </si>
  <si>
    <t>MNC</t>
  </si>
  <si>
    <t>No Real Property</t>
  </si>
  <si>
    <t>KeyBank, as Primary Servicer, on behalf of Midland Loan Services, a Division of PNC Bank, National Association, as Master Servicer, on behalf of Computershare Trust Company, National Association, as Trustee, on behalf of the registered Holders of BMO 2024-C9 Mortgage Trust, Commercial Mortgage Pass Through Certificates, Series 2024-C9 and the Uncertificated Interest Owners 11501 Outlook Street  Ste 300  Overland Park, KS  66211</t>
  </si>
  <si>
    <t>Lake</t>
  </si>
  <si>
    <t>SFH</t>
  </si>
  <si>
    <t>Battery Operated Smoke Alarms</t>
  </si>
  <si>
    <t>Store(Music)</t>
  </si>
  <si>
    <t>Volusia</t>
  </si>
  <si>
    <t>Battery Operated Smoke Detector</t>
  </si>
  <si>
    <t>Brevard</t>
  </si>
  <si>
    <t>Repair Shop</t>
  </si>
  <si>
    <t>Storage</t>
  </si>
  <si>
    <t xml:space="preserve">Shop/Maintenance Shed </t>
  </si>
  <si>
    <t>Laundry/Storage</t>
  </si>
  <si>
    <t>Apartment (4 units)</t>
  </si>
  <si>
    <t>Bay</t>
  </si>
  <si>
    <t>Mobile Home Rented to Others (7)</t>
  </si>
  <si>
    <t>various</t>
  </si>
  <si>
    <t>Metal</t>
  </si>
  <si>
    <t>Hillsborough</t>
  </si>
  <si>
    <t>Restrooms</t>
  </si>
  <si>
    <t>Rec Bldg</t>
  </si>
  <si>
    <t>Yes</t>
  </si>
  <si>
    <t>SFH LRO</t>
  </si>
  <si>
    <t>Pinallas</t>
  </si>
  <si>
    <t xml:space="preserve"> Office</t>
  </si>
  <si>
    <t>Valusia</t>
  </si>
  <si>
    <t xml:space="preserve">No </t>
  </si>
  <si>
    <t>Duval</t>
  </si>
  <si>
    <t>Utility Building</t>
  </si>
  <si>
    <t>A2Z Communities</t>
  </si>
  <si>
    <t>Polk</t>
  </si>
  <si>
    <t>Baldwin</t>
  </si>
  <si>
    <t>Pasco</t>
  </si>
  <si>
    <t>GL only</t>
  </si>
  <si>
    <t>Hampden</t>
  </si>
  <si>
    <t>SFH Dwelling (2)</t>
  </si>
  <si>
    <t>RRA Real Estate Debt Fund II  Subsidiary 2, LLC 5050 N 40th Street Suite 340  Phoenix AZ  85018</t>
  </si>
  <si>
    <t>Office/Shed</t>
  </si>
  <si>
    <t>Worcester</t>
  </si>
  <si>
    <t>Property in Open</t>
  </si>
  <si>
    <t xml:space="preserve">Laundry </t>
  </si>
  <si>
    <t>Property in the Open</t>
  </si>
  <si>
    <t>MCE Re Holdings Li LLC and it's Successors and/or Assigns  520 Madison Ave  Suite 3501  New York, NY  10022</t>
  </si>
  <si>
    <t>Clubhouse</t>
  </si>
  <si>
    <t>Bathhouse/Laundry</t>
  </si>
  <si>
    <t>Gift Shop</t>
  </si>
  <si>
    <t>Bathroom/Showers</t>
  </si>
  <si>
    <t>Masonry</t>
  </si>
  <si>
    <t>Laundry For Tenants</t>
  </si>
  <si>
    <t>Waste Water Treatment Plant</t>
  </si>
  <si>
    <t>Club Houses</t>
  </si>
  <si>
    <t>Parakeet Lender 1 LLC, Parakeet Lender 2 LLC ISAOA/ATIMA c/o Madison Realty Capital   520 Madison Ave   Suite 3501  New York, NY  10022</t>
  </si>
  <si>
    <t>Office/Clubhouse</t>
  </si>
  <si>
    <t>Main House(Brown House Unit)</t>
  </si>
  <si>
    <t>White House(Unit SFH-3) Park Owned</t>
  </si>
  <si>
    <t>Double Wide Trailer/Park Owned</t>
  </si>
  <si>
    <t>Ice House/Storage Garage</t>
  </si>
  <si>
    <t>Pavillion Storage &amp; Bathroom</t>
  </si>
  <si>
    <t>Laundry #1</t>
  </si>
  <si>
    <t>Laundry #2/Storage</t>
  </si>
  <si>
    <t>1 to 10 Units-Apartments with Mercantile</t>
  </si>
  <si>
    <t>UBS AG, by and through its branch office at 1285 Avenue f the Americas, New York  C/O Midland Loan Services  PO Box 25965  Shawnee Mission, KS  66225</t>
  </si>
  <si>
    <t>Apts</t>
  </si>
  <si>
    <t>Maintenance Shed(42143 Old US Hwy)</t>
  </si>
  <si>
    <t>Hendry</t>
  </si>
  <si>
    <t xml:space="preserve">Frame </t>
  </si>
  <si>
    <t>Clubhouse (Including Exercise Room)</t>
  </si>
  <si>
    <t>Office/Clubhouse/Laundry</t>
  </si>
  <si>
    <t>Carteret</t>
  </si>
  <si>
    <t>Office/Store</t>
  </si>
  <si>
    <t>Pinellas</t>
  </si>
  <si>
    <t>Office/Rec Hall</t>
  </si>
  <si>
    <t>Laundry Building</t>
  </si>
  <si>
    <t>Glynn</t>
  </si>
  <si>
    <t>Storage Building</t>
  </si>
  <si>
    <t>WSFB Lender II, LP ISAOA, ATIMA c/o Covenant Risk Advisors, Inc.  PO BOX 188,  Powder Springs, GA 30127</t>
  </si>
  <si>
    <t>Maintenance Shop</t>
  </si>
  <si>
    <t>Single Family Home 1</t>
  </si>
  <si>
    <t>Single Family Home 2</t>
  </si>
  <si>
    <t>Undeveloped Land Per Rec's</t>
  </si>
  <si>
    <t>Mobile Home</t>
  </si>
  <si>
    <t>TBD</t>
  </si>
  <si>
    <t xml:space="preserve">Redlands Mobile Home Park, LLC &amp; Su-Rene Park, LLC </t>
  </si>
  <si>
    <t>Indian River</t>
  </si>
  <si>
    <t>Community Center</t>
  </si>
  <si>
    <t>bldg 1</t>
  </si>
  <si>
    <t>bldg 2</t>
  </si>
  <si>
    <t>Gwynett &amp; Barrow</t>
  </si>
  <si>
    <t>Duplex</t>
  </si>
  <si>
    <t>Office   (add)</t>
  </si>
  <si>
    <t>Berkely</t>
  </si>
  <si>
    <t xml:space="preserve">5 Geiger Rd.  </t>
  </si>
  <si>
    <t>Monroe</t>
  </si>
  <si>
    <t>Vacant Building</t>
  </si>
  <si>
    <t>First State Bank of the Florida Keys ISAOA ATIMA 3740 Executive Way, Miramar, FL  33025</t>
  </si>
  <si>
    <t>Geiger Key Fish Camp OPCO, LLC dba</t>
  </si>
  <si>
    <t>Geiger Key Fish Camp</t>
  </si>
  <si>
    <t>Restaurant</t>
  </si>
  <si>
    <t>3 Geiger Rd</t>
  </si>
  <si>
    <t>Dorchester</t>
  </si>
  <si>
    <t>Tier 2</t>
  </si>
  <si>
    <t>Lexington</t>
  </si>
  <si>
    <t>no</t>
  </si>
  <si>
    <t>Fox Creek LLC</t>
  </si>
  <si>
    <t>491 Chapman Rd</t>
  </si>
  <si>
    <t>Fountain Inn</t>
  </si>
  <si>
    <t xml:space="preserve">Great Oak Rv </t>
  </si>
  <si>
    <t>4440 Yowell Road</t>
  </si>
  <si>
    <t xml:space="preserve">Northgate </t>
  </si>
  <si>
    <t>3277 1st Ave</t>
  </si>
  <si>
    <t>Mims</t>
  </si>
  <si>
    <t>Terrace Crossings</t>
  </si>
  <si>
    <t>9901 E Fowler Ave</t>
  </si>
  <si>
    <t>Thonotosassa</t>
  </si>
  <si>
    <t>10321 Main St</t>
  </si>
  <si>
    <t>Windward Knoll</t>
  </si>
  <si>
    <t>12415 Thonotosassa Rd</t>
  </si>
  <si>
    <t>3615 Percival Road</t>
  </si>
  <si>
    <t>Columbia</t>
  </si>
  <si>
    <t xml:space="preserve">Riverwalk </t>
  </si>
  <si>
    <t>8518 Gibsonton Dr</t>
  </si>
  <si>
    <t>Gibsonton</t>
  </si>
  <si>
    <t>Shell Pointe</t>
  </si>
  <si>
    <t>1112 W Shell Point Rd</t>
  </si>
  <si>
    <t>Walton Revised</t>
  </si>
  <si>
    <t>Verify Line1--&gt;</t>
  </si>
  <si>
    <t>Previous</t>
  </si>
  <si>
    <t>Verify Line2 --&gt;</t>
  </si>
  <si>
    <t>Difference</t>
  </si>
  <si>
    <t>Walton Refi Additional Values</t>
  </si>
  <si>
    <t>Avg Rate</t>
  </si>
  <si>
    <t>BY FUND</t>
  </si>
  <si>
    <t>Total</t>
  </si>
  <si>
    <t>After  -25k (Geiger)</t>
  </si>
  <si>
    <t>GEIGER REDUCTION</t>
  </si>
  <si>
    <r>
      <rPr>
        <sz val="11"/>
        <color rgb="FFFF0000"/>
        <rFont val="Aptos Narrow (Body)"/>
      </rPr>
      <t xml:space="preserve">Note: </t>
    </r>
    <r>
      <rPr>
        <sz val="11"/>
        <color theme="1"/>
        <rFont val="Aptos Narrow"/>
        <family val="2"/>
        <scheme val="minor"/>
      </rPr>
      <t xml:space="preserve">   The property total is 726,091.  However, that represents a credit of -26,250 that</t>
    </r>
  </si>
  <si>
    <t>Total with Geiger reduction</t>
  </si>
  <si>
    <t>belongs to Geiger only.  So the 26,250 was added to the 726,091 to get 752,341 and</t>
  </si>
  <si>
    <t>Take off Geiger  (add back in to total to calculate all other locations)</t>
  </si>
  <si>
    <t>the calculations were all done based on that - THEN the -26,250 was taken off Geiger by itself</t>
  </si>
  <si>
    <t>Total before Geiger Reduction</t>
  </si>
  <si>
    <t>to arrive at the correct 726,091</t>
  </si>
  <si>
    <t>Note the formula in Cell address P111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</si>
</sst>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0000"/>
    <numFmt numFmtId="167" formatCode="mm/dd/yy;@"/>
    <numFmt numFmtId="168" formatCode="&quot;$&quot;#,##0.0_);\(&quot;$&quot;#,##0.0\)"/>
    <numFmt numFmtId="169" formatCode="&quot;$&quot;#,##0"/>
    <numFmt numFmtId="170" formatCode="&quot;$&quot;#,##0.00"/>
  </numFmts>
  <fonts count="4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1"/>
      <name val="Aptos Narrow"/>
      <family val="2"/>
      <scheme val="minor"/>
    </font>
    <font>
      <b/>
      <sz val="10"/>
      <color rgb="FF000000"/>
      <name val="Calibri"/>
      <family val="2"/>
    </font>
    <font>
      <sz val="12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2"/>
      <color rgb="FF00B0F0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sz val="12"/>
      <color theme="8" tint="-0.249977111117893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2"/>
      <color rgb="FF7030A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rgb="FF0070C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0" tint="-0.249977111117893"/>
      <name val="Aptos Narrow"/>
      <family val="2"/>
      <scheme val="minor"/>
    </font>
    <font>
      <b/>
      <sz val="12"/>
      <color theme="0" tint="-0.249977111117893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1"/>
      <color rgb="FFFF0000"/>
      <name val="Aptos Narrow (Body)"/>
    </font>
    <font>
      <sz val="11"/>
      <color theme="0" tint="-0.34998626667073579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indexed="12"/>
      <name val="Aptos Narrow"/>
      <family val="2"/>
      <scheme val="minor"/>
    </font>
    <font>
      <sz val="12"/>
      <color theme="1"/>
      <name val="SegoeUIHistoric"/>
      <family val="2"/>
    </font>
    <font>
      <b/>
      <sz val="12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0432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432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0" fillId="0" borderId="0"/>
    <xf numFmtId="0" fontId="39" fillId="0" borderId="0"/>
  </cellStyleXfs>
  <cellXfs count="917">
    <xf numFmtId="0" fontId="0" fillId="0" borderId="0" xfId="0"/>
    <xf numFmtId="0" fontId="5" fillId="0" borderId="0" xfId="0" applyFont="1" applyAlignment="1">
      <alignment horizontal="left"/>
    </xf>
    <xf numFmtId="0" fontId="6" fillId="0" borderId="0" xfId="0" applyFont="1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right"/>
    </xf>
    <xf numFmtId="0" fontId="0" fillId="0" borderId="0" xfId="0" applyAlignment="1">
      <alignment horizontal="left"/>
    </xf>
    <xf numFmtId="14" fontId="5" fillId="0" borderId="0" xfId="0" applyNumberFormat="1" applyFont="1" applyAlignment="1">
      <alignment horizontal="left"/>
    </xf>
    <xf numFmtId="164" fontId="0" fillId="0" borderId="0" xfId="1" applyNumberFormat="1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8" fillId="0" borderId="2" xfId="0" applyFont="1" applyBorder="1" applyAlignment="1">
      <alignment horizontal="center" vertical="center" wrapText="1"/>
    </xf>
    <xf numFmtId="164" fontId="8" fillId="2" borderId="2" xfId="1" applyNumberFormat="1" applyFont="1" applyFill="1" applyBorder="1" applyAlignment="1">
      <alignment horizontal="right" vertical="center" wrapText="1"/>
    </xf>
    <xf numFmtId="0" fontId="11" fillId="3" borderId="3" xfId="3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4" fillId="5" borderId="4" xfId="0" applyFont="1" applyFill="1" applyBorder="1"/>
    <xf numFmtId="0" fontId="13" fillId="5" borderId="5" xfId="0" applyFont="1" applyFill="1" applyBorder="1" applyAlignment="1">
      <alignment horizontal="left" vertical="center"/>
    </xf>
    <xf numFmtId="0" fontId="13" fillId="5" borderId="4" xfId="0" applyFont="1" applyFill="1" applyBorder="1" applyAlignment="1">
      <alignment horizontal="left" vertical="center"/>
    </xf>
    <xf numFmtId="0" fontId="13" fillId="5" borderId="5" xfId="0" applyFont="1" applyFill="1" applyBorder="1" applyAlignment="1">
      <alignment horizontal="center" vertical="center"/>
    </xf>
    <xf numFmtId="0" fontId="14" fillId="5" borderId="6" xfId="0" applyFont="1" applyFill="1" applyBorder="1"/>
    <xf numFmtId="164" fontId="14" fillId="5" borderId="2" xfId="1" applyNumberFormat="1" applyFont="1" applyFill="1" applyBorder="1" applyAlignment="1">
      <alignment horizontal="right"/>
    </xf>
    <xf numFmtId="0" fontId="14" fillId="5" borderId="4" xfId="0" applyFont="1" applyFill="1" applyBorder="1" applyAlignment="1">
      <alignment horizontal="center"/>
    </xf>
    <xf numFmtId="0" fontId="0" fillId="5" borderId="4" xfId="0" applyFill="1" applyBorder="1"/>
    <xf numFmtId="0" fontId="14" fillId="0" borderId="0" xfId="0" applyFont="1"/>
    <xf numFmtId="0" fontId="14" fillId="5" borderId="7" xfId="0" applyFont="1" applyFill="1" applyBorder="1"/>
    <xf numFmtId="0" fontId="13" fillId="5" borderId="8" xfId="0" applyFont="1" applyFill="1" applyBorder="1" applyAlignment="1">
      <alignment horizontal="left" vertical="center"/>
    </xf>
    <xf numFmtId="0" fontId="13" fillId="5" borderId="7" xfId="0" applyFont="1" applyFill="1" applyBorder="1" applyAlignment="1">
      <alignment horizontal="left" vertical="center"/>
    </xf>
    <xf numFmtId="0" fontId="13" fillId="5" borderId="8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/>
    </xf>
    <xf numFmtId="0" fontId="0" fillId="5" borderId="7" xfId="0" applyFill="1" applyBorder="1"/>
    <xf numFmtId="0" fontId="6" fillId="0" borderId="6" xfId="0" applyFont="1" applyBorder="1"/>
    <xf numFmtId="0" fontId="15" fillId="0" borderId="9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5" fillId="0" borderId="9" xfId="0" applyFont="1" applyBorder="1" applyAlignment="1">
      <alignment horizontal="center" vertical="center"/>
    </xf>
    <xf numFmtId="0" fontId="0" fillId="0" borderId="6" xfId="0" applyBorder="1"/>
    <xf numFmtId="0" fontId="15" fillId="0" borderId="7" xfId="0" applyFont="1" applyBorder="1"/>
    <xf numFmtId="164" fontId="0" fillId="0" borderId="2" xfId="1" applyNumberFormat="1" applyFont="1" applyBorder="1" applyAlignment="1">
      <alignment horizontal="right"/>
    </xf>
    <xf numFmtId="0" fontId="0" fillId="0" borderId="6" xfId="0" applyBorder="1" applyAlignment="1">
      <alignment horizontal="center"/>
    </xf>
    <xf numFmtId="0" fontId="6" fillId="0" borderId="7" xfId="0" applyFont="1" applyBorder="1"/>
    <xf numFmtId="0" fontId="0" fillId="0" borderId="8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13" fillId="5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164" fontId="14" fillId="0" borderId="2" xfId="1" applyNumberFormat="1" applyFont="1" applyBorder="1" applyAlignment="1">
      <alignment horizontal="right"/>
    </xf>
    <xf numFmtId="0" fontId="14" fillId="0" borderId="4" xfId="0" applyFont="1" applyBorder="1" applyAlignment="1">
      <alignment horizontal="center"/>
    </xf>
    <xf numFmtId="0" fontId="0" fillId="0" borderId="4" xfId="0" applyBorder="1"/>
    <xf numFmtId="0" fontId="14" fillId="0" borderId="7" xfId="0" applyFont="1" applyBorder="1" applyAlignment="1">
      <alignment horizontal="center"/>
    </xf>
    <xf numFmtId="0" fontId="13" fillId="5" borderId="2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left" vertical="center"/>
    </xf>
    <xf numFmtId="0" fontId="13" fillId="5" borderId="6" xfId="0" applyFont="1" applyFill="1" applyBorder="1" applyAlignment="1">
      <alignment horizontal="left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7" xfId="0" applyFont="1" applyFill="1" applyBorder="1"/>
    <xf numFmtId="0" fontId="14" fillId="0" borderId="6" xfId="0" applyFont="1" applyBorder="1"/>
    <xf numFmtId="0" fontId="13" fillId="0" borderId="9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9" xfId="0" applyFont="1" applyBorder="1" applyAlignment="1">
      <alignment horizontal="center" vertical="center"/>
    </xf>
    <xf numFmtId="0" fontId="13" fillId="0" borderId="7" xfId="0" applyFont="1" applyBorder="1"/>
    <xf numFmtId="164" fontId="13" fillId="0" borderId="2" xfId="1" applyNumberFormat="1" applyFont="1" applyBorder="1" applyAlignment="1">
      <alignment horizontal="right"/>
    </xf>
    <xf numFmtId="0" fontId="13" fillId="0" borderId="6" xfId="0" applyFont="1" applyBorder="1" applyAlignment="1">
      <alignment horizontal="center"/>
    </xf>
    <xf numFmtId="0" fontId="14" fillId="0" borderId="9" xfId="0" applyFont="1" applyBorder="1"/>
    <xf numFmtId="0" fontId="13" fillId="0" borderId="4" xfId="0" applyFont="1" applyBorder="1"/>
    <xf numFmtId="0" fontId="14" fillId="0" borderId="7" xfId="0" applyFont="1" applyBorder="1"/>
    <xf numFmtId="0" fontId="13" fillId="5" borderId="5" xfId="0" applyFont="1" applyFill="1" applyBorder="1" applyAlignment="1">
      <alignment horizontal="left" vertical="center" wrapText="1"/>
    </xf>
    <xf numFmtId="0" fontId="13" fillId="5" borderId="4" xfId="0" applyFont="1" applyFill="1" applyBorder="1" applyAlignment="1">
      <alignment horizontal="left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4" xfId="0" applyFont="1" applyFill="1" applyBorder="1"/>
    <xf numFmtId="164" fontId="13" fillId="5" borderId="5" xfId="1" applyNumberFormat="1" applyFont="1" applyFill="1" applyBorder="1" applyAlignment="1">
      <alignment horizontal="right"/>
    </xf>
    <xf numFmtId="0" fontId="13" fillId="5" borderId="4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left"/>
    </xf>
    <xf numFmtId="0" fontId="13" fillId="5" borderId="8" xfId="0" applyFont="1" applyFill="1" applyBorder="1" applyAlignment="1">
      <alignment horizontal="left" vertical="center" wrapText="1"/>
    </xf>
    <xf numFmtId="0" fontId="13" fillId="5" borderId="7" xfId="0" applyFont="1" applyFill="1" applyBorder="1" applyAlignment="1">
      <alignment horizontal="left" vertical="center" wrapText="1"/>
    </xf>
    <xf numFmtId="0" fontId="13" fillId="5" borderId="8" xfId="0" applyFont="1" applyFill="1" applyBorder="1" applyAlignment="1">
      <alignment horizontal="center" vertical="center" wrapText="1"/>
    </xf>
    <xf numFmtId="164" fontId="13" fillId="5" borderId="8" xfId="1" applyNumberFormat="1" applyFont="1" applyFill="1" applyBorder="1" applyAlignment="1">
      <alignment horizontal="right"/>
    </xf>
    <xf numFmtId="0" fontId="13" fillId="5" borderId="7" xfId="0" applyFont="1" applyFill="1" applyBorder="1" applyAlignment="1">
      <alignment horizontal="center"/>
    </xf>
    <xf numFmtId="0" fontId="13" fillId="5" borderId="7" xfId="0" applyFont="1" applyFill="1" applyBorder="1" applyAlignment="1">
      <alignment horizontal="left"/>
    </xf>
    <xf numFmtId="0" fontId="13" fillId="0" borderId="9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center" vertical="center" wrapText="1"/>
    </xf>
    <xf numFmtId="164" fontId="13" fillId="0" borderId="8" xfId="1" applyNumberFormat="1" applyFont="1" applyFill="1" applyBorder="1" applyAlignment="1">
      <alignment horizontal="right"/>
    </xf>
    <xf numFmtId="0" fontId="13" fillId="0" borderId="7" xfId="0" applyFont="1" applyBorder="1" applyAlignment="1">
      <alignment horizontal="center"/>
    </xf>
    <xf numFmtId="0" fontId="13" fillId="0" borderId="7" xfId="0" applyFont="1" applyBorder="1" applyAlignment="1">
      <alignment horizontal="left"/>
    </xf>
    <xf numFmtId="164" fontId="14" fillId="0" borderId="2" xfId="1" applyNumberFormat="1" applyFont="1" applyFill="1" applyBorder="1" applyAlignment="1">
      <alignment horizontal="right"/>
    </xf>
    <xf numFmtId="0" fontId="13" fillId="0" borderId="4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center" vertical="center"/>
    </xf>
    <xf numFmtId="0" fontId="14" fillId="0" borderId="4" xfId="0" applyFont="1" applyBorder="1"/>
    <xf numFmtId="164" fontId="13" fillId="0" borderId="5" xfId="1" applyNumberFormat="1" applyFont="1" applyBorder="1" applyAlignment="1">
      <alignment horizontal="right"/>
    </xf>
    <xf numFmtId="0" fontId="13" fillId="0" borderId="4" xfId="0" applyFont="1" applyBorder="1" applyAlignment="1">
      <alignment horizontal="center"/>
    </xf>
    <xf numFmtId="0" fontId="13" fillId="0" borderId="4" xfId="0" applyFont="1" applyBorder="1" applyAlignment="1">
      <alignment horizontal="left"/>
    </xf>
    <xf numFmtId="0" fontId="13" fillId="0" borderId="7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164" fontId="13" fillId="0" borderId="8" xfId="1" applyNumberFormat="1" applyFont="1" applyBorder="1" applyAlignment="1">
      <alignment horizontal="right"/>
    </xf>
    <xf numFmtId="0" fontId="15" fillId="5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center" vertical="center" wrapText="1"/>
    </xf>
    <xf numFmtId="164" fontId="0" fillId="5" borderId="2" xfId="1" applyNumberFormat="1" applyFont="1" applyFill="1" applyBorder="1" applyAlignment="1">
      <alignment horizontal="right"/>
    </xf>
    <xf numFmtId="0" fontId="13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164" fontId="14" fillId="0" borderId="5" xfId="1" applyNumberFormat="1" applyFont="1" applyBorder="1" applyAlignment="1">
      <alignment horizontal="right"/>
    </xf>
    <xf numFmtId="0" fontId="13" fillId="0" borderId="8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center" vertical="center" wrapText="1"/>
    </xf>
    <xf numFmtId="164" fontId="14" fillId="0" borderId="8" xfId="1" applyNumberFormat="1" applyFont="1" applyBorder="1" applyAlignment="1">
      <alignment horizontal="right"/>
    </xf>
    <xf numFmtId="164" fontId="14" fillId="5" borderId="5" xfId="1" applyNumberFormat="1" applyFont="1" applyFill="1" applyBorder="1" applyAlignment="1">
      <alignment horizontal="right"/>
    </xf>
    <xf numFmtId="164" fontId="14" fillId="5" borderId="8" xfId="1" applyNumberFormat="1" applyFont="1" applyFill="1" applyBorder="1" applyAlignment="1">
      <alignment horizontal="right"/>
    </xf>
    <xf numFmtId="0" fontId="13" fillId="5" borderId="10" xfId="0" applyFont="1" applyFill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4" fillId="0" borderId="8" xfId="0" applyFont="1" applyBorder="1"/>
    <xf numFmtId="0" fontId="13" fillId="0" borderId="10" xfId="0" applyFont="1" applyBorder="1" applyAlignment="1">
      <alignment horizontal="center"/>
    </xf>
    <xf numFmtId="0" fontId="14" fillId="0" borderId="10" xfId="0" applyFont="1" applyBorder="1"/>
    <xf numFmtId="0" fontId="11" fillId="5" borderId="4" xfId="0" applyFont="1" applyFill="1" applyBorder="1"/>
    <xf numFmtId="0" fontId="0" fillId="5" borderId="5" xfId="0" applyFill="1" applyBorder="1"/>
    <xf numFmtId="0" fontId="0" fillId="5" borderId="11" xfId="0" applyFill="1" applyBorder="1" applyAlignment="1">
      <alignment horizontal="center"/>
    </xf>
    <xf numFmtId="0" fontId="0" fillId="5" borderId="11" xfId="0" applyFill="1" applyBorder="1"/>
    <xf numFmtId="0" fontId="15" fillId="5" borderId="6" xfId="0" applyFont="1" applyFill="1" applyBorder="1" applyAlignment="1">
      <alignment vertical="center"/>
    </xf>
    <xf numFmtId="0" fontId="15" fillId="5" borderId="9" xfId="0" applyFont="1" applyFill="1" applyBorder="1" applyAlignment="1">
      <alignment horizontal="left" vertical="center"/>
    </xf>
    <xf numFmtId="0" fontId="15" fillId="5" borderId="6" xfId="0" applyFont="1" applyFill="1" applyBorder="1" applyAlignment="1">
      <alignment horizontal="left" vertical="center"/>
    </xf>
    <xf numFmtId="0" fontId="15" fillId="5" borderId="9" xfId="0" applyFont="1" applyFill="1" applyBorder="1" applyAlignment="1">
      <alignment horizontal="center" vertical="center"/>
    </xf>
    <xf numFmtId="0" fontId="0" fillId="5" borderId="6" xfId="0" applyFill="1" applyBorder="1"/>
    <xf numFmtId="164" fontId="15" fillId="5" borderId="2" xfId="1" applyNumberFormat="1" applyFont="1" applyFill="1" applyBorder="1" applyAlignment="1">
      <alignment horizontal="right"/>
    </xf>
    <xf numFmtId="0" fontId="0" fillId="5" borderId="12" xfId="0" applyFill="1" applyBorder="1"/>
    <xf numFmtId="0" fontId="0" fillId="5" borderId="4" xfId="0" applyFill="1" applyBorder="1" applyAlignment="1">
      <alignment horizontal="left"/>
    </xf>
    <xf numFmtId="0" fontId="15" fillId="5" borderId="5" xfId="0" applyFont="1" applyFill="1" applyBorder="1" applyAlignment="1">
      <alignment horizontal="left" vertical="center"/>
    </xf>
    <xf numFmtId="0" fontId="15" fillId="5" borderId="4" xfId="0" applyFont="1" applyFill="1" applyBorder="1" applyAlignment="1">
      <alignment horizontal="left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/>
    </xf>
    <xf numFmtId="0" fontId="0" fillId="5" borderId="3" xfId="0" applyFill="1" applyBorder="1"/>
    <xf numFmtId="164" fontId="17" fillId="5" borderId="2" xfId="1" applyNumberFormat="1" applyFont="1" applyFill="1" applyBorder="1" applyAlignment="1">
      <alignment horizontal="right"/>
    </xf>
    <xf numFmtId="0" fontId="17" fillId="5" borderId="3" xfId="0" applyFont="1" applyFill="1" applyBorder="1" applyAlignment="1">
      <alignment horizontal="center"/>
    </xf>
    <xf numFmtId="0" fontId="16" fillId="5" borderId="3" xfId="0" applyFont="1" applyFill="1" applyBorder="1"/>
    <xf numFmtId="0" fontId="16" fillId="0" borderId="0" xfId="0" applyFont="1"/>
    <xf numFmtId="0" fontId="15" fillId="0" borderId="4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/>
    </xf>
    <xf numFmtId="164" fontId="15" fillId="0" borderId="2" xfId="1" applyNumberFormat="1" applyFont="1" applyFill="1" applyBorder="1" applyAlignment="1">
      <alignment horizontal="right"/>
    </xf>
    <xf numFmtId="0" fontId="15" fillId="0" borderId="11" xfId="0" applyFont="1" applyBorder="1" applyAlignment="1">
      <alignment horizontal="center"/>
    </xf>
    <xf numFmtId="0" fontId="0" fillId="0" borderId="11" xfId="0" applyBorder="1"/>
    <xf numFmtId="0" fontId="15" fillId="0" borderId="7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left" vertical="center"/>
    </xf>
    <xf numFmtId="0" fontId="15" fillId="0" borderId="10" xfId="0" applyFont="1" applyBorder="1" applyAlignment="1">
      <alignment horizontal="center"/>
    </xf>
    <xf numFmtId="0" fontId="0" fillId="0" borderId="10" xfId="0" applyBorder="1"/>
    <xf numFmtId="0" fontId="15" fillId="5" borderId="5" xfId="0" applyFont="1" applyFill="1" applyBorder="1" applyAlignment="1">
      <alignment horizontal="left" vertical="center" wrapText="1"/>
    </xf>
    <xf numFmtId="0" fontId="15" fillId="5" borderId="4" xfId="0" applyFont="1" applyFill="1" applyBorder="1" applyAlignment="1">
      <alignment horizontal="left" vertical="center" wrapText="1"/>
    </xf>
    <xf numFmtId="0" fontId="15" fillId="5" borderId="5" xfId="0" applyFont="1" applyFill="1" applyBorder="1" applyAlignment="1">
      <alignment horizontal="center" vertical="center" wrapText="1"/>
    </xf>
    <xf numFmtId="164" fontId="0" fillId="5" borderId="5" xfId="1" applyNumberFormat="1" applyFont="1" applyFill="1" applyBorder="1" applyAlignment="1">
      <alignment horizontal="right"/>
    </xf>
    <xf numFmtId="0" fontId="0" fillId="5" borderId="4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15" fillId="0" borderId="6" xfId="0" applyFont="1" applyBorder="1" applyAlignment="1">
      <alignment horizontal="left" vertical="center" wrapText="1"/>
    </xf>
    <xf numFmtId="0" fontId="0" fillId="0" borderId="9" xfId="0" applyBorder="1"/>
    <xf numFmtId="0" fontId="15" fillId="0" borderId="12" xfId="0" applyFont="1" applyBorder="1" applyAlignment="1">
      <alignment horizontal="center"/>
    </xf>
    <xf numFmtId="0" fontId="0" fillId="0" borderId="12" xfId="0" applyBorder="1"/>
    <xf numFmtId="164" fontId="13" fillId="5" borderId="2" xfId="1" applyNumberFormat="1" applyFont="1" applyFill="1" applyBorder="1" applyAlignment="1">
      <alignment horizontal="right"/>
    </xf>
    <xf numFmtId="0" fontId="13" fillId="5" borderId="11" xfId="0" applyFont="1" applyFill="1" applyBorder="1" applyAlignment="1">
      <alignment horizontal="center"/>
    </xf>
    <xf numFmtId="0" fontId="14" fillId="5" borderId="11" xfId="0" applyFont="1" applyFill="1" applyBorder="1"/>
    <xf numFmtId="0" fontId="13" fillId="5" borderId="6" xfId="0" applyFont="1" applyFill="1" applyBorder="1" applyAlignment="1">
      <alignment horizontal="left" vertical="center" wrapText="1"/>
    </xf>
    <xf numFmtId="0" fontId="14" fillId="5" borderId="9" xfId="0" applyFont="1" applyFill="1" applyBorder="1"/>
    <xf numFmtId="0" fontId="13" fillId="5" borderId="6" xfId="0" applyFont="1" applyFill="1" applyBorder="1" applyAlignment="1">
      <alignment horizontal="center"/>
    </xf>
    <xf numFmtId="0" fontId="14" fillId="5" borderId="8" xfId="0" applyFont="1" applyFill="1" applyBorder="1"/>
    <xf numFmtId="164" fontId="13" fillId="0" borderId="2" xfId="1" applyNumberFormat="1" applyFont="1" applyFill="1" applyBorder="1" applyAlignment="1">
      <alignment horizontal="right"/>
    </xf>
    <xf numFmtId="0" fontId="13" fillId="5" borderId="6" xfId="0" applyFont="1" applyFill="1" applyBorder="1"/>
    <xf numFmtId="0" fontId="13" fillId="0" borderId="6" xfId="0" applyFont="1" applyBorder="1"/>
    <xf numFmtId="0" fontId="0" fillId="5" borderId="9" xfId="0" applyFill="1" applyBorder="1"/>
    <xf numFmtId="0" fontId="0" fillId="5" borderId="6" xfId="0" applyFill="1" applyBorder="1" applyAlignment="1">
      <alignment horizontal="center"/>
    </xf>
    <xf numFmtId="0" fontId="15" fillId="5" borderId="4" xfId="0" applyFont="1" applyFill="1" applyBorder="1"/>
    <xf numFmtId="0" fontId="1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5" fillId="5" borderId="2" xfId="0" applyFont="1" applyFill="1" applyBorder="1" applyAlignment="1">
      <alignment horizontal="left" vertical="center"/>
    </xf>
    <xf numFmtId="0" fontId="15" fillId="5" borderId="2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left" vertical="center" wrapText="1"/>
    </xf>
    <xf numFmtId="0" fontId="13" fillId="5" borderId="9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vertical="center" wrapText="1"/>
    </xf>
    <xf numFmtId="1" fontId="13" fillId="5" borderId="6" xfId="0" applyNumberFormat="1" applyFont="1" applyFill="1" applyBorder="1" applyAlignment="1">
      <alignment horizontal="center"/>
    </xf>
    <xf numFmtId="0" fontId="19" fillId="0" borderId="4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19" fillId="0" borderId="5" xfId="0" applyFont="1" applyBorder="1" applyAlignment="1">
      <alignment horizontal="center" vertical="center"/>
    </xf>
    <xf numFmtId="164" fontId="20" fillId="0" borderId="2" xfId="1" applyNumberFormat="1" applyFont="1" applyFill="1" applyBorder="1" applyAlignment="1">
      <alignment horizontal="right"/>
    </xf>
    <xf numFmtId="0" fontId="20" fillId="0" borderId="4" xfId="0" applyFont="1" applyBorder="1" applyAlignment="1">
      <alignment horizontal="center"/>
    </xf>
    <xf numFmtId="0" fontId="20" fillId="0" borderId="0" xfId="0" applyFont="1"/>
    <xf numFmtId="0" fontId="19" fillId="0" borderId="6" xfId="0" applyFont="1" applyBorder="1" applyAlignment="1">
      <alignment horizontal="left" vertical="center"/>
    </xf>
    <xf numFmtId="0" fontId="20" fillId="0" borderId="9" xfId="0" applyFont="1" applyBorder="1"/>
    <xf numFmtId="0" fontId="20" fillId="0" borderId="6" xfId="0" applyFont="1" applyBorder="1"/>
    <xf numFmtId="0" fontId="20" fillId="0" borderId="7" xfId="0" applyFont="1" applyBorder="1" applyAlignment="1">
      <alignment horizontal="center"/>
    </xf>
    <xf numFmtId="0" fontId="20" fillId="0" borderId="7" xfId="0" applyFont="1" applyBorder="1"/>
    <xf numFmtId="0" fontId="20" fillId="0" borderId="12" xfId="0" applyFont="1" applyBorder="1" applyAlignment="1">
      <alignment horizontal="center"/>
    </xf>
    <xf numFmtId="0" fontId="20" fillId="0" borderId="12" xfId="0" applyFont="1" applyBorder="1"/>
    <xf numFmtId="0" fontId="20" fillId="0" borderId="7" xfId="0" applyFont="1" applyBorder="1" applyAlignment="1">
      <alignment horizontal="left"/>
    </xf>
    <xf numFmtId="0" fontId="19" fillId="0" borderId="7" xfId="0" applyFont="1" applyBorder="1" applyAlignment="1">
      <alignment horizontal="left" vertical="center"/>
    </xf>
    <xf numFmtId="0" fontId="20" fillId="0" borderId="8" xfId="0" applyFont="1" applyBorder="1"/>
    <xf numFmtId="0" fontId="20" fillId="0" borderId="10" xfId="0" applyFont="1" applyBorder="1" applyAlignment="1">
      <alignment horizontal="center"/>
    </xf>
    <xf numFmtId="0" fontId="20" fillId="0" borderId="10" xfId="0" applyFont="1" applyBorder="1"/>
    <xf numFmtId="0" fontId="19" fillId="5" borderId="4" xfId="0" applyFont="1" applyFill="1" applyBorder="1" applyAlignment="1">
      <alignment horizontal="left" vertical="center" wrapText="1"/>
    </xf>
    <xf numFmtId="0" fontId="19" fillId="5" borderId="5" xfId="0" applyFont="1" applyFill="1" applyBorder="1" applyAlignment="1">
      <alignment horizontal="left" vertical="center" wrapText="1"/>
    </xf>
    <xf numFmtId="0" fontId="19" fillId="5" borderId="5" xfId="0" applyFont="1" applyFill="1" applyBorder="1" applyAlignment="1">
      <alignment horizontal="center" vertical="center" wrapText="1"/>
    </xf>
    <xf numFmtId="0" fontId="19" fillId="5" borderId="4" xfId="0" applyFont="1" applyFill="1" applyBorder="1" applyAlignment="1">
      <alignment horizontal="left" vertical="center"/>
    </xf>
    <xf numFmtId="164" fontId="19" fillId="5" borderId="2" xfId="1" applyNumberFormat="1" applyFont="1" applyFill="1" applyBorder="1" applyAlignment="1">
      <alignment horizontal="right"/>
    </xf>
    <xf numFmtId="0" fontId="19" fillId="5" borderId="11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left"/>
    </xf>
    <xf numFmtId="0" fontId="19" fillId="5" borderId="6" xfId="0" applyFont="1" applyFill="1" applyBorder="1" applyAlignment="1">
      <alignment horizontal="left" vertical="center" wrapText="1"/>
    </xf>
    <xf numFmtId="0" fontId="19" fillId="5" borderId="9" xfId="0" applyFont="1" applyFill="1" applyBorder="1" applyAlignment="1">
      <alignment horizontal="left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0" fillId="5" borderId="8" xfId="0" applyFill="1" applyBorder="1"/>
    <xf numFmtId="0" fontId="20" fillId="0" borderId="4" xfId="0" applyFont="1" applyBorder="1" applyAlignment="1">
      <alignment horizontal="left"/>
    </xf>
    <xf numFmtId="0" fontId="20" fillId="0" borderId="4" xfId="0" applyFont="1" applyBorder="1"/>
    <xf numFmtId="0" fontId="19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20" fillId="5" borderId="4" xfId="0" applyFont="1" applyFill="1" applyBorder="1" applyAlignment="1">
      <alignment horizontal="left"/>
    </xf>
    <xf numFmtId="0" fontId="20" fillId="5" borderId="4" xfId="0" applyFont="1" applyFill="1" applyBorder="1"/>
    <xf numFmtId="0" fontId="19" fillId="5" borderId="4" xfId="0" applyFont="1" applyFill="1" applyBorder="1" applyAlignment="1">
      <alignment vertical="center" wrapText="1"/>
    </xf>
    <xf numFmtId="0" fontId="20" fillId="5" borderId="7" xfId="0" applyFont="1" applyFill="1" applyBorder="1" applyAlignment="1">
      <alignment horizontal="left"/>
    </xf>
    <xf numFmtId="0" fontId="20" fillId="5" borderId="7" xfId="0" applyFont="1" applyFill="1" applyBorder="1"/>
    <xf numFmtId="0" fontId="19" fillId="5" borderId="7" xfId="0" applyFont="1" applyFill="1" applyBorder="1" applyAlignment="1">
      <alignment vertical="center" wrapText="1"/>
    </xf>
    <xf numFmtId="0" fontId="19" fillId="5" borderId="10" xfId="0" applyFont="1" applyFill="1" applyBorder="1" applyAlignment="1">
      <alignment horizontal="center"/>
    </xf>
    <xf numFmtId="0" fontId="20" fillId="5" borderId="10" xfId="0" applyFont="1" applyFill="1" applyBorder="1"/>
    <xf numFmtId="0" fontId="19" fillId="0" borderId="5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4" xfId="0" applyFont="1" applyBorder="1" applyAlignment="1">
      <alignment vertical="center" wrapText="1"/>
    </xf>
    <xf numFmtId="164" fontId="19" fillId="0" borderId="2" xfId="1" applyNumberFormat="1" applyFont="1" applyFill="1" applyBorder="1" applyAlignment="1">
      <alignment horizontal="right"/>
    </xf>
    <xf numFmtId="0" fontId="19" fillId="0" borderId="9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7" xfId="0" applyFont="1" applyBorder="1" applyAlignment="1">
      <alignment vertical="center" wrapText="1"/>
    </xf>
    <xf numFmtId="0" fontId="19" fillId="5" borderId="2" xfId="0" applyFont="1" applyFill="1" applyBorder="1" applyAlignment="1">
      <alignment horizontal="left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20" fillId="0" borderId="9" xfId="0" applyFont="1" applyBorder="1" applyAlignment="1">
      <alignment horizontal="center"/>
    </xf>
    <xf numFmtId="165" fontId="20" fillId="0" borderId="0" xfId="2" applyNumberFormat="1" applyFont="1" applyFill="1" applyBorder="1"/>
    <xf numFmtId="0" fontId="18" fillId="0" borderId="0" xfId="0" applyFont="1"/>
    <xf numFmtId="0" fontId="22" fillId="0" borderId="0" xfId="0" applyFont="1"/>
    <xf numFmtId="14" fontId="0" fillId="0" borderId="0" xfId="0" applyNumberFormat="1" applyAlignment="1">
      <alignment horizontal="left"/>
    </xf>
    <xf numFmtId="164" fontId="4" fillId="0" borderId="0" xfId="1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1" fillId="0" borderId="0" xfId="0" applyFont="1"/>
    <xf numFmtId="0" fontId="0" fillId="6" borderId="0" xfId="0" applyFill="1" applyAlignment="1">
      <alignment horizontal="center"/>
    </xf>
    <xf numFmtId="0" fontId="14" fillId="6" borderId="4" xfId="0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/>
    </xf>
    <xf numFmtId="0" fontId="15" fillId="6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horizontal="center"/>
    </xf>
    <xf numFmtId="164" fontId="4" fillId="6" borderId="0" xfId="1" applyNumberFormat="1" applyFont="1" applyFill="1"/>
    <xf numFmtId="164" fontId="0" fillId="0" borderId="0" xfId="0" applyNumberFormat="1" applyAlignment="1">
      <alignment horizontal="center"/>
    </xf>
    <xf numFmtId="3" fontId="0" fillId="0" borderId="0" xfId="0" applyNumberFormat="1"/>
    <xf numFmtId="3" fontId="13" fillId="5" borderId="4" xfId="2" applyNumberFormat="1" applyFont="1" applyFill="1" applyBorder="1" applyAlignment="1">
      <alignment horizontal="right"/>
    </xf>
    <xf numFmtId="3" fontId="14" fillId="5" borderId="4" xfId="0" applyNumberFormat="1" applyFont="1" applyFill="1" applyBorder="1" applyAlignment="1">
      <alignment horizontal="right"/>
    </xf>
    <xf numFmtId="3" fontId="13" fillId="5" borderId="7" xfId="2" applyNumberFormat="1" applyFont="1" applyFill="1" applyBorder="1" applyAlignment="1">
      <alignment horizontal="right"/>
    </xf>
    <xf numFmtId="3" fontId="14" fillId="5" borderId="7" xfId="0" applyNumberFormat="1" applyFont="1" applyFill="1" applyBorder="1" applyAlignment="1">
      <alignment horizontal="right"/>
    </xf>
    <xf numFmtId="3" fontId="13" fillId="0" borderId="7" xfId="2" applyNumberFormat="1" applyFont="1" applyFill="1" applyBorder="1" applyAlignment="1">
      <alignment horizontal="right"/>
    </xf>
    <xf numFmtId="3" fontId="14" fillId="0" borderId="7" xfId="0" applyNumberFormat="1" applyFont="1" applyBorder="1" applyAlignment="1">
      <alignment horizontal="right"/>
    </xf>
    <xf numFmtId="3" fontId="13" fillId="0" borderId="4" xfId="2" applyNumberFormat="1" applyFont="1" applyFill="1" applyBorder="1" applyAlignment="1">
      <alignment horizontal="right"/>
    </xf>
    <xf numFmtId="3" fontId="14" fillId="0" borderId="4" xfId="0" applyNumberFormat="1" applyFont="1" applyBorder="1" applyAlignment="1">
      <alignment horizontal="right"/>
    </xf>
    <xf numFmtId="3" fontId="0" fillId="5" borderId="4" xfId="0" applyNumberFormat="1" applyFill="1" applyBorder="1" applyAlignment="1">
      <alignment horizontal="right"/>
    </xf>
    <xf numFmtId="3" fontId="15" fillId="5" borderId="4" xfId="2" applyNumberFormat="1" applyFont="1" applyFill="1" applyBorder="1" applyAlignment="1">
      <alignment horizontal="right"/>
    </xf>
    <xf numFmtId="3" fontId="15" fillId="5" borderId="4" xfId="0" applyNumberFormat="1" applyFont="1" applyFill="1" applyBorder="1" applyAlignment="1">
      <alignment horizontal="right"/>
    </xf>
    <xf numFmtId="3" fontId="0" fillId="5" borderId="7" xfId="0" applyNumberFormat="1" applyFill="1" applyBorder="1" applyAlignment="1">
      <alignment horizontal="right"/>
    </xf>
    <xf numFmtId="3" fontId="13" fillId="5" borderId="4" xfId="0" applyNumberFormat="1" applyFont="1" applyFill="1" applyBorder="1" applyAlignment="1">
      <alignment horizontal="right"/>
    </xf>
    <xf numFmtId="3" fontId="0" fillId="0" borderId="2" xfId="0" applyNumberFormat="1" applyBorder="1"/>
    <xf numFmtId="0" fontId="0" fillId="0" borderId="0" xfId="0" applyAlignment="1">
      <alignment horizontal="right"/>
    </xf>
    <xf numFmtId="3" fontId="14" fillId="5" borderId="6" xfId="0" applyNumberFormat="1" applyFont="1" applyFill="1" applyBorder="1" applyAlignment="1">
      <alignment horizontal="right"/>
    </xf>
    <xf numFmtId="3" fontId="0" fillId="0" borderId="4" xfId="0" applyNumberFormat="1" applyBorder="1" applyAlignment="1">
      <alignment horizontal="right"/>
    </xf>
    <xf numFmtId="3" fontId="0" fillId="0" borderId="7" xfId="0" applyNumberFormat="1" applyBorder="1" applyAlignment="1">
      <alignment horizontal="right"/>
    </xf>
    <xf numFmtId="3" fontId="14" fillId="5" borderId="3" xfId="0" applyNumberFormat="1" applyFont="1" applyFill="1" applyBorder="1" applyAlignment="1">
      <alignment horizontal="right"/>
    </xf>
    <xf numFmtId="3" fontId="14" fillId="0" borderId="2" xfId="0" applyNumberFormat="1" applyFont="1" applyBorder="1"/>
    <xf numFmtId="3" fontId="14" fillId="0" borderId="3" xfId="0" applyNumberFormat="1" applyFont="1" applyBorder="1"/>
    <xf numFmtId="3" fontId="14" fillId="0" borderId="6" xfId="0" applyNumberFormat="1" applyFont="1" applyBorder="1" applyAlignment="1">
      <alignment horizontal="right"/>
    </xf>
    <xf numFmtId="3" fontId="0" fillId="5" borderId="3" xfId="0" applyNumberFormat="1" applyFill="1" applyBorder="1"/>
    <xf numFmtId="3" fontId="0" fillId="5" borderId="6" xfId="0" applyNumberFormat="1" applyFill="1" applyBorder="1" applyAlignment="1">
      <alignment horizontal="right"/>
    </xf>
    <xf numFmtId="3" fontId="15" fillId="5" borderId="6" xfId="0" applyNumberFormat="1" applyFont="1" applyFill="1" applyBorder="1" applyAlignment="1">
      <alignment horizontal="right"/>
    </xf>
    <xf numFmtId="3" fontId="3" fillId="5" borderId="3" xfId="0" applyNumberFormat="1" applyFont="1" applyFill="1" applyBorder="1"/>
    <xf numFmtId="0" fontId="21" fillId="5" borderId="7" xfId="0" applyFont="1" applyFill="1" applyBorder="1" applyAlignment="1">
      <alignment horizontal="left" vertical="center"/>
    </xf>
    <xf numFmtId="0" fontId="21" fillId="5" borderId="8" xfId="0" applyFont="1" applyFill="1" applyBorder="1" applyAlignment="1">
      <alignment horizontal="left" vertical="center"/>
    </xf>
    <xf numFmtId="0" fontId="21" fillId="5" borderId="8" xfId="0" applyFont="1" applyFill="1" applyBorder="1" applyAlignment="1">
      <alignment horizontal="center" vertical="center"/>
    </xf>
    <xf numFmtId="3" fontId="21" fillId="5" borderId="7" xfId="0" applyNumberFormat="1" applyFont="1" applyFill="1" applyBorder="1" applyAlignment="1">
      <alignment horizontal="right"/>
    </xf>
    <xf numFmtId="3" fontId="0" fillId="0" borderId="3" xfId="0" applyNumberFormat="1" applyBorder="1"/>
    <xf numFmtId="3" fontId="15" fillId="0" borderId="4" xfId="0" applyNumberFormat="1" applyFont="1" applyBorder="1" applyAlignment="1">
      <alignment horizontal="right"/>
    </xf>
    <xf numFmtId="3" fontId="0" fillId="0" borderId="6" xfId="0" applyNumberFormat="1" applyBorder="1" applyAlignment="1">
      <alignment horizontal="right"/>
    </xf>
    <xf numFmtId="3" fontId="14" fillId="5" borderId="3" xfId="0" applyNumberFormat="1" applyFont="1" applyFill="1" applyBorder="1"/>
    <xf numFmtId="3" fontId="20" fillId="0" borderId="3" xfId="0" applyNumberFormat="1" applyFont="1" applyBorder="1"/>
    <xf numFmtId="3" fontId="19" fillId="0" borderId="4" xfId="0" applyNumberFormat="1" applyFont="1" applyBorder="1" applyAlignment="1">
      <alignment horizontal="right"/>
    </xf>
    <xf numFmtId="3" fontId="20" fillId="0" borderId="6" xfId="0" applyNumberFormat="1" applyFont="1" applyBorder="1" applyAlignment="1">
      <alignment horizontal="right"/>
    </xf>
    <xf numFmtId="3" fontId="20" fillId="0" borderId="7" xfId="0" applyNumberFormat="1" applyFont="1" applyBorder="1" applyAlignment="1">
      <alignment horizontal="right"/>
    </xf>
    <xf numFmtId="0" fontId="19" fillId="0" borderId="12" xfId="0" applyFont="1" applyBorder="1" applyAlignment="1">
      <alignment horizontal="center"/>
    </xf>
    <xf numFmtId="0" fontId="3" fillId="0" borderId="7" xfId="0" applyFont="1" applyBorder="1"/>
    <xf numFmtId="0" fontId="19" fillId="0" borderId="7" xfId="0" applyFont="1" applyBorder="1"/>
    <xf numFmtId="3" fontId="19" fillId="0" borderId="7" xfId="2" applyNumberFormat="1" applyFont="1" applyFill="1" applyBorder="1" applyAlignment="1">
      <alignment horizontal="right"/>
    </xf>
    <xf numFmtId="3" fontId="19" fillId="0" borderId="7" xfId="0" applyNumberFormat="1" applyFont="1" applyBorder="1" applyAlignment="1">
      <alignment horizontal="right"/>
    </xf>
    <xf numFmtId="0" fontId="19" fillId="0" borderId="7" xfId="0" applyFont="1" applyBorder="1" applyAlignment="1">
      <alignment horizontal="center"/>
    </xf>
    <xf numFmtId="164" fontId="19" fillId="0" borderId="8" xfId="1" applyNumberFormat="1" applyFont="1" applyFill="1" applyBorder="1" applyAlignment="1">
      <alignment horizontal="right"/>
    </xf>
    <xf numFmtId="0" fontId="19" fillId="0" borderId="7" xfId="0" applyFont="1" applyBorder="1" applyAlignment="1">
      <alignment horizontal="left"/>
    </xf>
    <xf numFmtId="0" fontId="19" fillId="5" borderId="3" xfId="0" applyFont="1" applyFill="1" applyBorder="1" applyAlignment="1">
      <alignment horizontal="center"/>
    </xf>
    <xf numFmtId="0" fontId="19" fillId="5" borderId="5" xfId="0" applyFont="1" applyFill="1" applyBorder="1" applyAlignment="1">
      <alignment horizontal="left" vertical="center"/>
    </xf>
    <xf numFmtId="0" fontId="19" fillId="5" borderId="5" xfId="0" applyFont="1" applyFill="1" applyBorder="1" applyAlignment="1">
      <alignment horizontal="center" vertical="center"/>
    </xf>
    <xf numFmtId="164" fontId="20" fillId="5" borderId="2" xfId="1" applyNumberFormat="1" applyFont="1" applyFill="1" applyBorder="1" applyAlignment="1">
      <alignment horizontal="right"/>
    </xf>
    <xf numFmtId="0" fontId="19" fillId="5" borderId="8" xfId="0" applyFont="1" applyFill="1" applyBorder="1" applyAlignment="1">
      <alignment horizontal="left" vertical="center"/>
    </xf>
    <xf numFmtId="0" fontId="19" fillId="5" borderId="7" xfId="0" applyFont="1" applyFill="1" applyBorder="1" applyAlignment="1">
      <alignment horizontal="left" vertical="center"/>
    </xf>
    <xf numFmtId="0" fontId="19" fillId="5" borderId="8" xfId="0" applyFont="1" applyFill="1" applyBorder="1" applyAlignment="1">
      <alignment horizontal="center" vertical="center"/>
    </xf>
    <xf numFmtId="0" fontId="20" fillId="0" borderId="11" xfId="0" applyFont="1" applyBorder="1"/>
    <xf numFmtId="0" fontId="19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23" fillId="0" borderId="2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center" vertical="center" wrapText="1"/>
    </xf>
    <xf numFmtId="164" fontId="23" fillId="0" borderId="2" xfId="1" applyNumberFormat="1" applyFont="1" applyFill="1" applyBorder="1" applyAlignment="1">
      <alignment horizontal="right"/>
    </xf>
    <xf numFmtId="0" fontId="22" fillId="0" borderId="3" xfId="0" applyFont="1" applyBorder="1" applyAlignment="1">
      <alignment horizontal="center"/>
    </xf>
    <xf numFmtId="0" fontId="20" fillId="5" borderId="11" xfId="0" applyFont="1" applyFill="1" applyBorder="1" applyAlignment="1">
      <alignment horizontal="center"/>
    </xf>
    <xf numFmtId="0" fontId="20" fillId="5" borderId="6" xfId="0" applyFont="1" applyFill="1" applyBorder="1"/>
    <xf numFmtId="0" fontId="19" fillId="5" borderId="6" xfId="0" applyFont="1" applyFill="1" applyBorder="1" applyAlignment="1">
      <alignment vertical="center" wrapText="1"/>
    </xf>
    <xf numFmtId="0" fontId="20" fillId="5" borderId="12" xfId="0" applyFont="1" applyFill="1" applyBorder="1" applyAlignment="1">
      <alignment horizontal="center"/>
    </xf>
    <xf numFmtId="0" fontId="20" fillId="5" borderId="12" xfId="0" applyFont="1" applyFill="1" applyBorder="1"/>
    <xf numFmtId="0" fontId="19" fillId="5" borderId="8" xfId="0" applyFont="1" applyFill="1" applyBorder="1" applyAlignment="1">
      <alignment horizontal="left" vertical="center" wrapText="1"/>
    </xf>
    <xf numFmtId="0" fontId="19" fillId="5" borderId="7" xfId="0" applyFont="1" applyFill="1" applyBorder="1" applyAlignment="1">
      <alignment horizontal="left" vertical="center" wrapText="1"/>
    </xf>
    <xf numFmtId="0" fontId="19" fillId="5" borderId="8" xfId="0" applyFont="1" applyFill="1" applyBorder="1" applyAlignment="1">
      <alignment horizontal="center" vertical="center" wrapText="1"/>
    </xf>
    <xf numFmtId="0" fontId="20" fillId="5" borderId="10" xfId="0" applyFont="1" applyFill="1" applyBorder="1" applyAlignment="1">
      <alignment horizontal="center"/>
    </xf>
    <xf numFmtId="0" fontId="6" fillId="5" borderId="6" xfId="0" applyFont="1" applyFill="1" applyBorder="1"/>
    <xf numFmtId="0" fontId="0" fillId="5" borderId="9" xfId="0" applyFill="1" applyBorder="1" applyAlignment="1">
      <alignment horizontal="center"/>
    </xf>
    <xf numFmtId="0" fontId="6" fillId="5" borderId="7" xfId="0" applyFont="1" applyFill="1" applyBorder="1"/>
    <xf numFmtId="3" fontId="20" fillId="0" borderId="10" xfId="0" applyNumberFormat="1" applyFont="1" applyBorder="1"/>
    <xf numFmtId="3" fontId="19" fillId="5" borderId="4" xfId="0" applyNumberFormat="1" applyFont="1" applyFill="1" applyBorder="1" applyAlignment="1">
      <alignment horizontal="right"/>
    </xf>
    <xf numFmtId="3" fontId="20" fillId="5" borderId="3" xfId="0" applyNumberFormat="1" applyFont="1" applyFill="1" applyBorder="1"/>
    <xf numFmtId="3" fontId="19" fillId="0" borderId="6" xfId="0" applyNumberFormat="1" applyFont="1" applyBorder="1" applyAlignment="1">
      <alignment horizontal="right"/>
    </xf>
    <xf numFmtId="3" fontId="20" fillId="5" borderId="7" xfId="0" applyNumberFormat="1" applyFont="1" applyFill="1" applyBorder="1" applyAlignment="1">
      <alignment horizontal="right"/>
    </xf>
    <xf numFmtId="3" fontId="20" fillId="5" borderId="4" xfId="0" applyNumberFormat="1" applyFont="1" applyFill="1" applyBorder="1" applyAlignment="1">
      <alignment horizontal="right"/>
    </xf>
    <xf numFmtId="3" fontId="20" fillId="5" borderId="6" xfId="0" applyNumberFormat="1" applyFont="1" applyFill="1" applyBorder="1" applyAlignment="1">
      <alignment horizontal="right"/>
    </xf>
    <xf numFmtId="0" fontId="24" fillId="10" borderId="15" xfId="0" applyFont="1" applyFill="1" applyBorder="1" applyAlignment="1">
      <alignment horizontal="center"/>
    </xf>
    <xf numFmtId="0" fontId="8" fillId="9" borderId="7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8" fillId="13" borderId="7" xfId="0" applyFont="1" applyFill="1" applyBorder="1" applyAlignment="1">
      <alignment horizontal="center" vertical="center" wrapText="1"/>
    </xf>
    <xf numFmtId="0" fontId="8" fillId="13" borderId="6" xfId="0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0" fillId="6" borderId="0" xfId="0" applyFill="1"/>
    <xf numFmtId="0" fontId="24" fillId="6" borderId="0" xfId="0" applyFont="1" applyFill="1"/>
    <xf numFmtId="3" fontId="22" fillId="0" borderId="2" xfId="0" applyNumberFormat="1" applyFont="1" applyBorder="1"/>
    <xf numFmtId="164" fontId="4" fillId="6" borderId="0" xfId="1" applyNumberFormat="1" applyFont="1" applyFill="1" applyBorder="1"/>
    <xf numFmtId="0" fontId="0" fillId="6" borderId="0" xfId="0" applyFill="1" applyAlignment="1">
      <alignment horizontal="right"/>
    </xf>
    <xf numFmtId="164" fontId="4" fillId="6" borderId="20" xfId="1" applyNumberFormat="1" applyFont="1" applyFill="1" applyBorder="1"/>
    <xf numFmtId="164" fontId="4" fillId="6" borderId="21" xfId="1" applyNumberFormat="1" applyFont="1" applyFill="1" applyBorder="1"/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164" fontId="4" fillId="6" borderId="18" xfId="1" applyNumberFormat="1" applyFont="1" applyFill="1" applyBorder="1"/>
    <xf numFmtId="0" fontId="8" fillId="16" borderId="0" xfId="0" applyFont="1" applyFill="1" applyAlignment="1">
      <alignment horizontal="center" vertical="center" wrapText="1"/>
    </xf>
    <xf numFmtId="0" fontId="0" fillId="17" borderId="0" xfId="0" applyFill="1" applyAlignment="1">
      <alignment horizontal="center"/>
    </xf>
    <xf numFmtId="164" fontId="4" fillId="17" borderId="0" xfId="1" applyNumberFormat="1" applyFont="1" applyFill="1"/>
    <xf numFmtId="164" fontId="4" fillId="17" borderId="0" xfId="1" applyNumberFormat="1" applyFont="1" applyFill="1" applyBorder="1"/>
    <xf numFmtId="0" fontId="13" fillId="0" borderId="11" xfId="0" applyFont="1" applyBorder="1" applyAlignment="1">
      <alignment horizontal="left" vertical="center"/>
    </xf>
    <xf numFmtId="0" fontId="14" fillId="0" borderId="12" xfId="0" applyFont="1" applyBorder="1"/>
    <xf numFmtId="0" fontId="13" fillId="5" borderId="22" xfId="0" applyFont="1" applyFill="1" applyBorder="1" applyAlignment="1">
      <alignment horizontal="left" vertical="center" wrapText="1"/>
    </xf>
    <xf numFmtId="0" fontId="14" fillId="5" borderId="0" xfId="0" applyFont="1" applyFill="1"/>
    <xf numFmtId="0" fontId="14" fillId="5" borderId="1" xfId="0" applyFont="1" applyFill="1" applyBorder="1"/>
    <xf numFmtId="0" fontId="8" fillId="16" borderId="9" xfId="0" applyFont="1" applyFill="1" applyBorder="1" applyAlignment="1">
      <alignment horizontal="center" vertical="center" wrapText="1"/>
    </xf>
    <xf numFmtId="0" fontId="8" fillId="16" borderId="12" xfId="0" applyFont="1" applyFill="1" applyBorder="1" applyAlignment="1">
      <alignment horizontal="center" vertical="center" wrapText="1"/>
    </xf>
    <xf numFmtId="0" fontId="14" fillId="17" borderId="9" xfId="0" applyFont="1" applyFill="1" applyBorder="1" applyAlignment="1">
      <alignment horizontal="center"/>
    </xf>
    <xf numFmtId="0" fontId="14" fillId="17" borderId="12" xfId="0" applyFont="1" applyFill="1" applyBorder="1" applyAlignment="1">
      <alignment horizontal="center"/>
    </xf>
    <xf numFmtId="0" fontId="0" fillId="17" borderId="9" xfId="0" applyFill="1" applyBorder="1" applyAlignment="1">
      <alignment horizontal="center"/>
    </xf>
    <xf numFmtId="0" fontId="0" fillId="17" borderId="12" xfId="0" applyFill="1" applyBorder="1" applyAlignment="1">
      <alignment horizontal="center"/>
    </xf>
    <xf numFmtId="0" fontId="15" fillId="17" borderId="9" xfId="0" applyFont="1" applyFill="1" applyBorder="1" applyAlignment="1">
      <alignment horizontal="center"/>
    </xf>
    <xf numFmtId="0" fontId="15" fillId="17" borderId="12" xfId="0" applyFont="1" applyFill="1" applyBorder="1" applyAlignment="1">
      <alignment horizontal="center"/>
    </xf>
    <xf numFmtId="0" fontId="21" fillId="17" borderId="9" xfId="0" applyFont="1" applyFill="1" applyBorder="1" applyAlignment="1">
      <alignment horizontal="center"/>
    </xf>
    <xf numFmtId="0" fontId="21" fillId="17" borderId="12" xfId="0" applyFont="1" applyFill="1" applyBorder="1" applyAlignment="1">
      <alignment horizontal="center"/>
    </xf>
    <xf numFmtId="0" fontId="13" fillId="17" borderId="9" xfId="0" applyFont="1" applyFill="1" applyBorder="1" applyAlignment="1">
      <alignment horizontal="center"/>
    </xf>
    <xf numFmtId="0" fontId="13" fillId="17" borderId="12" xfId="0" applyFont="1" applyFill="1" applyBorder="1" applyAlignment="1">
      <alignment horizontal="center"/>
    </xf>
    <xf numFmtId="0" fontId="19" fillId="17" borderId="9" xfId="0" applyFont="1" applyFill="1" applyBorder="1" applyAlignment="1">
      <alignment horizontal="center"/>
    </xf>
    <xf numFmtId="0" fontId="19" fillId="17" borderId="12" xfId="0" applyFont="1" applyFill="1" applyBorder="1" applyAlignment="1">
      <alignment horizontal="center"/>
    </xf>
    <xf numFmtId="0" fontId="20" fillId="17" borderId="9" xfId="0" applyFont="1" applyFill="1" applyBorder="1" applyAlignment="1">
      <alignment horizontal="center"/>
    </xf>
    <xf numFmtId="0" fontId="20" fillId="17" borderId="12" xfId="0" applyFont="1" applyFill="1" applyBorder="1" applyAlignment="1">
      <alignment horizontal="center"/>
    </xf>
    <xf numFmtId="0" fontId="0" fillId="17" borderId="0" xfId="0" applyFill="1" applyAlignment="1">
      <alignment horizontal="left"/>
    </xf>
    <xf numFmtId="14" fontId="30" fillId="5" borderId="6" xfId="0" applyNumberFormat="1" applyFont="1" applyFill="1" applyBorder="1" applyAlignment="1">
      <alignment horizontal="left"/>
    </xf>
    <xf numFmtId="166" fontId="13" fillId="5" borderId="4" xfId="0" applyNumberFormat="1" applyFont="1" applyFill="1" applyBorder="1" applyAlignment="1">
      <alignment horizontal="center" vertical="center"/>
    </xf>
    <xf numFmtId="166" fontId="13" fillId="5" borderId="7" xfId="0" applyNumberFormat="1" applyFont="1" applyFill="1" applyBorder="1" applyAlignment="1">
      <alignment horizontal="center" vertical="center"/>
    </xf>
    <xf numFmtId="166" fontId="15" fillId="0" borderId="6" xfId="0" applyNumberFormat="1" applyFont="1" applyBorder="1" applyAlignment="1">
      <alignment horizontal="center" vertical="center"/>
    </xf>
    <xf numFmtId="166" fontId="13" fillId="0" borderId="6" xfId="0" applyNumberFormat="1" applyFont="1" applyBorder="1" applyAlignment="1">
      <alignment horizontal="center" vertical="center"/>
    </xf>
    <xf numFmtId="166" fontId="13" fillId="5" borderId="4" xfId="0" applyNumberFormat="1" applyFont="1" applyFill="1" applyBorder="1" applyAlignment="1">
      <alignment horizontal="center" vertical="center" wrapText="1"/>
    </xf>
    <xf numFmtId="166" fontId="13" fillId="5" borderId="7" xfId="0" applyNumberFormat="1" applyFont="1" applyFill="1" applyBorder="1" applyAlignment="1">
      <alignment horizontal="center" vertical="center" wrapText="1"/>
    </xf>
    <xf numFmtId="166" fontId="13" fillId="0" borderId="6" xfId="0" applyNumberFormat="1" applyFont="1" applyBorder="1" applyAlignment="1">
      <alignment horizontal="center" vertical="center" wrapText="1"/>
    </xf>
    <xf numFmtId="166" fontId="13" fillId="0" borderId="4" xfId="0" applyNumberFormat="1" applyFont="1" applyBorder="1" applyAlignment="1">
      <alignment horizontal="center" vertical="center"/>
    </xf>
    <xf numFmtId="166" fontId="13" fillId="0" borderId="7" xfId="0" applyNumberFormat="1" applyFont="1" applyBorder="1" applyAlignment="1">
      <alignment horizontal="center" vertical="center"/>
    </xf>
    <xf numFmtId="166" fontId="13" fillId="0" borderId="4" xfId="0" applyNumberFormat="1" applyFont="1" applyBorder="1" applyAlignment="1">
      <alignment horizontal="center" vertical="center" wrapText="1"/>
    </xf>
    <xf numFmtId="166" fontId="13" fillId="0" borderId="7" xfId="0" applyNumberFormat="1" applyFont="1" applyBorder="1" applyAlignment="1">
      <alignment horizontal="center" vertical="center" wrapText="1"/>
    </xf>
    <xf numFmtId="166" fontId="15" fillId="5" borderId="6" xfId="0" applyNumberFormat="1" applyFont="1" applyFill="1" applyBorder="1" applyAlignment="1">
      <alignment horizontal="center" vertical="center"/>
    </xf>
    <xf numFmtId="166" fontId="15" fillId="5" borderId="4" xfId="0" applyNumberFormat="1" applyFont="1" applyFill="1" applyBorder="1" applyAlignment="1">
      <alignment horizontal="center" vertical="center"/>
    </xf>
    <xf numFmtId="166" fontId="21" fillId="5" borderId="7" xfId="0" applyNumberFormat="1" applyFont="1" applyFill="1" applyBorder="1" applyAlignment="1">
      <alignment horizontal="center" vertical="center"/>
    </xf>
    <xf numFmtId="166" fontId="15" fillId="0" borderId="4" xfId="0" applyNumberFormat="1" applyFont="1" applyBorder="1" applyAlignment="1">
      <alignment horizontal="center" vertical="center" wrapText="1"/>
    </xf>
    <xf numFmtId="166" fontId="15" fillId="0" borderId="7" xfId="0" applyNumberFormat="1" applyFont="1" applyBorder="1" applyAlignment="1">
      <alignment horizontal="center" vertical="center" wrapText="1"/>
    </xf>
    <xf numFmtId="166" fontId="15" fillId="5" borderId="4" xfId="0" applyNumberFormat="1" applyFont="1" applyFill="1" applyBorder="1" applyAlignment="1">
      <alignment horizontal="center" vertical="center" wrapText="1"/>
    </xf>
    <xf numFmtId="166" fontId="13" fillId="5" borderId="6" xfId="0" applyNumberFormat="1" applyFont="1" applyFill="1" applyBorder="1" applyAlignment="1">
      <alignment horizontal="center" vertical="center"/>
    </xf>
    <xf numFmtId="166" fontId="13" fillId="5" borderId="6" xfId="0" applyNumberFormat="1" applyFont="1" applyFill="1" applyBorder="1" applyAlignment="1">
      <alignment horizontal="center" vertical="center" wrapText="1"/>
    </xf>
    <xf numFmtId="166" fontId="19" fillId="0" borderId="4" xfId="0" applyNumberFormat="1" applyFont="1" applyBorder="1" applyAlignment="1">
      <alignment horizontal="center" vertical="center"/>
    </xf>
    <xf numFmtId="166" fontId="19" fillId="0" borderId="6" xfId="0" applyNumberFormat="1" applyFont="1" applyBorder="1" applyAlignment="1">
      <alignment horizontal="center" vertical="center" wrapText="1"/>
    </xf>
    <xf numFmtId="166" fontId="19" fillId="5" borderId="4" xfId="0" applyNumberFormat="1" applyFont="1" applyFill="1" applyBorder="1" applyAlignment="1">
      <alignment horizontal="center" vertical="center"/>
    </xf>
    <xf numFmtId="166" fontId="19" fillId="5" borderId="7" xfId="0" applyNumberFormat="1" applyFont="1" applyFill="1" applyBorder="1" applyAlignment="1">
      <alignment horizontal="center" vertical="center"/>
    </xf>
    <xf numFmtId="166" fontId="19" fillId="0" borderId="4" xfId="0" applyNumberFormat="1" applyFont="1" applyBorder="1" applyAlignment="1">
      <alignment horizontal="center" vertical="center" wrapText="1"/>
    </xf>
    <xf numFmtId="166" fontId="19" fillId="5" borderId="4" xfId="0" applyNumberFormat="1" applyFont="1" applyFill="1" applyBorder="1" applyAlignment="1">
      <alignment horizontal="center" vertical="center" wrapText="1"/>
    </xf>
    <xf numFmtId="166" fontId="19" fillId="5" borderId="6" xfId="0" applyNumberFormat="1" applyFont="1" applyFill="1" applyBorder="1" applyAlignment="1">
      <alignment horizontal="center" vertical="center" wrapText="1"/>
    </xf>
    <xf numFmtId="166" fontId="19" fillId="5" borderId="7" xfId="0" applyNumberFormat="1" applyFont="1" applyFill="1" applyBorder="1" applyAlignment="1">
      <alignment horizontal="center" vertical="center" wrapText="1"/>
    </xf>
    <xf numFmtId="166" fontId="0" fillId="0" borderId="7" xfId="0" applyNumberFormat="1" applyBorder="1" applyAlignment="1">
      <alignment horizontal="center"/>
    </xf>
    <xf numFmtId="166" fontId="14" fillId="0" borderId="6" xfId="0" applyNumberFormat="1" applyFont="1" applyBorder="1" applyAlignment="1">
      <alignment horizontal="center"/>
    </xf>
    <xf numFmtId="166" fontId="14" fillId="0" borderId="7" xfId="0" applyNumberFormat="1" applyFont="1" applyBorder="1" applyAlignment="1">
      <alignment horizontal="center"/>
    </xf>
    <xf numFmtId="166" fontId="0" fillId="5" borderId="4" xfId="0" applyNumberFormat="1" applyFill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14" fillId="5" borderId="6" xfId="0" applyNumberFormat="1" applyFont="1" applyFill="1" applyBorder="1" applyAlignment="1">
      <alignment horizontal="center"/>
    </xf>
    <xf numFmtId="166" fontId="14" fillId="5" borderId="7" xfId="0" applyNumberFormat="1" applyFont="1" applyFill="1" applyBorder="1" applyAlignment="1">
      <alignment horizontal="center"/>
    </xf>
    <xf numFmtId="166" fontId="0" fillId="5" borderId="6" xfId="0" applyNumberFormat="1" applyFill="1" applyBorder="1" applyAlignment="1">
      <alignment horizontal="center"/>
    </xf>
    <xf numFmtId="166" fontId="20" fillId="0" borderId="6" xfId="0" applyNumberFormat="1" applyFont="1" applyBorder="1" applyAlignment="1">
      <alignment horizontal="center"/>
    </xf>
    <xf numFmtId="166" fontId="20" fillId="0" borderId="7" xfId="0" applyNumberFormat="1" applyFont="1" applyBorder="1" applyAlignment="1">
      <alignment horizontal="center"/>
    </xf>
    <xf numFmtId="166" fontId="0" fillId="5" borderId="7" xfId="0" applyNumberFormat="1" applyFill="1" applyBorder="1" applyAlignment="1">
      <alignment horizontal="center"/>
    </xf>
    <xf numFmtId="0" fontId="21" fillId="5" borderId="7" xfId="0" applyFont="1" applyFill="1" applyBorder="1" applyAlignment="1">
      <alignment vertical="center" wrapText="1"/>
    </xf>
    <xf numFmtId="3" fontId="3" fillId="0" borderId="0" xfId="0" applyNumberFormat="1" applyFont="1"/>
    <xf numFmtId="3" fontId="4" fillId="11" borderId="3" xfId="0" applyNumberFormat="1" applyFont="1" applyFill="1" applyBorder="1" applyAlignment="1">
      <alignment horizontal="right"/>
    </xf>
    <xf numFmtId="0" fontId="8" fillId="7" borderId="7" xfId="0" applyFont="1" applyFill="1" applyBorder="1" applyAlignment="1">
      <alignment horizontal="center" vertical="center" wrapText="1"/>
    </xf>
    <xf numFmtId="0" fontId="25" fillId="11" borderId="16" xfId="0" applyFont="1" applyFill="1" applyBorder="1" applyAlignment="1">
      <alignment horizontal="right"/>
    </xf>
    <xf numFmtId="0" fontId="8" fillId="21" borderId="7" xfId="0" applyFont="1" applyFill="1" applyBorder="1" applyAlignment="1">
      <alignment horizontal="center" vertical="center" wrapText="1"/>
    </xf>
    <xf numFmtId="0" fontId="8" fillId="21" borderId="6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/>
    </xf>
    <xf numFmtId="0" fontId="8" fillId="7" borderId="24" xfId="0" applyFont="1" applyFill="1" applyBorder="1" applyAlignment="1">
      <alignment horizontal="center" vertical="center" wrapText="1"/>
    </xf>
    <xf numFmtId="0" fontId="8" fillId="7" borderId="25" xfId="0" applyFont="1" applyFill="1" applyBorder="1" applyAlignment="1">
      <alignment horizontal="center" vertical="center" wrapText="1"/>
    </xf>
    <xf numFmtId="0" fontId="8" fillId="7" borderId="23" xfId="0" applyFont="1" applyFill="1" applyBorder="1" applyAlignment="1">
      <alignment horizontal="center" vertical="center" wrapText="1"/>
    </xf>
    <xf numFmtId="0" fontId="0" fillId="14" borderId="16" xfId="0" applyFill="1" applyBorder="1" applyAlignment="1">
      <alignment horizontal="center"/>
    </xf>
    <xf numFmtId="0" fontId="28" fillId="18" borderId="7" xfId="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 wrapText="1"/>
    </xf>
    <xf numFmtId="0" fontId="8" fillId="7" borderId="16" xfId="0" applyFont="1" applyFill="1" applyBorder="1" applyAlignment="1">
      <alignment horizontal="center" vertical="center" wrapText="1"/>
    </xf>
    <xf numFmtId="0" fontId="34" fillId="0" borderId="0" xfId="0" applyFont="1"/>
    <xf numFmtId="0" fontId="0" fillId="22" borderId="0" xfId="0" applyFill="1" applyAlignment="1">
      <alignment horizontal="right"/>
    </xf>
    <xf numFmtId="0" fontId="0" fillId="22" borderId="0" xfId="0" applyFill="1" applyAlignment="1">
      <alignment horizontal="center"/>
    </xf>
    <xf numFmtId="43" fontId="0" fillId="0" borderId="27" xfId="0" applyNumberFormat="1" applyBorder="1" applyAlignment="1">
      <alignment horizontal="center"/>
    </xf>
    <xf numFmtId="0" fontId="0" fillId="0" borderId="28" xfId="0" applyBorder="1" applyAlignment="1">
      <alignment horizontal="right"/>
    </xf>
    <xf numFmtId="0" fontId="25" fillId="11" borderId="23" xfId="0" applyFont="1" applyFill="1" applyBorder="1" applyAlignment="1">
      <alignment horizontal="right"/>
    </xf>
    <xf numFmtId="43" fontId="0" fillId="0" borderId="0" xfId="0" applyNumberFormat="1" applyAlignment="1">
      <alignment horizontal="center"/>
    </xf>
    <xf numFmtId="0" fontId="25" fillId="11" borderId="18" xfId="0" applyFont="1" applyFill="1" applyBorder="1" applyAlignment="1">
      <alignment horizontal="right"/>
    </xf>
    <xf numFmtId="164" fontId="32" fillId="0" borderId="3" xfId="1" applyNumberFormat="1" applyFont="1" applyFill="1" applyBorder="1" applyAlignment="1">
      <alignment horizontal="right"/>
    </xf>
    <xf numFmtId="0" fontId="8" fillId="7" borderId="8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4" fillId="6" borderId="5" xfId="0" applyFont="1" applyFill="1" applyBorder="1" applyAlignment="1">
      <alignment horizontal="center"/>
    </xf>
    <xf numFmtId="0" fontId="14" fillId="6" borderId="8" xfId="0" applyFont="1" applyFill="1" applyBorder="1" applyAlignment="1">
      <alignment horizontal="center"/>
    </xf>
    <xf numFmtId="0" fontId="15" fillId="6" borderId="2" xfId="0" applyFont="1" applyFill="1" applyBorder="1" applyAlignment="1">
      <alignment horizontal="center"/>
    </xf>
    <xf numFmtId="0" fontId="21" fillId="6" borderId="2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3" fillId="6" borderId="5" xfId="0" applyFont="1" applyFill="1" applyBorder="1" applyAlignment="1">
      <alignment horizontal="center"/>
    </xf>
    <xf numFmtId="0" fontId="13" fillId="6" borderId="2" xfId="0" applyFont="1" applyFill="1" applyBorder="1" applyAlignment="1">
      <alignment horizontal="center"/>
    </xf>
    <xf numFmtId="0" fontId="19" fillId="6" borderId="2" xfId="0" applyFont="1" applyFill="1" applyBorder="1" applyAlignment="1">
      <alignment horizontal="center"/>
    </xf>
    <xf numFmtId="0" fontId="20" fillId="6" borderId="2" xfId="0" applyFont="1" applyFill="1" applyBorder="1" applyAlignment="1">
      <alignment horizontal="center"/>
    </xf>
    <xf numFmtId="0" fontId="31" fillId="8" borderId="29" xfId="0" applyFont="1" applyFill="1" applyBorder="1" applyAlignment="1">
      <alignment horizontal="center" vertical="center" wrapText="1"/>
    </xf>
    <xf numFmtId="0" fontId="8" fillId="8" borderId="30" xfId="0" applyFont="1" applyFill="1" applyBorder="1" applyAlignment="1">
      <alignment horizontal="center" vertical="center" wrapText="1"/>
    </xf>
    <xf numFmtId="3" fontId="14" fillId="5" borderId="31" xfId="0" applyNumberFormat="1" applyFont="1" applyFill="1" applyBorder="1" applyAlignment="1">
      <alignment horizontal="right"/>
    </xf>
    <xf numFmtId="3" fontId="14" fillId="5" borderId="32" xfId="0" applyNumberFormat="1" applyFont="1" applyFill="1" applyBorder="1" applyAlignment="1">
      <alignment horizontal="right"/>
    </xf>
    <xf numFmtId="3" fontId="0" fillId="0" borderId="31" xfId="0" applyNumberFormat="1" applyBorder="1" applyAlignment="1">
      <alignment horizontal="right"/>
    </xf>
    <xf numFmtId="3" fontId="0" fillId="0" borderId="33" xfId="0" applyNumberFormat="1" applyBorder="1" applyAlignment="1">
      <alignment horizontal="right"/>
    </xf>
    <xf numFmtId="3" fontId="14" fillId="0" borderId="31" xfId="0" applyNumberFormat="1" applyFont="1" applyBorder="1" applyAlignment="1">
      <alignment horizontal="right"/>
    </xf>
    <xf numFmtId="3" fontId="14" fillId="0" borderId="32" xfId="0" applyNumberFormat="1" applyFont="1" applyBorder="1" applyAlignment="1">
      <alignment horizontal="right"/>
    </xf>
    <xf numFmtId="3" fontId="14" fillId="0" borderId="33" xfId="0" applyNumberFormat="1" applyFont="1" applyBorder="1" applyAlignment="1">
      <alignment horizontal="right"/>
    </xf>
    <xf numFmtId="3" fontId="14" fillId="5" borderId="34" xfId="0" applyNumberFormat="1" applyFont="1" applyFill="1" applyBorder="1"/>
    <xf numFmtId="3" fontId="14" fillId="5" borderId="35" xfId="0" applyNumberFormat="1" applyFont="1" applyFill="1" applyBorder="1"/>
    <xf numFmtId="3" fontId="14" fillId="5" borderId="33" xfId="0" applyNumberFormat="1" applyFont="1" applyFill="1" applyBorder="1" applyAlignment="1">
      <alignment horizontal="right"/>
    </xf>
    <xf numFmtId="3" fontId="14" fillId="0" borderId="35" xfId="0" applyNumberFormat="1" applyFont="1" applyBorder="1"/>
    <xf numFmtId="3" fontId="14" fillId="0" borderId="34" xfId="0" applyNumberFormat="1" applyFont="1" applyBorder="1"/>
    <xf numFmtId="3" fontId="0" fillId="5" borderId="31" xfId="0" applyNumberFormat="1" applyFill="1" applyBorder="1" applyAlignment="1">
      <alignment horizontal="right"/>
    </xf>
    <xf numFmtId="3" fontId="0" fillId="5" borderId="32" xfId="0" applyNumberFormat="1" applyFill="1" applyBorder="1" applyAlignment="1">
      <alignment horizontal="right"/>
    </xf>
    <xf numFmtId="3" fontId="15" fillId="5" borderId="32" xfId="0" applyNumberFormat="1" applyFont="1" applyFill="1" applyBorder="1" applyAlignment="1">
      <alignment horizontal="right"/>
    </xf>
    <xf numFmtId="3" fontId="21" fillId="5" borderId="33" xfId="0" applyNumberFormat="1" applyFont="1" applyFill="1" applyBorder="1" applyAlignment="1">
      <alignment horizontal="right"/>
    </xf>
    <xf numFmtId="3" fontId="0" fillId="5" borderId="34" xfId="0" applyNumberFormat="1" applyFill="1" applyBorder="1"/>
    <xf numFmtId="3" fontId="15" fillId="5" borderId="31" xfId="0" applyNumberFormat="1" applyFont="1" applyFill="1" applyBorder="1" applyAlignment="1">
      <alignment horizontal="right"/>
    </xf>
    <xf numFmtId="3" fontId="15" fillId="0" borderId="31" xfId="0" applyNumberFormat="1" applyFont="1" applyBorder="1" applyAlignment="1">
      <alignment horizontal="right"/>
    </xf>
    <xf numFmtId="3" fontId="0" fillId="0" borderId="32" xfId="0" applyNumberFormat="1" applyBorder="1" applyAlignment="1">
      <alignment horizontal="right"/>
    </xf>
    <xf numFmtId="3" fontId="0" fillId="5" borderId="33" xfId="0" applyNumberFormat="1" applyFill="1" applyBorder="1" applyAlignment="1">
      <alignment horizontal="right"/>
    </xf>
    <xf numFmtId="3" fontId="19" fillId="0" borderId="31" xfId="0" applyNumberFormat="1" applyFont="1" applyBorder="1" applyAlignment="1">
      <alignment horizontal="right"/>
    </xf>
    <xf numFmtId="3" fontId="20" fillId="0" borderId="32" xfId="0" applyNumberFormat="1" applyFont="1" applyBorder="1" applyAlignment="1">
      <alignment horizontal="right"/>
    </xf>
    <xf numFmtId="3" fontId="20" fillId="0" borderId="33" xfId="0" applyNumberFormat="1" applyFont="1" applyBorder="1" applyAlignment="1">
      <alignment horizontal="right"/>
    </xf>
    <xf numFmtId="3" fontId="19" fillId="5" borderId="31" xfId="0" applyNumberFormat="1" applyFont="1" applyFill="1" applyBorder="1" applyAlignment="1">
      <alignment horizontal="right"/>
    </xf>
    <xf numFmtId="3" fontId="20" fillId="0" borderId="36" xfId="0" applyNumberFormat="1" applyFont="1" applyBorder="1"/>
    <xf numFmtId="3" fontId="19" fillId="0" borderId="32" xfId="0" applyNumberFormat="1" applyFont="1" applyBorder="1" applyAlignment="1">
      <alignment horizontal="right"/>
    </xf>
    <xf numFmtId="3" fontId="20" fillId="5" borderId="33" xfId="0" applyNumberFormat="1" applyFont="1" applyFill="1" applyBorder="1" applyAlignment="1">
      <alignment horizontal="right"/>
    </xf>
    <xf numFmtId="3" fontId="20" fillId="5" borderId="31" xfId="0" applyNumberFormat="1" applyFont="1" applyFill="1" applyBorder="1" applyAlignment="1">
      <alignment horizontal="right"/>
    </xf>
    <xf numFmtId="3" fontId="20" fillId="5" borderId="32" xfId="0" applyNumberFormat="1" applyFont="1" applyFill="1" applyBorder="1" applyAlignment="1">
      <alignment horizontal="right"/>
    </xf>
    <xf numFmtId="0" fontId="8" fillId="13" borderId="10" xfId="0" applyFont="1" applyFill="1" applyBorder="1" applyAlignment="1">
      <alignment horizontal="center" vertical="center" wrapText="1"/>
    </xf>
    <xf numFmtId="3" fontId="0" fillId="0" borderId="14" xfId="0" applyNumberFormat="1" applyBorder="1"/>
    <xf numFmtId="3" fontId="14" fillId="5" borderId="11" xfId="0" applyNumberFormat="1" applyFont="1" applyFill="1" applyBorder="1"/>
    <xf numFmtId="3" fontId="14" fillId="5" borderId="10" xfId="0" applyNumberFormat="1" applyFont="1" applyFill="1" applyBorder="1"/>
    <xf numFmtId="3" fontId="14" fillId="0" borderId="10" xfId="0" applyNumberFormat="1" applyFont="1" applyBorder="1"/>
    <xf numFmtId="3" fontId="14" fillId="0" borderId="11" xfId="0" applyNumberFormat="1" applyFont="1" applyBorder="1"/>
    <xf numFmtId="3" fontId="0" fillId="5" borderId="11" xfId="0" applyNumberFormat="1" applyFill="1" applyBorder="1"/>
    <xf numFmtId="3" fontId="22" fillId="0" borderId="3" xfId="0" applyNumberFormat="1" applyFont="1" applyBorder="1"/>
    <xf numFmtId="164" fontId="32" fillId="0" borderId="29" xfId="1" applyNumberFormat="1" applyFont="1" applyFill="1" applyBorder="1"/>
    <xf numFmtId="164" fontId="32" fillId="0" borderId="37" xfId="1" applyNumberFormat="1" applyFont="1" applyFill="1" applyBorder="1" applyAlignment="1">
      <alignment horizontal="right"/>
    </xf>
    <xf numFmtId="164" fontId="32" fillId="0" borderId="29" xfId="1" applyNumberFormat="1" applyFont="1" applyFill="1" applyBorder="1" applyAlignment="1">
      <alignment horizontal="right"/>
    </xf>
    <xf numFmtId="164" fontId="4" fillId="11" borderId="3" xfId="1" applyNumberFormat="1" applyFont="1" applyFill="1" applyBorder="1" applyAlignment="1">
      <alignment horizontal="right"/>
    </xf>
    <xf numFmtId="3" fontId="0" fillId="0" borderId="1" xfId="0" applyNumberFormat="1" applyBorder="1"/>
    <xf numFmtId="0" fontId="36" fillId="0" borderId="2" xfId="0" applyFont="1" applyBorder="1"/>
    <xf numFmtId="3" fontId="36" fillId="0" borderId="14" xfId="0" applyNumberFormat="1" applyFont="1" applyBorder="1" applyAlignment="1">
      <alignment horizontal="right"/>
    </xf>
    <xf numFmtId="3" fontId="36" fillId="0" borderId="3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0" fontId="27" fillId="0" borderId="0" xfId="0" applyFont="1"/>
    <xf numFmtId="0" fontId="37" fillId="0" borderId="0" xfId="0" applyFont="1"/>
    <xf numFmtId="0" fontId="4" fillId="0" borderId="0" xfId="0" applyFont="1" applyAlignment="1">
      <alignment horizontal="left" wrapText="1"/>
    </xf>
    <xf numFmtId="3" fontId="0" fillId="0" borderId="0" xfId="0" applyNumberFormat="1" applyAlignment="1">
      <alignment horizontal="left"/>
    </xf>
    <xf numFmtId="0" fontId="4" fillId="0" borderId="0" xfId="0" applyFont="1" applyAlignment="1">
      <alignment horizontal="center" wrapText="1"/>
    </xf>
    <xf numFmtId="167" fontId="26" fillId="0" borderId="0" xfId="0" applyNumberFormat="1" applyFont="1" applyAlignment="1">
      <alignment horizontal="left"/>
    </xf>
    <xf numFmtId="0" fontId="26" fillId="0" borderId="0" xfId="0" applyFont="1" applyAlignment="1">
      <alignment horizontal="left"/>
    </xf>
    <xf numFmtId="14" fontId="0" fillId="23" borderId="0" xfId="0" applyNumberFormat="1" applyFill="1" applyAlignment="1">
      <alignment horizontal="left"/>
    </xf>
    <xf numFmtId="0" fontId="0" fillId="23" borderId="0" xfId="0" applyFill="1" applyAlignment="1">
      <alignment horizontal="left"/>
    </xf>
    <xf numFmtId="49" fontId="0" fillId="23" borderId="0" xfId="0" applyNumberFormat="1" applyFill="1" applyAlignment="1">
      <alignment horizontal="left"/>
    </xf>
    <xf numFmtId="14" fontId="0" fillId="19" borderId="0" xfId="0" applyNumberFormat="1" applyFill="1" applyAlignment="1">
      <alignment horizontal="left"/>
    </xf>
    <xf numFmtId="0" fontId="0" fillId="19" borderId="0" xfId="0" applyFill="1" applyAlignment="1">
      <alignment horizontal="left"/>
    </xf>
    <xf numFmtId="44" fontId="0" fillId="19" borderId="0" xfId="2" applyFont="1" applyFill="1" applyAlignment="1">
      <alignment horizontal="left"/>
    </xf>
    <xf numFmtId="14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0" fontId="0" fillId="24" borderId="0" xfId="0" applyFill="1"/>
    <xf numFmtId="44" fontId="0" fillId="23" borderId="0" xfId="2" applyFont="1" applyFill="1" applyAlignment="1">
      <alignment horizontal="left"/>
    </xf>
    <xf numFmtId="0" fontId="0" fillId="23" borderId="0" xfId="0" applyFill="1"/>
    <xf numFmtId="44" fontId="0" fillId="23" borderId="0" xfId="2" applyFont="1" applyFill="1"/>
    <xf numFmtId="0" fontId="0" fillId="19" borderId="0" xfId="0" applyFill="1"/>
    <xf numFmtId="3" fontId="0" fillId="23" borderId="0" xfId="0" applyNumberFormat="1" applyFill="1" applyAlignment="1">
      <alignment horizontal="left"/>
    </xf>
    <xf numFmtId="44" fontId="0" fillId="0" borderId="0" xfId="0" applyNumberFormat="1"/>
    <xf numFmtId="169" fontId="0" fillId="0" borderId="40" xfId="0" applyNumberForma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70" fontId="0" fillId="0" borderId="0" xfId="0" applyNumberFormat="1"/>
    <xf numFmtId="43" fontId="0" fillId="0" borderId="0" xfId="1" applyFont="1" applyAlignment="1">
      <alignment horizontal="center" vertical="center"/>
    </xf>
    <xf numFmtId="43" fontId="0" fillId="0" borderId="0" xfId="0" applyNumberFormat="1" applyAlignment="1">
      <alignment horizontal="left"/>
    </xf>
    <xf numFmtId="0" fontId="0" fillId="25" borderId="0" xfId="0" applyFill="1"/>
    <xf numFmtId="0" fontId="15" fillId="0" borderId="40" xfId="4" applyFont="1" applyBorder="1" applyAlignment="1">
      <alignment horizontal="center"/>
    </xf>
    <xf numFmtId="0" fontId="15" fillId="0" borderId="40" xfId="4" applyFont="1" applyBorder="1" applyAlignment="1">
      <alignment horizontal="center" vertical="center"/>
    </xf>
    <xf numFmtId="0" fontId="6" fillId="0" borderId="40" xfId="4" applyFont="1" applyBorder="1" applyAlignment="1">
      <alignment horizontal="center" vertical="center"/>
    </xf>
    <xf numFmtId="6" fontId="0" fillId="0" borderId="40" xfId="0" applyNumberFormat="1" applyBorder="1" applyAlignment="1">
      <alignment horizontal="center" vertical="center"/>
    </xf>
    <xf numFmtId="0" fontId="0" fillId="0" borderId="40" xfId="0" applyBorder="1"/>
    <xf numFmtId="0" fontId="0" fillId="26" borderId="0" xfId="0" applyFill="1"/>
    <xf numFmtId="0" fontId="0" fillId="26" borderId="0" xfId="0" applyFill="1" applyAlignment="1">
      <alignment horizontal="center" vertical="center"/>
    </xf>
    <xf numFmtId="169" fontId="0" fillId="26" borderId="0" xfId="0" applyNumberFormat="1" applyFill="1" applyAlignment="1">
      <alignment horizontal="center" vertical="center"/>
    </xf>
    <xf numFmtId="169" fontId="0" fillId="23" borderId="40" xfId="0" applyNumberFormat="1" applyFill="1" applyBorder="1" applyAlignment="1">
      <alignment horizontal="center" vertical="center"/>
    </xf>
    <xf numFmtId="6" fontId="0" fillId="23" borderId="40" xfId="0" applyNumberFormat="1" applyFill="1" applyBorder="1" applyAlignment="1">
      <alignment horizontal="center" vertical="center"/>
    </xf>
    <xf numFmtId="44" fontId="0" fillId="24" borderId="0" xfId="2" applyFont="1" applyFill="1" applyAlignment="1">
      <alignment horizontal="left"/>
    </xf>
    <xf numFmtId="0" fontId="0" fillId="27" borderId="0" xfId="0" applyFill="1"/>
    <xf numFmtId="0" fontId="0" fillId="0" borderId="0" xfId="0" applyAlignment="1">
      <alignment horizontal="center" wrapText="1"/>
    </xf>
    <xf numFmtId="44" fontId="0" fillId="19" borderId="0" xfId="0" applyNumberFormat="1" applyFill="1"/>
    <xf numFmtId="43" fontId="0" fillId="0" borderId="0" xfId="0" applyNumberFormat="1"/>
    <xf numFmtId="0" fontId="14" fillId="0" borderId="2" xfId="0" applyFont="1" applyBorder="1" applyAlignment="1">
      <alignment horizontal="center"/>
    </xf>
    <xf numFmtId="4" fontId="14" fillId="0" borderId="31" xfId="0" applyNumberFormat="1" applyFont="1" applyBorder="1" applyAlignment="1">
      <alignment horizontal="right"/>
    </xf>
    <xf numFmtId="4" fontId="14" fillId="0" borderId="4" xfId="0" applyNumberFormat="1" applyFont="1" applyBorder="1" applyAlignment="1">
      <alignment horizontal="right"/>
    </xf>
    <xf numFmtId="0" fontId="14" fillId="0" borderId="9" xfId="0" applyFont="1" applyBorder="1" applyAlignment="1">
      <alignment horizontal="left"/>
    </xf>
    <xf numFmtId="0" fontId="14" fillId="0" borderId="5" xfId="0" applyFont="1" applyBorder="1" applyAlignment="1">
      <alignment horizontal="center"/>
    </xf>
    <xf numFmtId="4" fontId="14" fillId="0" borderId="4" xfId="0" applyNumberFormat="1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4" fontId="14" fillId="0" borderId="7" xfId="0" applyNumberFormat="1" applyFont="1" applyBorder="1" applyAlignment="1">
      <alignment horizontal="center"/>
    </xf>
    <xf numFmtId="4" fontId="14" fillId="0" borderId="9" xfId="0" applyNumberFormat="1" applyFont="1" applyBorder="1" applyAlignment="1">
      <alignment horizontal="left"/>
    </xf>
    <xf numFmtId="4" fontId="14" fillId="0" borderId="32" xfId="0" applyNumberFormat="1" applyFont="1" applyBorder="1" applyAlignment="1">
      <alignment horizontal="right"/>
    </xf>
    <xf numFmtId="4" fontId="14" fillId="0" borderId="6" xfId="0" applyNumberFormat="1" applyFont="1" applyBorder="1" applyAlignment="1">
      <alignment horizontal="right"/>
    </xf>
    <xf numFmtId="0" fontId="13" fillId="0" borderId="5" xfId="0" applyFont="1" applyBorder="1" applyAlignment="1">
      <alignment horizontal="center"/>
    </xf>
    <xf numFmtId="4" fontId="13" fillId="0" borderId="4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4" fontId="14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center"/>
    </xf>
    <xf numFmtId="0" fontId="14" fillId="0" borderId="22" xfId="0" applyFont="1" applyBorder="1" applyAlignment="1">
      <alignment horizontal="center"/>
    </xf>
    <xf numFmtId="0" fontId="6" fillId="0" borderId="4" xfId="0" applyFont="1" applyBorder="1"/>
    <xf numFmtId="0" fontId="15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center" vertical="center"/>
    </xf>
    <xf numFmtId="166" fontId="15" fillId="0" borderId="4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" fontId="0" fillId="0" borderId="31" xfId="0" applyNumberFormat="1" applyBorder="1" applyAlignment="1">
      <alignment horizontal="right"/>
    </xf>
    <xf numFmtId="4" fontId="0" fillId="0" borderId="4" xfId="0" applyNumberFormat="1" applyBorder="1" applyAlignment="1">
      <alignment horizontal="right"/>
    </xf>
    <xf numFmtId="0" fontId="11" fillId="0" borderId="24" xfId="0" applyFont="1" applyBorder="1"/>
    <xf numFmtId="0" fontId="0" fillId="0" borderId="25" xfId="0" applyBorder="1"/>
    <xf numFmtId="0" fontId="0" fillId="0" borderId="38" xfId="0" applyBorder="1"/>
    <xf numFmtId="166" fontId="0" fillId="0" borderId="39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4" fontId="0" fillId="0" borderId="13" xfId="0" applyNumberFormat="1" applyBorder="1" applyAlignment="1">
      <alignment horizontal="right"/>
    </xf>
    <xf numFmtId="4" fontId="0" fillId="0" borderId="39" xfId="0" applyNumberFormat="1" applyBorder="1" applyAlignment="1">
      <alignment horizontal="right"/>
    </xf>
    <xf numFmtId="4" fontId="0" fillId="0" borderId="14" xfId="0" applyNumberFormat="1" applyBorder="1" applyAlignment="1">
      <alignment horizontal="center"/>
    </xf>
    <xf numFmtId="4" fontId="0" fillId="0" borderId="24" xfId="0" applyNumberFormat="1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15" fillId="0" borderId="6" xfId="0" applyFont="1" applyBorder="1" applyAlignment="1">
      <alignment vertical="center"/>
    </xf>
    <xf numFmtId="4" fontId="0" fillId="0" borderId="7" xfId="0" applyNumberFormat="1" applyBorder="1"/>
    <xf numFmtId="4" fontId="0" fillId="0" borderId="7" xfId="0" applyNumberFormat="1" applyBorder="1" applyAlignment="1">
      <alignment horizontal="right"/>
    </xf>
    <xf numFmtId="0" fontId="0" fillId="0" borderId="9" xfId="0" applyBorder="1" applyAlignment="1">
      <alignment horizontal="left"/>
    </xf>
    <xf numFmtId="0" fontId="15" fillId="0" borderId="2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4" fontId="15" fillId="0" borderId="31" xfId="0" applyNumberFormat="1" applyFont="1" applyBorder="1" applyAlignment="1">
      <alignment horizontal="right"/>
    </xf>
    <xf numFmtId="4" fontId="15" fillId="0" borderId="4" xfId="0" applyNumberFormat="1" applyFont="1" applyBorder="1" applyAlignment="1">
      <alignment horizontal="right"/>
    </xf>
    <xf numFmtId="4" fontId="15" fillId="0" borderId="4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0" fillId="0" borderId="2" xfId="0" applyBorder="1"/>
    <xf numFmtId="0" fontId="19" fillId="0" borderId="2" xfId="0" applyFont="1" applyBorder="1" applyAlignment="1">
      <alignment horizontal="center"/>
    </xf>
    <xf numFmtId="4" fontId="19" fillId="0" borderId="31" xfId="0" applyNumberFormat="1" applyFont="1" applyBorder="1" applyAlignment="1">
      <alignment horizontal="right"/>
    </xf>
    <xf numFmtId="4" fontId="19" fillId="0" borderId="4" xfId="0" applyNumberFormat="1" applyFont="1" applyBorder="1" applyAlignment="1">
      <alignment horizontal="right"/>
    </xf>
    <xf numFmtId="0" fontId="19" fillId="0" borderId="8" xfId="0" applyFont="1" applyBorder="1" applyAlignment="1">
      <alignment horizontal="left" vertical="center"/>
    </xf>
    <xf numFmtId="0" fontId="19" fillId="0" borderId="8" xfId="0" applyFont="1" applyBorder="1" applyAlignment="1">
      <alignment horizontal="center" vertical="center"/>
    </xf>
    <xf numFmtId="166" fontId="19" fillId="0" borderId="7" xfId="0" applyNumberFormat="1" applyFont="1" applyBorder="1" applyAlignment="1">
      <alignment horizontal="center" vertical="center"/>
    </xf>
    <xf numFmtId="4" fontId="20" fillId="0" borderId="33" xfId="0" applyNumberFormat="1" applyFont="1" applyBorder="1" applyAlignment="1">
      <alignment horizontal="right"/>
    </xf>
    <xf numFmtId="4" fontId="20" fillId="0" borderId="7" xfId="0" applyNumberFormat="1" applyFont="1" applyBorder="1" applyAlignment="1">
      <alignment horizontal="right"/>
    </xf>
    <xf numFmtId="4" fontId="27" fillId="19" borderId="4" xfId="0" applyNumberFormat="1" applyFont="1" applyFill="1" applyBorder="1" applyAlignment="1">
      <alignment horizontal="right"/>
    </xf>
    <xf numFmtId="0" fontId="4" fillId="11" borderId="23" xfId="0" applyFont="1" applyFill="1" applyBorder="1" applyAlignment="1">
      <alignment horizontal="left"/>
    </xf>
    <xf numFmtId="0" fontId="4" fillId="14" borderId="16" xfId="0" applyFont="1" applyFill="1" applyBorder="1" applyAlignment="1">
      <alignment horizontal="center"/>
    </xf>
    <xf numFmtId="0" fontId="4" fillId="15" borderId="16" xfId="0" applyFont="1" applyFill="1" applyBorder="1" applyAlignment="1">
      <alignment horizontal="center"/>
    </xf>
    <xf numFmtId="0" fontId="4" fillId="20" borderId="16" xfId="0" applyFont="1" applyFill="1" applyBorder="1" applyAlignment="1">
      <alignment horizontal="center"/>
    </xf>
    <xf numFmtId="0" fontId="4" fillId="19" borderId="16" xfId="0" applyFont="1" applyFill="1" applyBorder="1" applyAlignment="1">
      <alignment horizontal="center"/>
    </xf>
    <xf numFmtId="0" fontId="7" fillId="0" borderId="40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 wrapText="1"/>
    </xf>
    <xf numFmtId="0" fontId="4" fillId="11" borderId="17" xfId="0" applyFont="1" applyFill="1" applyBorder="1" applyAlignment="1">
      <alignment horizontal="center"/>
    </xf>
    <xf numFmtId="0" fontId="4" fillId="11" borderId="17" xfId="0" applyFont="1" applyFill="1" applyBorder="1" applyAlignment="1">
      <alignment horizontal="left"/>
    </xf>
    <xf numFmtId="0" fontId="4" fillId="11" borderId="28" xfId="0" applyFont="1" applyFill="1" applyBorder="1" applyAlignment="1">
      <alignment horizontal="left"/>
    </xf>
    <xf numFmtId="0" fontId="4" fillId="14" borderId="15" xfId="0" applyFont="1" applyFill="1" applyBorder="1" applyAlignment="1">
      <alignment horizontal="center"/>
    </xf>
    <xf numFmtId="0" fontId="4" fillId="15" borderId="15" xfId="0" applyFont="1" applyFill="1" applyBorder="1" applyAlignment="1">
      <alignment horizontal="center"/>
    </xf>
    <xf numFmtId="0" fontId="4" fillId="20" borderId="15" xfId="0" applyFont="1" applyFill="1" applyBorder="1" applyAlignment="1">
      <alignment horizontal="center"/>
    </xf>
    <xf numFmtId="0" fontId="4" fillId="19" borderId="15" xfId="0" applyFont="1" applyFill="1" applyBorder="1" applyAlignment="1">
      <alignment horizontal="left"/>
    </xf>
    <xf numFmtId="14" fontId="13" fillId="0" borderId="40" xfId="0" applyNumberFormat="1" applyFont="1" applyBorder="1" applyAlignment="1">
      <alignment horizontal="left" vertical="center"/>
    </xf>
    <xf numFmtId="0" fontId="14" fillId="0" borderId="40" xfId="0" applyFont="1" applyBorder="1"/>
    <xf numFmtId="0" fontId="13" fillId="0" borderId="40" xfId="0" applyFont="1" applyBorder="1" applyAlignment="1">
      <alignment horizontal="left" vertical="center"/>
    </xf>
    <xf numFmtId="0" fontId="13" fillId="0" borderId="40" xfId="0" applyFont="1" applyBorder="1" applyAlignment="1">
      <alignment horizontal="center" vertical="center"/>
    </xf>
    <xf numFmtId="166" fontId="13" fillId="0" borderId="40" xfId="0" applyNumberFormat="1" applyFont="1" applyBorder="1" applyAlignment="1">
      <alignment horizontal="center" vertical="center"/>
    </xf>
    <xf numFmtId="4" fontId="14" fillId="0" borderId="40" xfId="0" applyNumberFormat="1" applyFont="1" applyBorder="1" applyAlignment="1">
      <alignment horizontal="center"/>
    </xf>
    <xf numFmtId="0" fontId="14" fillId="0" borderId="40" xfId="0" applyFont="1" applyBorder="1" applyAlignment="1">
      <alignment horizontal="center"/>
    </xf>
    <xf numFmtId="0" fontId="13" fillId="0" borderId="40" xfId="0" applyFont="1" applyBorder="1" applyAlignment="1">
      <alignment horizontal="left" vertical="center" wrapText="1"/>
    </xf>
    <xf numFmtId="0" fontId="13" fillId="0" borderId="40" xfId="0" applyFont="1" applyBorder="1" applyAlignment="1">
      <alignment horizontal="center" vertical="center" wrapText="1"/>
    </xf>
    <xf numFmtId="166" fontId="13" fillId="0" borderId="40" xfId="0" applyNumberFormat="1" applyFont="1" applyBorder="1" applyAlignment="1">
      <alignment horizontal="center" vertical="center" wrapText="1"/>
    </xf>
    <xf numFmtId="4" fontId="14" fillId="0" borderId="40" xfId="0" applyNumberFormat="1" applyFont="1" applyBorder="1" applyAlignment="1">
      <alignment horizontal="right"/>
    </xf>
    <xf numFmtId="14" fontId="13" fillId="0" borderId="40" xfId="0" applyNumberFormat="1" applyFont="1" applyBorder="1" applyAlignment="1">
      <alignment horizontal="left"/>
    </xf>
    <xf numFmtId="0" fontId="13" fillId="0" borderId="40" xfId="0" applyFont="1" applyBorder="1" applyAlignment="1">
      <alignment horizontal="left"/>
    </xf>
    <xf numFmtId="4" fontId="13" fillId="0" borderId="40" xfId="0" applyNumberFormat="1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14" fontId="13" fillId="0" borderId="0" xfId="0" applyNumberFormat="1" applyFont="1" applyAlignment="1">
      <alignment horizontal="left" vertical="center"/>
    </xf>
    <xf numFmtId="14" fontId="15" fillId="0" borderId="4" xfId="0" applyNumberFormat="1" applyFont="1" applyBorder="1" applyAlignment="1">
      <alignment horizontal="left" vertical="center"/>
    </xf>
    <xf numFmtId="4" fontId="0" fillId="0" borderId="40" xfId="0" applyNumberFormat="1" applyBorder="1" applyAlignment="1">
      <alignment horizontal="center"/>
    </xf>
    <xf numFmtId="0" fontId="0" fillId="0" borderId="40" xfId="0" applyBorder="1" applyAlignment="1">
      <alignment horizontal="center"/>
    </xf>
    <xf numFmtId="14" fontId="15" fillId="0" borderId="40" xfId="0" applyNumberFormat="1" applyFont="1" applyBorder="1" applyAlignment="1">
      <alignment horizontal="left" vertical="center"/>
    </xf>
    <xf numFmtId="14" fontId="15" fillId="0" borderId="5" xfId="0" applyNumberFormat="1" applyFont="1" applyBorder="1" applyAlignment="1">
      <alignment horizontal="left" vertical="center"/>
    </xf>
    <xf numFmtId="0" fontId="1" fillId="0" borderId="6" xfId="0" applyFont="1" applyBorder="1" applyAlignment="1">
      <alignment horizontal="left"/>
    </xf>
    <xf numFmtId="4" fontId="0" fillId="0" borderId="40" xfId="0" applyNumberFormat="1" applyBorder="1"/>
    <xf numFmtId="4" fontId="0" fillId="0" borderId="40" xfId="0" applyNumberFormat="1" applyBorder="1" applyAlignment="1">
      <alignment horizontal="right"/>
    </xf>
    <xf numFmtId="14" fontId="15" fillId="0" borderId="6" xfId="0" applyNumberFormat="1" applyFont="1" applyBorder="1" applyAlignment="1">
      <alignment horizontal="left" vertical="center"/>
    </xf>
    <xf numFmtId="4" fontId="15" fillId="0" borderId="40" xfId="0" applyNumberFormat="1" applyFont="1" applyBorder="1" applyAlignment="1">
      <alignment horizontal="right"/>
    </xf>
    <xf numFmtId="4" fontId="15" fillId="0" borderId="40" xfId="0" applyNumberFormat="1" applyFont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17" fillId="0" borderId="7" xfId="0" applyFont="1" applyBorder="1" applyAlignment="1">
      <alignment horizontal="left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166" fontId="1" fillId="0" borderId="7" xfId="0" applyNumberFormat="1" applyFont="1" applyBorder="1" applyAlignment="1">
      <alignment horizontal="center" vertical="center"/>
    </xf>
    <xf numFmtId="4" fontId="1" fillId="0" borderId="40" xfId="0" applyNumberFormat="1" applyFont="1" applyBorder="1" applyAlignment="1">
      <alignment horizontal="right"/>
    </xf>
    <xf numFmtId="4" fontId="1" fillId="0" borderId="40" xfId="0" applyNumberFormat="1" applyFont="1" applyBorder="1" applyAlignment="1">
      <alignment horizontal="center"/>
    </xf>
    <xf numFmtId="0" fontId="21" fillId="0" borderId="40" xfId="0" applyFont="1" applyBorder="1" applyAlignment="1">
      <alignment horizontal="center"/>
    </xf>
    <xf numFmtId="14" fontId="1" fillId="0" borderId="4" xfId="0" applyNumberFormat="1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15" fillId="0" borderId="40" xfId="0" applyFont="1" applyBorder="1" applyAlignment="1">
      <alignment horizontal="left" vertical="center"/>
    </xf>
    <xf numFmtId="166" fontId="15" fillId="0" borderId="40" xfId="0" applyNumberFormat="1" applyFont="1" applyBorder="1" applyAlignment="1">
      <alignment horizontal="center" vertical="center"/>
    </xf>
    <xf numFmtId="0" fontId="6" fillId="0" borderId="40" xfId="0" applyFont="1" applyBorder="1"/>
    <xf numFmtId="166" fontId="0" fillId="0" borderId="40" xfId="0" applyNumberFormat="1" applyBorder="1" applyAlignment="1">
      <alignment horizontal="center"/>
    </xf>
    <xf numFmtId="4" fontId="19" fillId="0" borderId="40" xfId="0" applyNumberFormat="1" applyFont="1" applyBorder="1" applyAlignment="1">
      <alignment horizontal="center"/>
    </xf>
    <xf numFmtId="0" fontId="19" fillId="0" borderId="40" xfId="0" applyFont="1" applyBorder="1" applyAlignment="1">
      <alignment horizontal="center"/>
    </xf>
    <xf numFmtId="14" fontId="19" fillId="0" borderId="4" xfId="0" applyNumberFormat="1" applyFont="1" applyBorder="1" applyAlignment="1">
      <alignment horizontal="left"/>
    </xf>
    <xf numFmtId="14" fontId="19" fillId="0" borderId="40" xfId="0" applyNumberFormat="1" applyFont="1" applyBorder="1" applyAlignment="1">
      <alignment horizontal="left"/>
    </xf>
    <xf numFmtId="0" fontId="19" fillId="0" borderId="40" xfId="0" applyFont="1" applyBorder="1" applyAlignment="1">
      <alignment horizontal="left" vertical="center" wrapText="1"/>
    </xf>
    <xf numFmtId="166" fontId="19" fillId="0" borderId="40" xfId="0" applyNumberFormat="1" applyFont="1" applyBorder="1" applyAlignment="1">
      <alignment horizontal="center" vertical="center" wrapText="1"/>
    </xf>
    <xf numFmtId="4" fontId="19" fillId="0" borderId="40" xfId="0" applyNumberFormat="1" applyFont="1" applyBorder="1" applyAlignment="1">
      <alignment horizontal="right"/>
    </xf>
    <xf numFmtId="0" fontId="19" fillId="0" borderId="6" xfId="0" applyFont="1" applyBorder="1" applyAlignment="1">
      <alignment horizontal="left"/>
    </xf>
    <xf numFmtId="4" fontId="20" fillId="0" borderId="40" xfId="0" applyNumberFormat="1" applyFont="1" applyBorder="1" applyAlignment="1">
      <alignment horizontal="right"/>
    </xf>
    <xf numFmtId="0" fontId="20" fillId="0" borderId="40" xfId="0" applyFont="1" applyBorder="1" applyAlignment="1">
      <alignment horizontal="left"/>
    </xf>
    <xf numFmtId="0" fontId="20" fillId="0" borderId="40" xfId="0" applyFont="1" applyBorder="1"/>
    <xf numFmtId="0" fontId="20" fillId="0" borderId="40" xfId="0" applyFont="1" applyBorder="1" applyAlignment="1">
      <alignment horizontal="center"/>
    </xf>
    <xf numFmtId="166" fontId="20" fillId="0" borderId="40" xfId="0" applyNumberFormat="1" applyFont="1" applyBorder="1" applyAlignment="1">
      <alignment horizontal="center"/>
    </xf>
    <xf numFmtId="14" fontId="23" fillId="0" borderId="40" xfId="0" applyNumberFormat="1" applyFont="1" applyBorder="1" applyAlignment="1">
      <alignment horizontal="left"/>
    </xf>
    <xf numFmtId="0" fontId="22" fillId="0" borderId="40" xfId="0" applyFont="1" applyBorder="1" applyAlignment="1">
      <alignment horizontal="left"/>
    </xf>
    <xf numFmtId="0" fontId="23" fillId="0" borderId="40" xfId="0" applyFont="1" applyBorder="1" applyAlignment="1">
      <alignment horizontal="left" vertical="center" wrapText="1"/>
    </xf>
    <xf numFmtId="166" fontId="23" fillId="0" borderId="40" xfId="0" applyNumberFormat="1" applyFont="1" applyBorder="1" applyAlignment="1">
      <alignment horizontal="center" vertical="center" wrapText="1"/>
    </xf>
    <xf numFmtId="4" fontId="23" fillId="0" borderId="40" xfId="0" applyNumberFormat="1" applyFont="1" applyBorder="1" applyAlignment="1">
      <alignment horizontal="right"/>
    </xf>
    <xf numFmtId="14" fontId="29" fillId="17" borderId="40" xfId="0" applyNumberFormat="1" applyFont="1" applyFill="1" applyBorder="1" applyAlignment="1">
      <alignment horizontal="left" vertical="center"/>
    </xf>
    <xf numFmtId="3" fontId="14" fillId="0" borderId="40" xfId="0" applyNumberFormat="1" applyFont="1" applyBorder="1"/>
    <xf numFmtId="0" fontId="4" fillId="17" borderId="40" xfId="0" applyFont="1" applyFill="1" applyBorder="1"/>
    <xf numFmtId="3" fontId="0" fillId="0" borderId="40" xfId="0" applyNumberFormat="1" applyBorder="1"/>
    <xf numFmtId="14" fontId="18" fillId="17" borderId="40" xfId="0" applyNumberFormat="1" applyFont="1" applyFill="1" applyBorder="1" applyAlignment="1">
      <alignment horizontal="left"/>
    </xf>
    <xf numFmtId="3" fontId="22" fillId="0" borderId="40" xfId="0" applyNumberFormat="1" applyFont="1" applyBorder="1"/>
    <xf numFmtId="164" fontId="4" fillId="6" borderId="17" xfId="1" applyNumberFormat="1" applyFont="1" applyFill="1" applyBorder="1"/>
    <xf numFmtId="164" fontId="4" fillId="6" borderId="19" xfId="1" applyNumberFormat="1" applyFont="1" applyFill="1" applyBorder="1"/>
    <xf numFmtId="14" fontId="19" fillId="17" borderId="40" xfId="0" applyNumberFormat="1" applyFont="1" applyFill="1" applyBorder="1" applyAlignment="1">
      <alignment horizontal="left"/>
    </xf>
    <xf numFmtId="0" fontId="20" fillId="17" borderId="40" xfId="0" applyFont="1" applyFill="1" applyBorder="1"/>
    <xf numFmtId="0" fontId="20" fillId="17" borderId="40" xfId="0" applyFont="1" applyFill="1" applyBorder="1" applyAlignment="1">
      <alignment horizontal="center"/>
    </xf>
    <xf numFmtId="166" fontId="20" fillId="17" borderId="40" xfId="0" applyNumberFormat="1" applyFont="1" applyFill="1" applyBorder="1" applyAlignment="1">
      <alignment horizontal="center"/>
    </xf>
    <xf numFmtId="4" fontId="3" fillId="17" borderId="40" xfId="0" applyNumberFormat="1" applyFont="1" applyFill="1" applyBorder="1" applyAlignment="1">
      <alignment horizontal="right"/>
    </xf>
    <xf numFmtId="3" fontId="3" fillId="17" borderId="40" xfId="0" applyNumberFormat="1" applyFont="1" applyFill="1" applyBorder="1" applyAlignment="1">
      <alignment horizontal="right"/>
    </xf>
    <xf numFmtId="0" fontId="1" fillId="6" borderId="40" xfId="0" applyFont="1" applyFill="1" applyBorder="1" applyAlignment="1">
      <alignment horizontal="center"/>
    </xf>
    <xf numFmtId="0" fontId="25" fillId="3" borderId="0" xfId="0" applyFont="1" applyFill="1"/>
    <xf numFmtId="4" fontId="25" fillId="3" borderId="40" xfId="0" applyNumberFormat="1" applyFont="1" applyFill="1" applyBorder="1" applyAlignment="1">
      <alignment horizontal="right"/>
    </xf>
    <xf numFmtId="0" fontId="0" fillId="3" borderId="40" xfId="0" applyFill="1" applyBorder="1" applyAlignment="1">
      <alignment horizontal="right"/>
    </xf>
    <xf numFmtId="0" fontId="25" fillId="3" borderId="40" xfId="0" applyFont="1" applyFill="1" applyBorder="1" applyAlignment="1">
      <alignment horizontal="right"/>
    </xf>
    <xf numFmtId="0" fontId="0" fillId="3" borderId="40" xfId="0" applyFill="1" applyBorder="1" applyAlignment="1">
      <alignment horizontal="center"/>
    </xf>
    <xf numFmtId="0" fontId="4" fillId="11" borderId="15" xfId="0" applyFont="1" applyFill="1" applyBorder="1" applyAlignment="1">
      <alignment horizontal="center"/>
    </xf>
    <xf numFmtId="0" fontId="4" fillId="14" borderId="15" xfId="0" applyFont="1" applyFill="1" applyBorder="1" applyAlignment="1">
      <alignment horizontal="left"/>
    </xf>
    <xf numFmtId="0" fontId="2" fillId="14" borderId="16" xfId="0" applyFont="1" applyFill="1" applyBorder="1" applyAlignment="1">
      <alignment horizontal="right"/>
    </xf>
    <xf numFmtId="0" fontId="4" fillId="15" borderId="15" xfId="0" applyFont="1" applyFill="1" applyBorder="1" applyAlignment="1">
      <alignment horizontal="left"/>
    </xf>
    <xf numFmtId="0" fontId="4" fillId="20" borderId="15" xfId="0" applyFont="1" applyFill="1" applyBorder="1" applyAlignment="1">
      <alignment horizontal="left"/>
    </xf>
    <xf numFmtId="164" fontId="8" fillId="8" borderId="40" xfId="1" applyNumberFormat="1" applyFont="1" applyFill="1" applyBorder="1" applyAlignment="1">
      <alignment horizontal="center" vertical="center" wrapText="1"/>
    </xf>
    <xf numFmtId="0" fontId="8" fillId="9" borderId="40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11" fillId="3" borderId="40" xfId="3" applyFont="1" applyFill="1" applyBorder="1" applyAlignment="1">
      <alignment horizontal="center" vertical="center" wrapText="1"/>
    </xf>
    <xf numFmtId="14" fontId="13" fillId="5" borderId="4" xfId="0" applyNumberFormat="1" applyFont="1" applyFill="1" applyBorder="1" applyAlignment="1">
      <alignment horizontal="left" vertical="center"/>
    </xf>
    <xf numFmtId="0" fontId="13" fillId="5" borderId="40" xfId="0" applyFont="1" applyFill="1" applyBorder="1"/>
    <xf numFmtId="3" fontId="13" fillId="5" borderId="40" xfId="2" applyNumberFormat="1" applyFont="1" applyFill="1" applyBorder="1" applyAlignment="1">
      <alignment horizontal="right"/>
    </xf>
    <xf numFmtId="3" fontId="14" fillId="5" borderId="40" xfId="0" applyNumberFormat="1" applyFont="1" applyFill="1" applyBorder="1" applyAlignment="1">
      <alignment horizontal="right"/>
    </xf>
    <xf numFmtId="0" fontId="14" fillId="6" borderId="40" xfId="0" applyFont="1" applyFill="1" applyBorder="1" applyAlignment="1">
      <alignment horizontal="center"/>
    </xf>
    <xf numFmtId="0" fontId="14" fillId="5" borderId="40" xfId="0" applyFont="1" applyFill="1" applyBorder="1"/>
    <xf numFmtId="0" fontId="14" fillId="5" borderId="40" xfId="0" applyFont="1" applyFill="1" applyBorder="1" applyAlignment="1">
      <alignment horizontal="center"/>
    </xf>
    <xf numFmtId="0" fontId="14" fillId="5" borderId="40" xfId="0" applyFont="1" applyFill="1" applyBorder="1" applyAlignment="1">
      <alignment horizontal="left"/>
    </xf>
    <xf numFmtId="0" fontId="0" fillId="5" borderId="40" xfId="0" applyFill="1" applyBorder="1"/>
    <xf numFmtId="14" fontId="13" fillId="5" borderId="7" xfId="0" applyNumberFormat="1" applyFont="1" applyFill="1" applyBorder="1" applyAlignment="1">
      <alignment horizontal="left" vertical="center"/>
    </xf>
    <xf numFmtId="3" fontId="15" fillId="0" borderId="40" xfId="2" applyNumberFormat="1" applyFont="1" applyFill="1" applyBorder="1" applyAlignment="1">
      <alignment horizontal="right"/>
    </xf>
    <xf numFmtId="3" fontId="0" fillId="0" borderId="40" xfId="0" applyNumberFormat="1" applyBorder="1" applyAlignment="1">
      <alignment horizontal="right"/>
    </xf>
    <xf numFmtId="0" fontId="0" fillId="6" borderId="40" xfId="0" applyFill="1" applyBorder="1" applyAlignment="1">
      <alignment horizontal="center"/>
    </xf>
    <xf numFmtId="0" fontId="0" fillId="0" borderId="40" xfId="0" applyBorder="1" applyAlignment="1">
      <alignment horizontal="left"/>
    </xf>
    <xf numFmtId="0" fontId="1" fillId="0" borderId="7" xfId="0" applyFont="1" applyBorder="1" applyAlignment="1">
      <alignment horizontal="left"/>
    </xf>
    <xf numFmtId="0" fontId="15" fillId="0" borderId="40" xfId="0" applyFont="1" applyBorder="1"/>
    <xf numFmtId="0" fontId="13" fillId="5" borderId="40" xfId="0" applyFont="1" applyFill="1" applyBorder="1" applyAlignment="1">
      <alignment horizontal="left" vertical="center" wrapText="1"/>
    </xf>
    <xf numFmtId="166" fontId="13" fillId="5" borderId="40" xfId="0" applyNumberFormat="1" applyFont="1" applyFill="1" applyBorder="1" applyAlignment="1">
      <alignment horizontal="center" vertical="center" wrapText="1"/>
    </xf>
    <xf numFmtId="0" fontId="13" fillId="0" borderId="40" xfId="0" applyFont="1" applyBorder="1"/>
    <xf numFmtId="3" fontId="13" fillId="0" borderId="40" xfId="2" applyNumberFormat="1" applyFont="1" applyFill="1" applyBorder="1" applyAlignment="1">
      <alignment horizontal="right"/>
    </xf>
    <xf numFmtId="3" fontId="14" fillId="0" borderId="40" xfId="0" applyNumberFormat="1" applyFont="1" applyBorder="1" applyAlignment="1">
      <alignment horizontal="right"/>
    </xf>
    <xf numFmtId="0" fontId="14" fillId="0" borderId="40" xfId="0" applyFont="1" applyBorder="1" applyAlignment="1">
      <alignment horizontal="left"/>
    </xf>
    <xf numFmtId="14" fontId="13" fillId="0" borderId="4" xfId="0" applyNumberFormat="1" applyFont="1" applyBorder="1" applyAlignment="1">
      <alignment horizontal="left" vertical="center"/>
    </xf>
    <xf numFmtId="0" fontId="13" fillId="5" borderId="40" xfId="0" applyFont="1" applyFill="1" applyBorder="1" applyAlignment="1">
      <alignment horizontal="left" vertical="center"/>
    </xf>
    <xf numFmtId="166" fontId="13" fillId="5" borderId="40" xfId="0" applyNumberFormat="1" applyFont="1" applyFill="1" applyBorder="1" applyAlignment="1">
      <alignment horizontal="center" vertical="center"/>
    </xf>
    <xf numFmtId="0" fontId="13" fillId="0" borderId="6" xfId="0" applyFont="1" applyBorder="1" applyAlignment="1">
      <alignment horizontal="left"/>
    </xf>
    <xf numFmtId="14" fontId="13" fillId="0" borderId="7" xfId="0" applyNumberFormat="1" applyFont="1" applyBorder="1" applyAlignment="1">
      <alignment horizontal="left" vertical="center"/>
    </xf>
    <xf numFmtId="14" fontId="15" fillId="5" borderId="40" xfId="0" applyNumberFormat="1" applyFont="1" applyFill="1" applyBorder="1" applyAlignment="1">
      <alignment horizontal="left" vertical="center"/>
    </xf>
    <xf numFmtId="0" fontId="15" fillId="5" borderId="40" xfId="0" applyFont="1" applyFill="1" applyBorder="1" applyAlignment="1">
      <alignment horizontal="left" vertical="center" wrapText="1"/>
    </xf>
    <xf numFmtId="0" fontId="15" fillId="5" borderId="40" xfId="0" applyFont="1" applyFill="1" applyBorder="1" applyAlignment="1">
      <alignment horizontal="left" vertical="center"/>
    </xf>
    <xf numFmtId="166" fontId="15" fillId="5" borderId="40" xfId="0" applyNumberFormat="1" applyFont="1" applyFill="1" applyBorder="1" applyAlignment="1">
      <alignment horizontal="center" vertical="center" wrapText="1"/>
    </xf>
    <xf numFmtId="0" fontId="15" fillId="5" borderId="40" xfId="0" applyFont="1" applyFill="1" applyBorder="1"/>
    <xf numFmtId="3" fontId="0" fillId="5" borderId="40" xfId="0" applyNumberFormat="1" applyFill="1" applyBorder="1" applyAlignment="1">
      <alignment horizontal="right"/>
    </xf>
    <xf numFmtId="3" fontId="15" fillId="5" borderId="40" xfId="2" applyNumberFormat="1" applyFont="1" applyFill="1" applyBorder="1" applyAlignment="1">
      <alignment horizontal="right"/>
    </xf>
    <xf numFmtId="0" fontId="15" fillId="5" borderId="40" xfId="0" applyFont="1" applyFill="1" applyBorder="1" applyAlignment="1">
      <alignment horizontal="center"/>
    </xf>
    <xf numFmtId="0" fontId="0" fillId="5" borderId="40" xfId="0" applyFill="1" applyBorder="1" applyAlignment="1">
      <alignment horizontal="center"/>
    </xf>
    <xf numFmtId="0" fontId="0" fillId="5" borderId="40" xfId="0" applyFill="1" applyBorder="1" applyAlignment="1">
      <alignment horizontal="left"/>
    </xf>
    <xf numFmtId="14" fontId="15" fillId="5" borderId="4" xfId="0" applyNumberFormat="1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left"/>
    </xf>
    <xf numFmtId="0" fontId="15" fillId="5" borderId="40" xfId="0" applyFont="1" applyFill="1" applyBorder="1" applyAlignment="1">
      <alignment horizontal="left"/>
    </xf>
    <xf numFmtId="0" fontId="1" fillId="5" borderId="4" xfId="0" applyFont="1" applyFill="1" applyBorder="1" applyAlignment="1">
      <alignment horizontal="left"/>
    </xf>
    <xf numFmtId="14" fontId="15" fillId="5" borderId="6" xfId="0" applyNumberFormat="1" applyFont="1" applyFill="1" applyBorder="1" applyAlignment="1">
      <alignment horizontal="left" vertical="center"/>
    </xf>
    <xf numFmtId="3" fontId="15" fillId="5" borderId="40" xfId="0" applyNumberFormat="1" applyFont="1" applyFill="1" applyBorder="1" applyAlignment="1">
      <alignment horizontal="right"/>
    </xf>
    <xf numFmtId="0" fontId="15" fillId="6" borderId="40" xfId="0" applyFont="1" applyFill="1" applyBorder="1" applyAlignment="1">
      <alignment horizontal="center"/>
    </xf>
    <xf numFmtId="0" fontId="17" fillId="5" borderId="7" xfId="0" applyFont="1" applyFill="1" applyBorder="1" applyAlignment="1">
      <alignment horizontal="left"/>
    </xf>
    <xf numFmtId="0" fontId="21" fillId="5" borderId="40" xfId="0" applyFont="1" applyFill="1" applyBorder="1"/>
    <xf numFmtId="3" fontId="21" fillId="5" borderId="40" xfId="2" applyNumberFormat="1" applyFont="1" applyFill="1" applyBorder="1" applyAlignment="1">
      <alignment horizontal="right"/>
    </xf>
    <xf numFmtId="3" fontId="3" fillId="5" borderId="40" xfId="0" applyNumberFormat="1" applyFont="1" applyFill="1" applyBorder="1" applyAlignment="1">
      <alignment horizontal="right"/>
    </xf>
    <xf numFmtId="3" fontId="21" fillId="5" borderId="40" xfId="0" applyNumberFormat="1" applyFont="1" applyFill="1" applyBorder="1" applyAlignment="1">
      <alignment horizontal="right"/>
    </xf>
    <xf numFmtId="0" fontId="21" fillId="6" borderId="40" xfId="0" applyFont="1" applyFill="1" applyBorder="1" applyAlignment="1">
      <alignment horizontal="center"/>
    </xf>
    <xf numFmtId="0" fontId="16" fillId="5" borderId="40" xfId="0" applyFont="1" applyFill="1" applyBorder="1"/>
    <xf numFmtId="0" fontId="17" fillId="5" borderId="40" xfId="0" applyFont="1" applyFill="1" applyBorder="1" applyAlignment="1">
      <alignment horizontal="center"/>
    </xf>
    <xf numFmtId="0" fontId="17" fillId="5" borderId="40" xfId="0" applyFont="1" applyFill="1" applyBorder="1" applyAlignment="1">
      <alignment horizontal="left"/>
    </xf>
    <xf numFmtId="3" fontId="15" fillId="0" borderId="40" xfId="0" applyNumberFormat="1" applyFont="1" applyBorder="1" applyAlignment="1">
      <alignment horizontal="right"/>
    </xf>
    <xf numFmtId="0" fontId="15" fillId="0" borderId="40" xfId="0" applyFont="1" applyBorder="1" applyAlignment="1">
      <alignment horizontal="left"/>
    </xf>
    <xf numFmtId="14" fontId="13" fillId="5" borderId="5" xfId="0" applyNumberFormat="1" applyFont="1" applyFill="1" applyBorder="1" applyAlignment="1">
      <alignment horizontal="left" vertical="center"/>
    </xf>
    <xf numFmtId="0" fontId="13" fillId="5" borderId="40" xfId="0" applyFont="1" applyFill="1" applyBorder="1" applyAlignment="1">
      <alignment horizontal="center"/>
    </xf>
    <xf numFmtId="0" fontId="13" fillId="5" borderId="40" xfId="0" applyFont="1" applyFill="1" applyBorder="1" applyAlignment="1">
      <alignment horizontal="left"/>
    </xf>
    <xf numFmtId="0" fontId="13" fillId="5" borderId="9" xfId="0" applyFont="1" applyFill="1" applyBorder="1" applyAlignment="1">
      <alignment horizontal="left"/>
    </xf>
    <xf numFmtId="0" fontId="13" fillId="5" borderId="8" xfId="0" applyFont="1" applyFill="1" applyBorder="1" applyAlignment="1">
      <alignment horizontal="left"/>
    </xf>
    <xf numFmtId="14" fontId="13" fillId="0" borderId="6" xfId="0" applyNumberFormat="1" applyFont="1" applyBorder="1" applyAlignment="1">
      <alignment horizontal="left"/>
    </xf>
    <xf numFmtId="14" fontId="13" fillId="5" borderId="40" xfId="0" applyNumberFormat="1" applyFont="1" applyFill="1" applyBorder="1" applyAlignment="1">
      <alignment horizontal="left" vertical="center"/>
    </xf>
    <xf numFmtId="14" fontId="13" fillId="0" borderId="5" xfId="0" applyNumberFormat="1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3" fontId="13" fillId="0" borderId="40" xfId="0" applyNumberFormat="1" applyFont="1" applyBorder="1" applyAlignment="1">
      <alignment horizontal="right"/>
    </xf>
    <xf numFmtId="0" fontId="13" fillId="0" borderId="8" xfId="0" applyFont="1" applyBorder="1" applyAlignment="1">
      <alignment horizontal="left"/>
    </xf>
    <xf numFmtId="0" fontId="13" fillId="5" borderId="6" xfId="0" applyFont="1" applyFill="1" applyBorder="1" applyAlignment="1">
      <alignment horizontal="left"/>
    </xf>
    <xf numFmtId="3" fontId="13" fillId="5" borderId="40" xfId="0" applyNumberFormat="1" applyFont="1" applyFill="1" applyBorder="1" applyAlignment="1">
      <alignment horizontal="right"/>
    </xf>
    <xf numFmtId="14" fontId="1" fillId="5" borderId="4" xfId="0" applyNumberFormat="1" applyFont="1" applyFill="1" applyBorder="1" applyAlignment="1">
      <alignment horizontal="left"/>
    </xf>
    <xf numFmtId="14" fontId="1" fillId="5" borderId="40" xfId="0" applyNumberFormat="1" applyFont="1" applyFill="1" applyBorder="1" applyAlignment="1">
      <alignment horizontal="left"/>
    </xf>
    <xf numFmtId="166" fontId="15" fillId="5" borderId="40" xfId="0" applyNumberFormat="1" applyFont="1" applyFill="1" applyBorder="1" applyAlignment="1">
      <alignment horizontal="center" vertical="center"/>
    </xf>
    <xf numFmtId="14" fontId="13" fillId="5" borderId="4" xfId="0" applyNumberFormat="1" applyFont="1" applyFill="1" applyBorder="1" applyAlignment="1">
      <alignment horizontal="left"/>
    </xf>
    <xf numFmtId="0" fontId="13" fillId="6" borderId="40" xfId="0" applyFont="1" applyFill="1" applyBorder="1" applyAlignment="1">
      <alignment horizontal="center"/>
    </xf>
    <xf numFmtId="14" fontId="13" fillId="5" borderId="6" xfId="0" applyNumberFormat="1" applyFont="1" applyFill="1" applyBorder="1" applyAlignment="1">
      <alignment horizontal="left"/>
    </xf>
    <xf numFmtId="1" fontId="13" fillId="5" borderId="40" xfId="0" applyNumberFormat="1" applyFont="1" applyFill="1" applyBorder="1" applyAlignment="1">
      <alignment horizontal="center"/>
    </xf>
    <xf numFmtId="1" fontId="13" fillId="5" borderId="40" xfId="0" applyNumberFormat="1" applyFont="1" applyFill="1" applyBorder="1" applyAlignment="1">
      <alignment horizontal="left"/>
    </xf>
    <xf numFmtId="0" fontId="19" fillId="0" borderId="40" xfId="0" applyFont="1" applyBorder="1"/>
    <xf numFmtId="3" fontId="21" fillId="19" borderId="40" xfId="2" applyNumberFormat="1" applyFont="1" applyFill="1" applyBorder="1" applyAlignment="1">
      <alignment horizontal="right"/>
    </xf>
    <xf numFmtId="3" fontId="20" fillId="0" borderId="40" xfId="0" applyNumberFormat="1" applyFont="1" applyBorder="1" applyAlignment="1">
      <alignment horizontal="right"/>
    </xf>
    <xf numFmtId="3" fontId="19" fillId="0" borderId="40" xfId="0" applyNumberFormat="1" applyFont="1" applyBorder="1" applyAlignment="1">
      <alignment horizontal="right"/>
    </xf>
    <xf numFmtId="0" fontId="19" fillId="6" borderId="40" xfId="0" applyFont="1" applyFill="1" applyBorder="1" applyAlignment="1">
      <alignment horizontal="center"/>
    </xf>
    <xf numFmtId="0" fontId="19" fillId="0" borderId="40" xfId="0" applyFont="1" applyBorder="1" applyAlignment="1">
      <alignment vertical="center"/>
    </xf>
    <xf numFmtId="3" fontId="21" fillId="19" borderId="40" xfId="0" applyNumberFormat="1" applyFont="1" applyFill="1" applyBorder="1" applyAlignment="1">
      <alignment horizontal="right"/>
    </xf>
    <xf numFmtId="0" fontId="20" fillId="6" borderId="40" xfId="0" applyFont="1" applyFill="1" applyBorder="1" applyAlignment="1">
      <alignment horizontal="center"/>
    </xf>
    <xf numFmtId="1" fontId="19" fillId="0" borderId="40" xfId="0" applyNumberFormat="1" applyFont="1" applyBorder="1" applyAlignment="1">
      <alignment horizontal="center"/>
    </xf>
    <xf numFmtId="14" fontId="19" fillId="5" borderId="40" xfId="0" applyNumberFormat="1" applyFont="1" applyFill="1" applyBorder="1" applyAlignment="1">
      <alignment horizontal="left"/>
    </xf>
    <xf numFmtId="0" fontId="19" fillId="5" borderId="40" xfId="0" applyFont="1" applyFill="1" applyBorder="1" applyAlignment="1">
      <alignment horizontal="left" vertical="center" wrapText="1"/>
    </xf>
    <xf numFmtId="166" fontId="19" fillId="5" borderId="40" xfId="0" applyNumberFormat="1" applyFont="1" applyFill="1" applyBorder="1" applyAlignment="1">
      <alignment horizontal="center" vertical="center" wrapText="1"/>
    </xf>
    <xf numFmtId="0" fontId="19" fillId="5" borderId="40" xfId="0" applyFont="1" applyFill="1" applyBorder="1" applyAlignment="1">
      <alignment horizontal="left" vertical="center"/>
    </xf>
    <xf numFmtId="0" fontId="19" fillId="5" borderId="40" xfId="0" applyFont="1" applyFill="1" applyBorder="1"/>
    <xf numFmtId="3" fontId="20" fillId="5" borderId="40" xfId="0" applyNumberFormat="1" applyFont="1" applyFill="1" applyBorder="1" applyAlignment="1">
      <alignment horizontal="right"/>
    </xf>
    <xf numFmtId="3" fontId="19" fillId="5" borderId="40" xfId="0" applyNumberFormat="1" applyFont="1" applyFill="1" applyBorder="1" applyAlignment="1">
      <alignment horizontal="right"/>
    </xf>
    <xf numFmtId="0" fontId="20" fillId="5" borderId="40" xfId="0" applyFont="1" applyFill="1" applyBorder="1"/>
    <xf numFmtId="0" fontId="19" fillId="5" borderId="40" xfId="0" applyFont="1" applyFill="1" applyBorder="1" applyAlignment="1">
      <alignment horizontal="center"/>
    </xf>
    <xf numFmtId="0" fontId="19" fillId="5" borderId="40" xfId="0" applyFont="1" applyFill="1" applyBorder="1" applyAlignment="1">
      <alignment horizontal="left"/>
    </xf>
    <xf numFmtId="3" fontId="19" fillId="0" borderId="40" xfId="2" applyNumberFormat="1" applyFont="1" applyFill="1" applyBorder="1" applyAlignment="1">
      <alignment horizontal="right"/>
    </xf>
    <xf numFmtId="14" fontId="19" fillId="5" borderId="4" xfId="0" applyNumberFormat="1" applyFont="1" applyFill="1" applyBorder="1" applyAlignment="1">
      <alignment horizontal="left"/>
    </xf>
    <xf numFmtId="0" fontId="19" fillId="5" borderId="40" xfId="0" applyFont="1" applyFill="1" applyBorder="1" applyAlignment="1">
      <alignment vertical="center"/>
    </xf>
    <xf numFmtId="1" fontId="19" fillId="5" borderId="40" xfId="0" applyNumberFormat="1" applyFont="1" applyFill="1" applyBorder="1" applyAlignment="1">
      <alignment horizontal="center"/>
    </xf>
    <xf numFmtId="0" fontId="19" fillId="5" borderId="7" xfId="0" applyFont="1" applyFill="1" applyBorder="1" applyAlignment="1">
      <alignment horizontal="left"/>
    </xf>
    <xf numFmtId="0" fontId="19" fillId="0" borderId="40" xfId="0" applyFont="1" applyBorder="1" applyAlignment="1">
      <alignment horizontal="left"/>
    </xf>
    <xf numFmtId="3" fontId="19" fillId="5" borderId="40" xfId="2" applyNumberFormat="1" applyFont="1" applyFill="1" applyBorder="1" applyAlignment="1">
      <alignment horizontal="right"/>
    </xf>
    <xf numFmtId="0" fontId="20" fillId="5" borderId="40" xfId="0" applyFont="1" applyFill="1" applyBorder="1" applyAlignment="1">
      <alignment horizontal="left"/>
    </xf>
    <xf numFmtId="0" fontId="19" fillId="5" borderId="6" xfId="0" applyFont="1" applyFill="1" applyBorder="1" applyAlignment="1">
      <alignment horizontal="left"/>
    </xf>
    <xf numFmtId="0" fontId="20" fillId="5" borderId="40" xfId="0" applyFont="1" applyFill="1" applyBorder="1" applyAlignment="1">
      <alignment horizontal="center"/>
    </xf>
    <xf numFmtId="0" fontId="19" fillId="0" borderId="40" xfId="0" applyFont="1" applyBorder="1" applyAlignment="1">
      <alignment vertical="center" wrapText="1"/>
    </xf>
    <xf numFmtId="3" fontId="0" fillId="5" borderId="40" xfId="2" applyNumberFormat="1" applyFont="1" applyFill="1" applyBorder="1" applyAlignment="1">
      <alignment horizontal="right"/>
    </xf>
    <xf numFmtId="14" fontId="1" fillId="5" borderId="6" xfId="0" applyNumberFormat="1" applyFont="1" applyFill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3" fontId="20" fillId="0" borderId="40" xfId="2" applyNumberFormat="1" applyFont="1" applyFill="1" applyBorder="1" applyAlignment="1">
      <alignment horizontal="right"/>
    </xf>
    <xf numFmtId="3" fontId="3" fillId="19" borderId="40" xfId="2" applyNumberFormat="1" applyFont="1" applyFill="1" applyBorder="1" applyAlignment="1">
      <alignment horizontal="right"/>
    </xf>
    <xf numFmtId="164" fontId="20" fillId="0" borderId="40" xfId="1" applyNumberFormat="1" applyFont="1" applyFill="1" applyBorder="1" applyAlignment="1">
      <alignment horizontal="right"/>
    </xf>
    <xf numFmtId="166" fontId="20" fillId="5" borderId="40" xfId="0" applyNumberFormat="1" applyFont="1" applyFill="1" applyBorder="1" applyAlignment="1">
      <alignment horizontal="center"/>
    </xf>
    <xf numFmtId="3" fontId="20" fillId="5" borderId="40" xfId="2" applyNumberFormat="1" applyFont="1" applyFill="1" applyBorder="1" applyAlignment="1">
      <alignment horizontal="right"/>
    </xf>
    <xf numFmtId="164" fontId="20" fillId="5" borderId="40" xfId="1" applyNumberFormat="1" applyFont="1" applyFill="1" applyBorder="1" applyAlignment="1">
      <alignment horizontal="right"/>
    </xf>
    <xf numFmtId="0" fontId="22" fillId="0" borderId="40" xfId="0" applyFont="1" applyBorder="1"/>
    <xf numFmtId="0" fontId="23" fillId="0" borderId="40" xfId="0" applyFont="1" applyBorder="1" applyAlignment="1">
      <alignment vertical="center" wrapText="1"/>
    </xf>
    <xf numFmtId="3" fontId="22" fillId="0" borderId="40" xfId="0" applyNumberFormat="1" applyFont="1" applyBorder="1" applyAlignment="1">
      <alignment horizontal="right"/>
    </xf>
    <xf numFmtId="3" fontId="23" fillId="0" borderId="40" xfId="0" applyNumberFormat="1" applyFont="1" applyBorder="1" applyAlignment="1">
      <alignment horizontal="right"/>
    </xf>
    <xf numFmtId="0" fontId="23" fillId="0" borderId="40" xfId="0" applyFont="1" applyBorder="1" applyAlignment="1">
      <alignment horizontal="center"/>
    </xf>
    <xf numFmtId="1" fontId="23" fillId="0" borderId="40" xfId="0" applyNumberFormat="1" applyFont="1" applyBorder="1" applyAlignment="1">
      <alignment horizontal="center"/>
    </xf>
    <xf numFmtId="3" fontId="4" fillId="11" borderId="40" xfId="0" applyNumberFormat="1" applyFont="1" applyFill="1" applyBorder="1" applyAlignment="1">
      <alignment horizontal="right"/>
    </xf>
    <xf numFmtId="3" fontId="4" fillId="12" borderId="40" xfId="1" applyNumberFormat="1" applyFont="1" applyFill="1" applyBorder="1" applyAlignment="1">
      <alignment horizontal="right"/>
    </xf>
    <xf numFmtId="164" fontId="32" fillId="0" borderId="40" xfId="1" applyNumberFormat="1" applyFont="1" applyFill="1" applyBorder="1" applyAlignment="1">
      <alignment horizontal="right"/>
    </xf>
    <xf numFmtId="164" fontId="32" fillId="0" borderId="40" xfId="1" applyNumberFormat="1" applyFont="1" applyFill="1" applyBorder="1"/>
    <xf numFmtId="3" fontId="33" fillId="0" borderId="40" xfId="0" applyNumberFormat="1" applyFont="1" applyBorder="1" applyAlignment="1">
      <alignment horizontal="right"/>
    </xf>
    <xf numFmtId="164" fontId="4" fillId="11" borderId="40" xfId="1" applyNumberFormat="1" applyFont="1" applyFill="1" applyBorder="1" applyAlignment="1">
      <alignment horizontal="right"/>
    </xf>
    <xf numFmtId="164" fontId="4" fillId="12" borderId="40" xfId="1" applyNumberFormat="1" applyFont="1" applyFill="1" applyBorder="1"/>
    <xf numFmtId="164" fontId="4" fillId="14" borderId="40" xfId="1" applyNumberFormat="1" applyFont="1" applyFill="1" applyBorder="1"/>
    <xf numFmtId="3" fontId="26" fillId="0" borderId="40" xfId="0" applyNumberFormat="1" applyFont="1" applyBorder="1" applyAlignment="1">
      <alignment horizontal="right"/>
    </xf>
    <xf numFmtId="0" fontId="4" fillId="14" borderId="26" xfId="0" applyFont="1" applyFill="1" applyBorder="1" applyAlignment="1">
      <alignment horizontal="right"/>
    </xf>
    <xf numFmtId="0" fontId="4" fillId="20" borderId="23" xfId="0" applyFont="1" applyFill="1" applyBorder="1" applyAlignment="1">
      <alignment horizontal="left"/>
    </xf>
    <xf numFmtId="14" fontId="20" fillId="0" borderId="40" xfId="0" applyNumberFormat="1" applyFont="1" applyBorder="1" applyAlignment="1">
      <alignment horizontal="left"/>
    </xf>
    <xf numFmtId="0" fontId="4" fillId="0" borderId="40" xfId="0" applyFont="1" applyBorder="1"/>
    <xf numFmtId="3" fontId="4" fillId="0" borderId="40" xfId="0" applyNumberFormat="1" applyFont="1" applyBorder="1"/>
    <xf numFmtId="3" fontId="4" fillId="0" borderId="2" xfId="0" applyNumberFormat="1" applyFont="1" applyBorder="1"/>
    <xf numFmtId="0" fontId="25" fillId="22" borderId="0" xfId="0" applyFont="1" applyFill="1" applyAlignment="1">
      <alignment horizontal="left"/>
    </xf>
    <xf numFmtId="0" fontId="25" fillId="22" borderId="0" xfId="0" applyFont="1" applyFill="1" applyAlignment="1">
      <alignment horizontal="right"/>
    </xf>
    <xf numFmtId="0" fontId="25" fillId="22" borderId="0" xfId="0" applyFont="1" applyFill="1"/>
    <xf numFmtId="3" fontId="25" fillId="22" borderId="0" xfId="0" applyNumberFormat="1" applyFont="1" applyFill="1" applyAlignment="1">
      <alignment horizontal="center"/>
    </xf>
    <xf numFmtId="3" fontId="29" fillId="5" borderId="4" xfId="2" applyNumberFormat="1" applyFont="1" applyFill="1" applyBorder="1" applyAlignment="1">
      <alignment horizontal="right"/>
    </xf>
    <xf numFmtId="3" fontId="29" fillId="5" borderId="40" xfId="2" applyNumberFormat="1" applyFont="1" applyFill="1" applyBorder="1" applyAlignment="1">
      <alignment horizontal="right"/>
    </xf>
    <xf numFmtId="3" fontId="29" fillId="0" borderId="40" xfId="2" applyNumberFormat="1" applyFont="1" applyFill="1" applyBorder="1" applyAlignment="1">
      <alignment horizontal="right"/>
    </xf>
    <xf numFmtId="3" fontId="29" fillId="0" borderId="7" xfId="2" applyNumberFormat="1" applyFont="1" applyFill="1" applyBorder="1" applyAlignment="1">
      <alignment horizontal="right"/>
    </xf>
    <xf numFmtId="3" fontId="4" fillId="5" borderId="40" xfId="2" applyNumberFormat="1" applyFont="1" applyFill="1" applyBorder="1" applyAlignment="1">
      <alignment horizontal="right"/>
    </xf>
    <xf numFmtId="3" fontId="29" fillId="0" borderId="4" xfId="2" applyNumberFormat="1" applyFont="1" applyFill="1" applyBorder="1" applyAlignment="1">
      <alignment horizontal="right"/>
    </xf>
    <xf numFmtId="3" fontId="30" fillId="19" borderId="7" xfId="2" applyNumberFormat="1" applyFont="1" applyFill="1" applyBorder="1" applyAlignment="1">
      <alignment horizontal="right"/>
    </xf>
    <xf numFmtId="3" fontId="27" fillId="19" borderId="40" xfId="2" applyNumberFormat="1" applyFont="1" applyFill="1" applyBorder="1" applyAlignment="1">
      <alignment horizontal="right"/>
    </xf>
    <xf numFmtId="3" fontId="30" fillId="19" borderId="40" xfId="0" applyNumberFormat="1" applyFont="1" applyFill="1" applyBorder="1" applyAlignment="1">
      <alignment horizontal="right"/>
    </xf>
    <xf numFmtId="3" fontId="30" fillId="19" borderId="40" xfId="2" applyNumberFormat="1" applyFont="1" applyFill="1" applyBorder="1" applyAlignment="1">
      <alignment horizontal="right"/>
    </xf>
    <xf numFmtId="3" fontId="40" fillId="5" borderId="40" xfId="2" applyNumberFormat="1" applyFont="1" applyFill="1" applyBorder="1" applyAlignment="1">
      <alignment horizontal="right"/>
    </xf>
    <xf numFmtId="3" fontId="30" fillId="5" borderId="40" xfId="2" applyNumberFormat="1" applyFont="1" applyFill="1" applyBorder="1" applyAlignment="1">
      <alignment horizontal="right"/>
    </xf>
    <xf numFmtId="3" fontId="40" fillId="0" borderId="40" xfId="2" applyNumberFormat="1" applyFont="1" applyFill="1" applyBorder="1" applyAlignment="1">
      <alignment horizontal="right"/>
    </xf>
    <xf numFmtId="3" fontId="40" fillId="5" borderId="4" xfId="2" applyNumberFormat="1" applyFont="1" applyFill="1" applyBorder="1" applyAlignment="1">
      <alignment horizontal="right"/>
    </xf>
    <xf numFmtId="3" fontId="15" fillId="19" borderId="40" xfId="2" applyNumberFormat="1" applyFont="1" applyFill="1" applyBorder="1" applyAlignment="1">
      <alignment horizontal="right"/>
    </xf>
    <xf numFmtId="14" fontId="23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19" fillId="6" borderId="0" xfId="0" applyFont="1" applyFill="1" applyAlignment="1">
      <alignment horizontal="center"/>
    </xf>
    <xf numFmtId="0" fontId="19" fillId="17" borderId="0" xfId="0" applyFont="1" applyFill="1" applyAlignment="1">
      <alignment horizontal="center"/>
    </xf>
    <xf numFmtId="164" fontId="23" fillId="0" borderId="0" xfId="1" applyNumberFormat="1" applyFont="1" applyFill="1" applyBorder="1" applyAlignment="1">
      <alignment horizontal="right"/>
    </xf>
    <xf numFmtId="0" fontId="23" fillId="0" borderId="0" xfId="0" applyFont="1" applyAlignment="1">
      <alignment horizontal="center"/>
    </xf>
    <xf numFmtId="1" fontId="23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43" fontId="20" fillId="0" borderId="7" xfId="0" applyNumberFormat="1" applyFont="1" applyBorder="1"/>
    <xf numFmtId="0" fontId="23" fillId="19" borderId="2" xfId="0" applyFont="1" applyFill="1" applyBorder="1" applyAlignment="1">
      <alignment horizontal="left" vertical="center" wrapText="1"/>
    </xf>
    <xf numFmtId="0" fontId="22" fillId="19" borderId="40" xfId="0" applyFont="1" applyFill="1" applyBorder="1"/>
    <xf numFmtId="0" fontId="23" fillId="19" borderId="40" xfId="0" applyFont="1" applyFill="1" applyBorder="1" applyAlignment="1">
      <alignment vertical="center" wrapText="1"/>
    </xf>
    <xf numFmtId="3" fontId="23" fillId="19" borderId="40" xfId="0" applyNumberFormat="1" applyFont="1" applyFill="1" applyBorder="1" applyAlignment="1">
      <alignment horizontal="right"/>
    </xf>
    <xf numFmtId="3" fontId="21" fillId="19" borderId="3" xfId="2" applyNumberFormat="1" applyFont="1" applyFill="1" applyBorder="1" applyAlignment="1">
      <alignment horizontal="right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66" fontId="2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3" fontId="21" fillId="0" borderId="3" xfId="2" applyNumberFormat="1" applyFont="1" applyFill="1" applyBorder="1" applyAlignment="1">
      <alignment horizontal="right"/>
    </xf>
    <xf numFmtId="0" fontId="23" fillId="19" borderId="4" xfId="0" applyFont="1" applyFill="1" applyBorder="1" applyAlignment="1">
      <alignment vertical="center" wrapText="1"/>
    </xf>
    <xf numFmtId="0" fontId="3" fillId="19" borderId="28" xfId="0" applyFont="1" applyFill="1" applyBorder="1"/>
    <xf numFmtId="0" fontId="22" fillId="0" borderId="41" xfId="0" applyFont="1" applyBorder="1" applyAlignment="1">
      <alignment horizontal="left"/>
    </xf>
    <xf numFmtId="14" fontId="23" fillId="0" borderId="2" xfId="0" applyNumberFormat="1" applyFont="1" applyBorder="1" applyAlignment="1">
      <alignment horizontal="left"/>
    </xf>
    <xf numFmtId="0" fontId="22" fillId="0" borderId="4" xfId="0" applyFont="1" applyBorder="1" applyAlignment="1">
      <alignment horizontal="left"/>
    </xf>
    <xf numFmtId="0" fontId="22" fillId="19" borderId="4" xfId="0" applyFont="1" applyFill="1" applyBorder="1"/>
    <xf numFmtId="3" fontId="30" fillId="0" borderId="40" xfId="0" applyNumberFormat="1" applyFont="1" applyBorder="1" applyAlignment="1">
      <alignment horizontal="right"/>
    </xf>
    <xf numFmtId="0" fontId="22" fillId="19" borderId="41" xfId="0" applyFont="1" applyFill="1" applyBorder="1"/>
    <xf numFmtId="0" fontId="23" fillId="19" borderId="42" xfId="0" applyFont="1" applyFill="1" applyBorder="1" applyAlignment="1">
      <alignment vertical="center" wrapText="1"/>
    </xf>
    <xf numFmtId="4" fontId="14" fillId="0" borderId="43" xfId="0" applyNumberFormat="1" applyFont="1" applyBorder="1" applyAlignment="1">
      <alignment horizontal="right"/>
    </xf>
    <xf numFmtId="4" fontId="0" fillId="0" borderId="43" xfId="0" applyNumberFormat="1" applyBorder="1" applyAlignment="1">
      <alignment horizontal="right"/>
    </xf>
    <xf numFmtId="4" fontId="15" fillId="0" borderId="43" xfId="0" applyNumberFormat="1" applyFont="1" applyBorder="1" applyAlignment="1">
      <alignment horizontal="right"/>
    </xf>
    <xf numFmtId="3" fontId="4" fillId="0" borderId="44" xfId="0" applyNumberFormat="1" applyFont="1" applyBorder="1"/>
    <xf numFmtId="3" fontId="27" fillId="0" borderId="44" xfId="0" applyNumberFormat="1" applyFont="1" applyBorder="1"/>
    <xf numFmtId="3" fontId="14" fillId="5" borderId="45" xfId="0" applyNumberFormat="1" applyFont="1" applyFill="1" applyBorder="1" applyAlignment="1">
      <alignment horizontal="right"/>
    </xf>
    <xf numFmtId="3" fontId="0" fillId="0" borderId="45" xfId="0" applyNumberFormat="1" applyBorder="1"/>
    <xf numFmtId="3" fontId="14" fillId="5" borderId="46" xfId="0" applyNumberFormat="1" applyFont="1" applyFill="1" applyBorder="1"/>
    <xf numFmtId="3" fontId="14" fillId="0" borderId="46" xfId="0" applyNumberFormat="1" applyFont="1" applyBorder="1"/>
    <xf numFmtId="3" fontId="14" fillId="0" borderId="45" xfId="0" applyNumberFormat="1" applyFont="1" applyBorder="1"/>
    <xf numFmtId="3" fontId="0" fillId="5" borderId="46" xfId="0" applyNumberFormat="1" applyFill="1" applyBorder="1"/>
    <xf numFmtId="3" fontId="0" fillId="5" borderId="43" xfId="0" applyNumberFormat="1" applyFill="1" applyBorder="1" applyAlignment="1">
      <alignment horizontal="right"/>
    </xf>
    <xf numFmtId="3" fontId="0" fillId="5" borderId="45" xfId="0" applyNumberFormat="1" applyFill="1" applyBorder="1"/>
    <xf numFmtId="3" fontId="3" fillId="5" borderId="45" xfId="0" applyNumberFormat="1" applyFont="1" applyFill="1" applyBorder="1"/>
    <xf numFmtId="3" fontId="0" fillId="0" borderId="46" xfId="0" applyNumberFormat="1" applyBorder="1"/>
    <xf numFmtId="3" fontId="14" fillId="5" borderId="45" xfId="0" applyNumberFormat="1" applyFont="1" applyFill="1" applyBorder="1"/>
    <xf numFmtId="3" fontId="15" fillId="0" borderId="43" xfId="0" applyNumberFormat="1" applyFont="1" applyBorder="1" applyAlignment="1">
      <alignment horizontal="right"/>
    </xf>
    <xf numFmtId="3" fontId="15" fillId="5" borderId="43" xfId="0" applyNumberFormat="1" applyFont="1" applyFill="1" applyBorder="1" applyAlignment="1">
      <alignment horizontal="right"/>
    </xf>
    <xf numFmtId="3" fontId="20" fillId="0" borderId="45" xfId="0" applyNumberFormat="1" applyFont="1" applyBorder="1"/>
    <xf numFmtId="3" fontId="20" fillId="5" borderId="46" xfId="0" applyNumberFormat="1" applyFont="1" applyFill="1" applyBorder="1"/>
    <xf numFmtId="3" fontId="20" fillId="5" borderId="45" xfId="0" applyNumberFormat="1" applyFont="1" applyFill="1" applyBorder="1"/>
    <xf numFmtId="3" fontId="20" fillId="0" borderId="46" xfId="0" applyNumberFormat="1" applyFont="1" applyBorder="1"/>
    <xf numFmtId="3" fontId="25" fillId="22" borderId="45" xfId="0" applyNumberFormat="1" applyFont="1" applyFill="1" applyBorder="1"/>
    <xf numFmtId="3" fontId="20" fillId="5" borderId="43" xfId="0" applyNumberFormat="1" applyFont="1" applyFill="1" applyBorder="1" applyAlignment="1">
      <alignment horizontal="right"/>
    </xf>
    <xf numFmtId="3" fontId="22" fillId="0" borderId="47" xfId="0" applyNumberFormat="1" applyFont="1" applyBorder="1"/>
    <xf numFmtId="3" fontId="23" fillId="0" borderId="48" xfId="0" applyNumberFormat="1" applyFont="1" applyBorder="1" applyAlignment="1">
      <alignment horizontal="right"/>
    </xf>
    <xf numFmtId="164" fontId="4" fillId="11" borderId="47" xfId="1" applyNumberFormat="1" applyFont="1" applyFill="1" applyBorder="1"/>
    <xf numFmtId="164" fontId="4" fillId="11" borderId="48" xfId="1" applyNumberFormat="1" applyFont="1" applyFill="1" applyBorder="1" applyAlignment="1">
      <alignment horizontal="right"/>
    </xf>
    <xf numFmtId="164" fontId="4" fillId="11" borderId="47" xfId="1" applyNumberFormat="1" applyFont="1" applyFill="1" applyBorder="1" applyAlignment="1">
      <alignment horizontal="right"/>
    </xf>
    <xf numFmtId="3" fontId="4" fillId="5" borderId="40" xfId="0" applyNumberFormat="1" applyFont="1" applyFill="1" applyBorder="1" applyAlignment="1">
      <alignment horizontal="right"/>
    </xf>
    <xf numFmtId="168" fontId="38" fillId="23" borderId="49" xfId="0" applyNumberFormat="1" applyFont="1" applyFill="1" applyBorder="1"/>
  </cellXfs>
  <cellStyles count="5">
    <cellStyle name="Comma" xfId="1" builtinId="3"/>
    <cellStyle name="Currency" xfId="2" builtinId="4"/>
    <cellStyle name="Normal" xfId="0" builtinId="0"/>
    <cellStyle name="Normal 2" xfId="4" xr:uid="{97D496B1-B839-438A-BC49-FD9455755876}"/>
    <cellStyle name="Normal 3" xfId="3" xr:uid="{EA358884-A742-4A35-A072-723F80EEA719}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vid Berman" id="{5749F40C-B898-4F94-A850-B1F611BE86F9}" userId="S::dberman@parakeetcommunities.com::30020f1c-e768-4446-93f0-7e31a32ca4b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27" dT="2025-12-01T00:14:38.37" personId="{5749F40C-B898-4F94-A850-B1F611BE86F9}" id="{90418D0E-83DC-401A-A613-F568091422D3}">
    <text xml:space="preserve">Duplicative policy for Crystal Acres general liability as Brookstone is already Broker of record for policy running . Policy premium being refunded back to 4/22/2025. 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25959-CD0A-4656-A81B-51E5DFE11D16}">
  <sheetPr codeName="Sheet1"/>
  <dimension ref="A1:M86"/>
  <sheetViews>
    <sheetView topLeftCell="D1" zoomScaleNormal="100" workbookViewId="0">
      <pane ySplit="6" topLeftCell="A7" activePane="bottomLeft" state="frozen"/>
      <selection pane="bottomLeft" activeCell="J17" sqref="J17"/>
    </sheetView>
  </sheetViews>
  <sheetFormatPr defaultColWidth="8.85546875" defaultRowHeight="14.25"/>
  <cols>
    <col min="1" max="1" width="17.42578125" style="5" customWidth="1"/>
    <col min="2" max="2" width="28" style="5" bestFit="1" customWidth="1"/>
    <col min="3" max="3" width="27.140625" bestFit="1" customWidth="1"/>
    <col min="4" max="4" width="18" style="5" bestFit="1" customWidth="1"/>
    <col min="5" max="5" width="33.140625" bestFit="1" customWidth="1"/>
    <col min="6" max="6" width="32.7109375" customWidth="1"/>
    <col min="7" max="7" width="20.140625" bestFit="1" customWidth="1"/>
    <col min="8" max="8" width="28.85546875" customWidth="1"/>
    <col min="9" max="9" width="15" customWidth="1"/>
    <col min="10" max="10" width="36.5703125" bestFit="1" customWidth="1"/>
    <col min="11" max="12" width="10" bestFit="1" customWidth="1"/>
    <col min="13" max="13" width="10.5703125" bestFit="1" customWidth="1"/>
  </cols>
  <sheetData>
    <row r="1" spans="1:10" ht="15.75">
      <c r="A1" s="503" t="s">
        <v>0</v>
      </c>
      <c r="B1" s="503"/>
    </row>
    <row r="2" spans="1:10" ht="15.75">
      <c r="A2" s="503" t="s">
        <v>1</v>
      </c>
      <c r="B2" s="503"/>
    </row>
    <row r="3" spans="1:10" ht="15.75">
      <c r="A3" s="502">
        <v>45825</v>
      </c>
      <c r="B3" s="502"/>
    </row>
    <row r="4" spans="1:10">
      <c r="D4" s="500"/>
    </row>
    <row r="5" spans="1:10">
      <c r="A5" s="240" t="s">
        <v>2</v>
      </c>
      <c r="B5" s="240"/>
    </row>
    <row r="6" spans="1:10" s="501" customFormat="1" ht="28.5">
      <c r="A6" s="499" t="s">
        <v>3</v>
      </c>
      <c r="B6" s="499" t="s">
        <v>4</v>
      </c>
      <c r="C6" s="499" t="s">
        <v>5</v>
      </c>
      <c r="D6" s="499" t="s">
        <v>6</v>
      </c>
      <c r="E6" s="499" t="s">
        <v>7</v>
      </c>
      <c r="F6" s="499" t="s">
        <v>8</v>
      </c>
      <c r="G6" s="499" t="s">
        <v>9</v>
      </c>
      <c r="H6" s="501" t="s">
        <v>10</v>
      </c>
      <c r="I6" s="501" t="s">
        <v>11</v>
      </c>
    </row>
    <row r="7" spans="1:10">
      <c r="A7" s="504">
        <v>45933</v>
      </c>
      <c r="B7" s="505" t="s">
        <v>2</v>
      </c>
      <c r="C7" s="505" t="s">
        <v>12</v>
      </c>
      <c r="D7" s="505" t="s">
        <v>13</v>
      </c>
      <c r="E7" s="505" t="s">
        <v>14</v>
      </c>
      <c r="F7" s="505" t="s">
        <v>15</v>
      </c>
      <c r="G7" s="513">
        <v>33248</v>
      </c>
      <c r="H7" s="514" t="s">
        <v>16</v>
      </c>
      <c r="I7" s="514"/>
      <c r="J7" s="518"/>
    </row>
    <row r="8" spans="1:10">
      <c r="A8" s="510"/>
      <c r="B8" s="511" t="s">
        <v>2</v>
      </c>
      <c r="C8" s="511" t="s">
        <v>17</v>
      </c>
      <c r="D8" s="511" t="s">
        <v>18</v>
      </c>
      <c r="E8" s="511" t="s">
        <v>19</v>
      </c>
      <c r="F8" s="511" t="s">
        <v>20</v>
      </c>
      <c r="G8" s="535"/>
      <c r="H8" s="512" t="s">
        <v>21</v>
      </c>
      <c r="I8" s="512"/>
    </row>
    <row r="9" spans="1:10">
      <c r="A9" s="510"/>
      <c r="B9" s="511" t="s">
        <v>22</v>
      </c>
      <c r="C9" s="511"/>
      <c r="D9" s="511"/>
      <c r="E9" s="511" t="s">
        <v>23</v>
      </c>
      <c r="F9" s="511"/>
      <c r="G9" s="511"/>
      <c r="H9" s="512" t="s">
        <v>21</v>
      </c>
      <c r="I9" s="512"/>
    </row>
    <row r="10" spans="1:10">
      <c r="A10" s="504">
        <v>45722</v>
      </c>
      <c r="B10" s="505" t="s">
        <v>2</v>
      </c>
      <c r="C10" s="505" t="s">
        <v>24</v>
      </c>
      <c r="D10" s="517" t="s">
        <v>25</v>
      </c>
      <c r="E10" s="505" t="s">
        <v>26</v>
      </c>
      <c r="F10" s="505" t="s">
        <v>27</v>
      </c>
      <c r="G10" s="513">
        <v>1100</v>
      </c>
      <c r="H10" s="514" t="s">
        <v>16</v>
      </c>
      <c r="I10" s="514"/>
      <c r="J10" s="518"/>
    </row>
    <row r="11" spans="1:10">
      <c r="A11" s="504">
        <v>45731</v>
      </c>
      <c r="B11" s="505" t="s">
        <v>2</v>
      </c>
      <c r="C11" s="505" t="s">
        <v>24</v>
      </c>
      <c r="D11" s="505" t="s">
        <v>28</v>
      </c>
      <c r="E11" s="505" t="s">
        <v>29</v>
      </c>
      <c r="F11" s="505" t="s">
        <v>27</v>
      </c>
      <c r="G11" s="513">
        <v>650</v>
      </c>
      <c r="H11" s="514" t="s">
        <v>16</v>
      </c>
      <c r="I11" s="514"/>
    </row>
    <row r="12" spans="1:10">
      <c r="A12" s="510"/>
      <c r="B12" s="511" t="s">
        <v>2</v>
      </c>
      <c r="C12" s="511" t="s">
        <v>30</v>
      </c>
      <c r="D12" s="511"/>
      <c r="E12" s="511" t="s">
        <v>31</v>
      </c>
      <c r="F12" s="511" t="s">
        <v>32</v>
      </c>
      <c r="G12" s="511"/>
      <c r="H12" s="512" t="s">
        <v>33</v>
      </c>
      <c r="I12" s="512"/>
    </row>
    <row r="13" spans="1:10">
      <c r="A13" s="504">
        <v>45950</v>
      </c>
      <c r="B13" s="505" t="s">
        <v>2</v>
      </c>
      <c r="C13" s="505" t="s">
        <v>34</v>
      </c>
      <c r="D13" s="505" t="s">
        <v>35</v>
      </c>
      <c r="E13" s="505" t="s">
        <v>36</v>
      </c>
      <c r="F13" s="505" t="s">
        <v>37</v>
      </c>
      <c r="G13" s="513">
        <v>5403</v>
      </c>
      <c r="H13" s="514" t="s">
        <v>38</v>
      </c>
      <c r="I13" s="514"/>
    </row>
    <row r="14" spans="1:10">
      <c r="A14" s="504">
        <v>45769</v>
      </c>
      <c r="B14" s="504" t="s">
        <v>39</v>
      </c>
      <c r="C14" s="505" t="s">
        <v>40</v>
      </c>
      <c r="D14" s="505" t="s">
        <v>41</v>
      </c>
      <c r="E14" s="505" t="s">
        <v>42</v>
      </c>
      <c r="F14" s="505" t="s">
        <v>43</v>
      </c>
      <c r="G14" s="505" t="s">
        <v>44</v>
      </c>
      <c r="H14" s="505" t="s">
        <v>16</v>
      </c>
      <c r="I14" s="514"/>
    </row>
    <row r="15" spans="1:10">
      <c r="A15" s="504">
        <v>45769</v>
      </c>
      <c r="B15" s="504" t="s">
        <v>39</v>
      </c>
      <c r="C15" s="505" t="s">
        <v>45</v>
      </c>
      <c r="D15" s="505" t="s">
        <v>46</v>
      </c>
      <c r="E15" s="505" t="s">
        <v>47</v>
      </c>
      <c r="F15" s="505" t="s">
        <v>43</v>
      </c>
      <c r="G15" s="505" t="s">
        <v>44</v>
      </c>
      <c r="H15" s="505" t="s">
        <v>16</v>
      </c>
      <c r="I15" s="514"/>
    </row>
    <row r="16" spans="1:10">
      <c r="A16" s="504">
        <v>45769</v>
      </c>
      <c r="B16" s="504" t="s">
        <v>39</v>
      </c>
      <c r="C16" s="505" t="s">
        <v>48</v>
      </c>
      <c r="D16" s="505" t="s">
        <v>49</v>
      </c>
      <c r="E16" s="505" t="s">
        <v>50</v>
      </c>
      <c r="F16" s="505" t="s">
        <v>43</v>
      </c>
      <c r="G16" s="505" t="s">
        <v>44</v>
      </c>
      <c r="H16" s="505" t="s">
        <v>16</v>
      </c>
      <c r="I16" s="514"/>
    </row>
    <row r="17" spans="1:13">
      <c r="A17" s="504">
        <v>45769</v>
      </c>
      <c r="B17" s="504" t="s">
        <v>39</v>
      </c>
      <c r="C17" s="505" t="s">
        <v>51</v>
      </c>
      <c r="D17" s="505" t="s">
        <v>52</v>
      </c>
      <c r="E17" s="505" t="s">
        <v>53</v>
      </c>
      <c r="F17" s="505" t="s">
        <v>43</v>
      </c>
      <c r="G17" s="505" t="s">
        <v>44</v>
      </c>
      <c r="H17" s="505" t="s">
        <v>16</v>
      </c>
      <c r="I17" s="514"/>
    </row>
    <row r="18" spans="1:13">
      <c r="A18" s="504">
        <v>45769</v>
      </c>
      <c r="B18" s="504" t="s">
        <v>39</v>
      </c>
      <c r="C18" s="505" t="s">
        <v>54</v>
      </c>
      <c r="D18" s="505" t="s">
        <v>55</v>
      </c>
      <c r="E18" s="505" t="s">
        <v>56</v>
      </c>
      <c r="F18" s="505" t="s">
        <v>43</v>
      </c>
      <c r="G18" s="505" t="s">
        <v>44</v>
      </c>
      <c r="H18" s="505" t="s">
        <v>16</v>
      </c>
      <c r="I18" s="514"/>
    </row>
    <row r="19" spans="1:13">
      <c r="A19" s="504">
        <v>45769</v>
      </c>
      <c r="B19" s="504" t="s">
        <v>39</v>
      </c>
      <c r="C19" s="505" t="s">
        <v>57</v>
      </c>
      <c r="D19" s="506" t="s">
        <v>58</v>
      </c>
      <c r="E19" s="505" t="s">
        <v>59</v>
      </c>
      <c r="F19" s="505" t="s">
        <v>43</v>
      </c>
      <c r="G19" s="505" t="s">
        <v>44</v>
      </c>
      <c r="H19" s="505" t="s">
        <v>16</v>
      </c>
      <c r="I19" s="514"/>
    </row>
    <row r="20" spans="1:13">
      <c r="A20" s="504">
        <v>45769</v>
      </c>
      <c r="B20" s="504" t="s">
        <v>39</v>
      </c>
      <c r="C20" s="505" t="s">
        <v>60</v>
      </c>
      <c r="D20" s="505" t="s">
        <v>61</v>
      </c>
      <c r="E20" s="505" t="s">
        <v>62</v>
      </c>
      <c r="F20" s="505" t="s">
        <v>43</v>
      </c>
      <c r="G20" s="505" t="s">
        <v>44</v>
      </c>
      <c r="H20" s="505" t="s">
        <v>16</v>
      </c>
      <c r="I20" s="514"/>
    </row>
    <row r="21" spans="1:13">
      <c r="A21" s="504">
        <v>45785</v>
      </c>
      <c r="B21" s="504" t="s">
        <v>63</v>
      </c>
      <c r="C21" s="505" t="s">
        <v>64</v>
      </c>
      <c r="D21" s="505">
        <v>6500691383</v>
      </c>
      <c r="E21" s="505" t="s">
        <v>65</v>
      </c>
      <c r="F21" s="505" t="s">
        <v>66</v>
      </c>
      <c r="G21" s="513">
        <v>730</v>
      </c>
      <c r="H21" s="505" t="s">
        <v>16</v>
      </c>
      <c r="I21" s="514"/>
      <c r="M21" s="518"/>
    </row>
    <row r="22" spans="1:13">
      <c r="A22" s="504">
        <v>45785</v>
      </c>
      <c r="B22" s="504" t="s">
        <v>63</v>
      </c>
      <c r="C22" s="505" t="s">
        <v>64</v>
      </c>
      <c r="D22" s="505">
        <v>6500691361</v>
      </c>
      <c r="E22" s="505" t="s">
        <v>65</v>
      </c>
      <c r="F22" s="505" t="s">
        <v>66</v>
      </c>
      <c r="G22" s="513">
        <v>764</v>
      </c>
      <c r="H22" s="505" t="s">
        <v>16</v>
      </c>
      <c r="I22" s="514"/>
    </row>
    <row r="23" spans="1:13">
      <c r="A23" s="504">
        <v>45785</v>
      </c>
      <c r="B23" s="504" t="s">
        <v>67</v>
      </c>
      <c r="C23" s="505" t="s">
        <v>64</v>
      </c>
      <c r="D23" s="505">
        <v>6500691515</v>
      </c>
      <c r="E23" s="505" t="s">
        <v>65</v>
      </c>
      <c r="F23" s="505" t="s">
        <v>66</v>
      </c>
      <c r="G23" s="513">
        <v>1629</v>
      </c>
      <c r="H23" s="505" t="s">
        <v>16</v>
      </c>
      <c r="I23" s="514"/>
      <c r="M23" s="518"/>
    </row>
    <row r="24" spans="1:13">
      <c r="A24" s="504">
        <v>45785</v>
      </c>
      <c r="B24" s="504" t="s">
        <v>68</v>
      </c>
      <c r="C24" s="505" t="s">
        <v>64</v>
      </c>
      <c r="D24" s="505">
        <v>500691536</v>
      </c>
      <c r="E24" s="505" t="s">
        <v>65</v>
      </c>
      <c r="F24" s="505" t="s">
        <v>66</v>
      </c>
      <c r="G24" s="513">
        <v>636</v>
      </c>
      <c r="H24" s="505" t="s">
        <v>16</v>
      </c>
      <c r="I24" s="514"/>
    </row>
    <row r="25" spans="1:13">
      <c r="A25" s="504">
        <v>45785</v>
      </c>
      <c r="B25" s="504" t="s">
        <v>68</v>
      </c>
      <c r="C25" s="505" t="s">
        <v>64</v>
      </c>
      <c r="D25" s="505">
        <v>500691522</v>
      </c>
      <c r="E25" s="505" t="s">
        <v>65</v>
      </c>
      <c r="F25" s="505" t="s">
        <v>66</v>
      </c>
      <c r="G25" s="513">
        <v>876</v>
      </c>
      <c r="H25" s="505" t="s">
        <v>16</v>
      </c>
      <c r="I25" s="514"/>
      <c r="M25" s="518"/>
    </row>
    <row r="26" spans="1:13">
      <c r="A26" s="504">
        <v>45785</v>
      </c>
      <c r="B26" s="504" t="s">
        <v>69</v>
      </c>
      <c r="C26" s="505" t="s">
        <v>64</v>
      </c>
      <c r="D26" s="505">
        <v>6500691505</v>
      </c>
      <c r="E26" s="505" t="s">
        <v>65</v>
      </c>
      <c r="F26" s="505" t="s">
        <v>66</v>
      </c>
      <c r="G26" s="513">
        <v>1886</v>
      </c>
      <c r="H26" s="505" t="s">
        <v>16</v>
      </c>
      <c r="I26" s="514"/>
      <c r="M26" s="518"/>
    </row>
    <row r="27" spans="1:13">
      <c r="A27" s="504">
        <v>45785</v>
      </c>
      <c r="B27" s="504" t="s">
        <v>69</v>
      </c>
      <c r="C27" s="505" t="s">
        <v>64</v>
      </c>
      <c r="D27" s="505">
        <v>6500691502</v>
      </c>
      <c r="E27" s="505" t="s">
        <v>65</v>
      </c>
      <c r="F27" s="505" t="s">
        <v>66</v>
      </c>
      <c r="G27" s="513">
        <v>1241</v>
      </c>
      <c r="H27" s="505" t="s">
        <v>16</v>
      </c>
      <c r="I27" s="514"/>
    </row>
    <row r="28" spans="1:13">
      <c r="A28" s="504">
        <v>45785</v>
      </c>
      <c r="B28" s="504" t="s">
        <v>69</v>
      </c>
      <c r="C28" s="505" t="s">
        <v>64</v>
      </c>
      <c r="D28" s="505">
        <v>6500691498</v>
      </c>
      <c r="E28" s="505" t="s">
        <v>65</v>
      </c>
      <c r="F28" s="505" t="s">
        <v>66</v>
      </c>
      <c r="G28" s="513">
        <v>1920</v>
      </c>
      <c r="H28" s="505" t="s">
        <v>16</v>
      </c>
      <c r="I28" s="514"/>
    </row>
    <row r="29" spans="1:13">
      <c r="A29" s="504">
        <v>45785</v>
      </c>
      <c r="B29" s="504" t="s">
        <v>69</v>
      </c>
      <c r="C29" s="505" t="s">
        <v>64</v>
      </c>
      <c r="D29" s="505">
        <v>6500691493</v>
      </c>
      <c r="E29" s="505" t="s">
        <v>65</v>
      </c>
      <c r="F29" s="505" t="s">
        <v>66</v>
      </c>
      <c r="G29" s="513">
        <v>1341</v>
      </c>
      <c r="H29" s="505" t="s">
        <v>16</v>
      </c>
      <c r="I29" s="514"/>
    </row>
    <row r="30" spans="1:13">
      <c r="A30" s="504">
        <v>45785</v>
      </c>
      <c r="B30" s="504" t="s">
        <v>69</v>
      </c>
      <c r="C30" s="505" t="s">
        <v>64</v>
      </c>
      <c r="D30" s="505">
        <v>6500691414</v>
      </c>
      <c r="E30" s="505" t="s">
        <v>65</v>
      </c>
      <c r="F30" s="505" t="s">
        <v>66</v>
      </c>
      <c r="G30" s="513">
        <v>1175</v>
      </c>
      <c r="H30" s="505" t="s">
        <v>16</v>
      </c>
      <c r="I30" s="514"/>
    </row>
    <row r="31" spans="1:13">
      <c r="A31" s="504">
        <v>45800</v>
      </c>
      <c r="B31" s="504" t="s">
        <v>70</v>
      </c>
      <c r="C31" s="505" t="s">
        <v>64</v>
      </c>
      <c r="D31" s="505">
        <v>6500322957</v>
      </c>
      <c r="E31" s="505" t="s">
        <v>65</v>
      </c>
      <c r="F31" s="505" t="s">
        <v>66</v>
      </c>
      <c r="G31" s="513">
        <v>2043</v>
      </c>
      <c r="H31" s="505" t="s">
        <v>16</v>
      </c>
      <c r="I31" s="514"/>
      <c r="M31" s="518"/>
    </row>
    <row r="32" spans="1:13">
      <c r="A32" s="504">
        <v>45710</v>
      </c>
      <c r="B32" s="504" t="s">
        <v>71</v>
      </c>
      <c r="C32" s="505" t="s">
        <v>64</v>
      </c>
      <c r="D32" s="505">
        <v>6500432701</v>
      </c>
      <c r="E32" s="505" t="s">
        <v>65</v>
      </c>
      <c r="F32" s="505" t="s">
        <v>72</v>
      </c>
      <c r="G32" s="513">
        <v>981</v>
      </c>
      <c r="H32" s="514" t="s">
        <v>16</v>
      </c>
      <c r="I32" s="536"/>
    </row>
    <row r="33" spans="1:12">
      <c r="A33" s="504">
        <v>45710</v>
      </c>
      <c r="B33" s="504" t="s">
        <v>71</v>
      </c>
      <c r="C33" s="505" t="s">
        <v>64</v>
      </c>
      <c r="D33" s="505">
        <v>6500432732</v>
      </c>
      <c r="E33" s="505" t="s">
        <v>65</v>
      </c>
      <c r="F33" s="505" t="s">
        <v>73</v>
      </c>
      <c r="G33" s="513">
        <v>869</v>
      </c>
      <c r="H33" s="514" t="s">
        <v>16</v>
      </c>
      <c r="I33" s="536"/>
    </row>
    <row r="34" spans="1:12">
      <c r="A34" s="504">
        <v>45710</v>
      </c>
      <c r="B34" s="504" t="s">
        <v>71</v>
      </c>
      <c r="C34" s="505" t="s">
        <v>64</v>
      </c>
      <c r="D34" s="505">
        <v>6500432734</v>
      </c>
      <c r="E34" s="505" t="s">
        <v>65</v>
      </c>
      <c r="F34" s="505" t="s">
        <v>74</v>
      </c>
      <c r="G34" s="513">
        <v>1125</v>
      </c>
      <c r="H34" s="514" t="s">
        <v>16</v>
      </c>
      <c r="I34" s="536"/>
    </row>
    <row r="35" spans="1:12">
      <c r="A35" s="507">
        <v>45878</v>
      </c>
      <c r="B35" s="507" t="s">
        <v>75</v>
      </c>
      <c r="C35" s="508" t="s">
        <v>76</v>
      </c>
      <c r="D35" s="508" t="s">
        <v>77</v>
      </c>
      <c r="E35" s="508" t="s">
        <v>47</v>
      </c>
      <c r="F35" s="508" t="s">
        <v>78</v>
      </c>
      <c r="G35" s="508"/>
      <c r="H35" s="538" t="s">
        <v>79</v>
      </c>
      <c r="I35" s="524"/>
      <c r="J35" s="518"/>
    </row>
    <row r="36" spans="1:12">
      <c r="A36" s="507"/>
      <c r="B36" s="507" t="s">
        <v>80</v>
      </c>
      <c r="C36" s="508"/>
      <c r="D36" s="508"/>
      <c r="E36" s="508" t="s">
        <v>47</v>
      </c>
      <c r="F36" s="508" t="s">
        <v>78</v>
      </c>
      <c r="G36" s="508"/>
      <c r="H36" s="538" t="s">
        <v>81</v>
      </c>
      <c r="I36" s="524"/>
      <c r="J36" s="518"/>
    </row>
    <row r="37" spans="1:12">
      <c r="A37" s="504">
        <v>45755</v>
      </c>
      <c r="B37" s="504" t="s">
        <v>82</v>
      </c>
      <c r="C37" s="505" t="s">
        <v>83</v>
      </c>
      <c r="D37" s="505" t="s">
        <v>84</v>
      </c>
      <c r="E37" s="505" t="s">
        <v>65</v>
      </c>
      <c r="F37" s="505" t="s">
        <v>85</v>
      </c>
      <c r="G37" s="513">
        <v>5200</v>
      </c>
      <c r="H37" s="514" t="s">
        <v>16</v>
      </c>
      <c r="I37" s="514"/>
      <c r="J37" s="518"/>
    </row>
    <row r="38" spans="1:12">
      <c r="A38" s="504">
        <v>45755</v>
      </c>
      <c r="B38" s="504" t="s">
        <v>82</v>
      </c>
      <c r="C38" s="505" t="s">
        <v>83</v>
      </c>
      <c r="D38" s="505" t="s">
        <v>86</v>
      </c>
      <c r="E38" s="505" t="s">
        <v>65</v>
      </c>
      <c r="F38" s="505" t="s">
        <v>87</v>
      </c>
      <c r="G38" s="513">
        <v>2573</v>
      </c>
      <c r="H38" s="514" t="s">
        <v>16</v>
      </c>
      <c r="I38" s="514"/>
    </row>
    <row r="39" spans="1:12">
      <c r="A39" s="507">
        <v>45509</v>
      </c>
      <c r="B39" s="507" t="s">
        <v>88</v>
      </c>
      <c r="C39" s="508" t="s">
        <v>89</v>
      </c>
      <c r="D39" s="508" t="s">
        <v>90</v>
      </c>
      <c r="E39" s="508" t="s">
        <v>91</v>
      </c>
      <c r="F39" s="508"/>
      <c r="G39" s="509">
        <v>6209</v>
      </c>
      <c r="H39" s="538" t="s">
        <v>79</v>
      </c>
      <c r="I39" s="514"/>
      <c r="J39" s="518"/>
    </row>
    <row r="40" spans="1:12">
      <c r="A40" s="504">
        <v>45838</v>
      </c>
      <c r="B40" s="504" t="s">
        <v>92</v>
      </c>
      <c r="C40" s="505" t="s">
        <v>93</v>
      </c>
      <c r="D40" s="505" t="s">
        <v>94</v>
      </c>
      <c r="E40" s="505" t="s">
        <v>65</v>
      </c>
      <c r="F40" s="505" t="s">
        <v>66</v>
      </c>
      <c r="G40" s="513">
        <v>3237.15</v>
      </c>
      <c r="H40" s="514" t="s">
        <v>16</v>
      </c>
      <c r="I40" s="514"/>
      <c r="J40" s="518"/>
    </row>
    <row r="41" spans="1:12">
      <c r="A41" s="504">
        <v>45839</v>
      </c>
      <c r="B41" s="504" t="s">
        <v>92</v>
      </c>
      <c r="C41" s="505" t="s">
        <v>24</v>
      </c>
      <c r="D41" s="505" t="s">
        <v>95</v>
      </c>
      <c r="E41" s="505" t="s">
        <v>47</v>
      </c>
      <c r="F41" s="505" t="s">
        <v>96</v>
      </c>
      <c r="G41" s="513">
        <v>694.88</v>
      </c>
      <c r="H41" s="514" t="s">
        <v>16</v>
      </c>
      <c r="I41" s="514"/>
      <c r="K41" s="518"/>
    </row>
    <row r="42" spans="1:12">
      <c r="A42" s="504">
        <v>45900</v>
      </c>
      <c r="B42" s="504" t="s">
        <v>22</v>
      </c>
      <c r="C42" s="505" t="s">
        <v>97</v>
      </c>
      <c r="D42" s="505" t="s">
        <v>98</v>
      </c>
      <c r="E42" s="505" t="s">
        <v>99</v>
      </c>
      <c r="F42" s="505" t="s">
        <v>100</v>
      </c>
      <c r="G42" s="513">
        <v>28150</v>
      </c>
      <c r="H42" s="514" t="s">
        <v>101</v>
      </c>
      <c r="I42" s="514"/>
      <c r="J42" s="518"/>
      <c r="K42" s="518"/>
      <c r="L42" s="518"/>
    </row>
    <row r="43" spans="1:12">
      <c r="A43" s="504">
        <v>45900</v>
      </c>
      <c r="B43" s="504" t="s">
        <v>22</v>
      </c>
      <c r="C43" s="505" t="s">
        <v>48</v>
      </c>
      <c r="D43" s="505" t="s">
        <v>102</v>
      </c>
      <c r="E43" s="505" t="s">
        <v>103</v>
      </c>
      <c r="F43" s="505" t="s">
        <v>104</v>
      </c>
      <c r="G43" s="513">
        <v>7087.5</v>
      </c>
      <c r="H43" s="514" t="s">
        <v>101</v>
      </c>
      <c r="I43" s="514"/>
      <c r="J43" s="518"/>
    </row>
    <row r="44" spans="1:12">
      <c r="A44" s="504">
        <v>45900</v>
      </c>
      <c r="B44" s="504" t="s">
        <v>22</v>
      </c>
      <c r="C44" s="505" t="s">
        <v>97</v>
      </c>
      <c r="D44" s="505" t="s">
        <v>105</v>
      </c>
      <c r="E44" s="505" t="s">
        <v>106</v>
      </c>
      <c r="F44" s="505" t="s">
        <v>107</v>
      </c>
      <c r="G44" s="513">
        <v>21550</v>
      </c>
      <c r="H44" s="514" t="s">
        <v>101</v>
      </c>
      <c r="I44" s="514"/>
    </row>
    <row r="45" spans="1:12">
      <c r="A45" s="504">
        <v>45900</v>
      </c>
      <c r="B45" s="504" t="s">
        <v>22</v>
      </c>
      <c r="C45" s="505" t="s">
        <v>108</v>
      </c>
      <c r="D45" s="505" t="s">
        <v>109</v>
      </c>
      <c r="E45" s="505" t="s">
        <v>110</v>
      </c>
      <c r="F45" s="505" t="s">
        <v>111</v>
      </c>
      <c r="G45" s="513">
        <v>353.5</v>
      </c>
      <c r="H45" s="514" t="s">
        <v>16</v>
      </c>
      <c r="I45" s="514"/>
      <c r="J45" s="518"/>
    </row>
    <row r="46" spans="1:12">
      <c r="A46" s="504">
        <v>45900</v>
      </c>
      <c r="B46" s="504" t="s">
        <v>22</v>
      </c>
      <c r="C46" s="505" t="s">
        <v>64</v>
      </c>
      <c r="D46" s="505">
        <v>6500249243</v>
      </c>
      <c r="E46" s="505" t="s">
        <v>112</v>
      </c>
      <c r="F46" s="505" t="s">
        <v>66</v>
      </c>
      <c r="G46" s="513">
        <v>8109</v>
      </c>
      <c r="H46" s="514" t="s">
        <v>16</v>
      </c>
      <c r="I46" s="514"/>
      <c r="J46" s="518"/>
    </row>
    <row r="47" spans="1:12">
      <c r="A47" s="504">
        <v>45900</v>
      </c>
      <c r="B47" s="504" t="s">
        <v>22</v>
      </c>
      <c r="C47" s="505" t="s">
        <v>64</v>
      </c>
      <c r="D47" s="505">
        <v>6500249266</v>
      </c>
      <c r="E47" s="505" t="s">
        <v>113</v>
      </c>
      <c r="F47" s="505" t="s">
        <v>66</v>
      </c>
      <c r="G47" s="513">
        <v>12312</v>
      </c>
      <c r="H47" s="514" t="s">
        <v>16</v>
      </c>
      <c r="I47" s="514"/>
      <c r="J47" s="518"/>
    </row>
    <row r="48" spans="1:12">
      <c r="A48" s="504">
        <v>45715</v>
      </c>
      <c r="B48" s="504" t="s">
        <v>22</v>
      </c>
      <c r="C48" s="505" t="s">
        <v>64</v>
      </c>
      <c r="D48" s="505">
        <v>6500600172</v>
      </c>
      <c r="E48" s="505" t="s">
        <v>114</v>
      </c>
      <c r="F48" s="505" t="s">
        <v>66</v>
      </c>
      <c r="G48" s="513">
        <v>4874</v>
      </c>
      <c r="H48" s="514" t="s">
        <v>16</v>
      </c>
      <c r="I48" s="514"/>
      <c r="J48" s="518"/>
    </row>
    <row r="49" spans="1:10">
      <c r="A49" s="504">
        <v>45639</v>
      </c>
      <c r="B49" s="504" t="s">
        <v>115</v>
      </c>
      <c r="C49" s="505" t="s">
        <v>64</v>
      </c>
      <c r="D49" s="505">
        <v>6500295662</v>
      </c>
      <c r="E49" s="505" t="s">
        <v>65</v>
      </c>
      <c r="F49" s="505"/>
      <c r="G49" s="513">
        <v>1917</v>
      </c>
      <c r="H49" s="505" t="s">
        <v>16</v>
      </c>
      <c r="I49" s="514"/>
      <c r="J49" s="518"/>
    </row>
    <row r="50" spans="1:10">
      <c r="A50" s="504">
        <v>44908</v>
      </c>
      <c r="B50" s="504" t="s">
        <v>115</v>
      </c>
      <c r="C50" s="505" t="s">
        <v>116</v>
      </c>
      <c r="D50" s="505" t="s">
        <v>117</v>
      </c>
      <c r="E50" s="505" t="s">
        <v>118</v>
      </c>
      <c r="F50" s="505" t="s">
        <v>119</v>
      </c>
      <c r="G50" s="513">
        <f>49952.7+16348.5</f>
        <v>66301.2</v>
      </c>
      <c r="H50" s="505" t="s">
        <v>120</v>
      </c>
      <c r="I50" s="514"/>
      <c r="J50" s="518">
        <f>G50/77</f>
        <v>861.0545454545454</v>
      </c>
    </row>
    <row r="51" spans="1:10">
      <c r="A51" s="507"/>
      <c r="B51" s="507" t="s">
        <v>121</v>
      </c>
      <c r="C51" s="508"/>
      <c r="D51" s="508"/>
      <c r="E51" s="508"/>
      <c r="F51" s="508" t="s">
        <v>122</v>
      </c>
      <c r="G51" s="509"/>
      <c r="H51" s="508" t="s">
        <v>123</v>
      </c>
      <c r="I51" s="524"/>
      <c r="J51" s="518"/>
    </row>
    <row r="52" spans="1:10">
      <c r="A52" s="504"/>
      <c r="B52" s="504" t="s">
        <v>124</v>
      </c>
      <c r="C52" s="505"/>
      <c r="D52" s="505"/>
      <c r="E52" s="505"/>
      <c r="F52" s="505"/>
      <c r="G52" s="505"/>
      <c r="H52" s="514" t="s">
        <v>125</v>
      </c>
      <c r="I52" s="536"/>
    </row>
    <row r="53" spans="1:10">
      <c r="A53" s="504">
        <v>45824</v>
      </c>
      <c r="B53" s="504" t="s">
        <v>126</v>
      </c>
      <c r="C53" s="505" t="s">
        <v>127</v>
      </c>
      <c r="D53" s="916" t="s">
        <v>128</v>
      </c>
      <c r="E53" s="505" t="s">
        <v>47</v>
      </c>
      <c r="F53" s="505"/>
      <c r="G53" s="513">
        <f>14698.35+3841.95</f>
        <v>18540.3</v>
      </c>
      <c r="H53" s="505" t="s">
        <v>16</v>
      </c>
      <c r="I53" s="514"/>
      <c r="J53" s="518"/>
    </row>
    <row r="54" spans="1:10">
      <c r="A54" s="504">
        <v>45623</v>
      </c>
      <c r="B54" s="504" t="s">
        <v>129</v>
      </c>
      <c r="C54" s="505" t="s">
        <v>130</v>
      </c>
      <c r="D54" s="505"/>
      <c r="E54" s="505" t="s">
        <v>131</v>
      </c>
      <c r="F54" s="505"/>
      <c r="G54" s="513">
        <v>178</v>
      </c>
      <c r="H54" s="505" t="s">
        <v>16</v>
      </c>
      <c r="I54" s="514"/>
      <c r="J54" s="518"/>
    </row>
    <row r="55" spans="1:10">
      <c r="A55" s="504">
        <v>45596</v>
      </c>
      <c r="B55" s="504" t="s">
        <v>129</v>
      </c>
      <c r="C55" s="505" t="s">
        <v>132</v>
      </c>
      <c r="D55" s="505"/>
      <c r="E55" s="505" t="s">
        <v>47</v>
      </c>
      <c r="F55" s="505"/>
      <c r="G55" s="513">
        <v>4179</v>
      </c>
      <c r="H55" s="505" t="s">
        <v>16</v>
      </c>
      <c r="I55" s="514"/>
      <c r="J55" s="518"/>
    </row>
    <row r="56" spans="1:10">
      <c r="A56" s="504">
        <v>45596</v>
      </c>
      <c r="B56" s="504" t="s">
        <v>129</v>
      </c>
      <c r="C56" s="505" t="s">
        <v>132</v>
      </c>
      <c r="D56" s="505"/>
      <c r="E56" s="505" t="s">
        <v>106</v>
      </c>
      <c r="F56" s="505"/>
      <c r="G56" s="513">
        <v>1214</v>
      </c>
      <c r="H56" s="505" t="s">
        <v>16</v>
      </c>
      <c r="I56" s="514"/>
      <c r="J56" s="518"/>
    </row>
    <row r="57" spans="1:10">
      <c r="A57" s="504">
        <v>45598</v>
      </c>
      <c r="B57" s="504" t="s">
        <v>129</v>
      </c>
      <c r="C57" s="505" t="s">
        <v>133</v>
      </c>
      <c r="D57" s="505"/>
      <c r="E57" s="505" t="s">
        <v>134</v>
      </c>
      <c r="F57" s="505"/>
      <c r="G57" s="513">
        <v>911</v>
      </c>
      <c r="H57" s="505" t="s">
        <v>16</v>
      </c>
      <c r="I57" s="514"/>
      <c r="J57" s="518"/>
    </row>
    <row r="58" spans="1:10">
      <c r="A58" s="504">
        <v>45857</v>
      </c>
      <c r="B58" s="505" t="s">
        <v>135</v>
      </c>
      <c r="C58" s="505" t="s">
        <v>133</v>
      </c>
      <c r="D58" s="505" t="s">
        <v>136</v>
      </c>
      <c r="E58" s="505" t="s">
        <v>134</v>
      </c>
      <c r="F58" s="505"/>
      <c r="G58" s="513">
        <v>4094.4</v>
      </c>
      <c r="H58" s="514" t="s">
        <v>137</v>
      </c>
      <c r="I58" s="514"/>
      <c r="J58" s="518"/>
    </row>
    <row r="59" spans="1:10">
      <c r="A59" s="504">
        <v>45857</v>
      </c>
      <c r="B59" s="505" t="s">
        <v>135</v>
      </c>
      <c r="C59" s="505" t="s">
        <v>138</v>
      </c>
      <c r="D59" s="505" t="s">
        <v>139</v>
      </c>
      <c r="E59" s="505" t="s">
        <v>140</v>
      </c>
      <c r="F59" s="505"/>
      <c r="G59" s="513">
        <v>6222</v>
      </c>
      <c r="H59" s="514" t="s">
        <v>137</v>
      </c>
      <c r="I59" s="514"/>
      <c r="J59" s="518"/>
    </row>
    <row r="60" spans="1:10">
      <c r="A60" s="505" t="s">
        <v>141</v>
      </c>
      <c r="B60" s="505" t="s">
        <v>142</v>
      </c>
      <c r="C60" s="505"/>
      <c r="D60" s="505"/>
      <c r="E60" s="505"/>
      <c r="F60" s="505"/>
      <c r="G60" s="505"/>
      <c r="H60" s="505" t="s">
        <v>143</v>
      </c>
      <c r="I60" s="514"/>
    </row>
    <row r="61" spans="1:10">
      <c r="A61" s="505" t="s">
        <v>141</v>
      </c>
      <c r="B61" s="505" t="s">
        <v>144</v>
      </c>
      <c r="C61" s="505"/>
      <c r="D61" s="505"/>
      <c r="E61" s="505"/>
      <c r="F61" s="505"/>
      <c r="G61" s="505"/>
      <c r="H61" s="505" t="s">
        <v>143</v>
      </c>
      <c r="I61" s="514"/>
    </row>
    <row r="62" spans="1:10">
      <c r="A62" s="505" t="s">
        <v>141</v>
      </c>
      <c r="B62" s="505" t="s">
        <v>145</v>
      </c>
      <c r="C62" s="505"/>
      <c r="D62" s="505"/>
      <c r="E62" s="505"/>
      <c r="F62" s="505"/>
      <c r="G62" s="505"/>
      <c r="H62" s="505" t="s">
        <v>143</v>
      </c>
      <c r="I62" s="514"/>
    </row>
    <row r="63" spans="1:10">
      <c r="A63" s="505" t="s">
        <v>141</v>
      </c>
      <c r="B63" s="505" t="s">
        <v>146</v>
      </c>
      <c r="C63" s="505"/>
      <c r="D63" s="505"/>
      <c r="E63" s="505"/>
      <c r="F63" s="505"/>
      <c r="G63" s="505"/>
      <c r="H63" s="505" t="s">
        <v>143</v>
      </c>
      <c r="I63" s="514"/>
    </row>
    <row r="64" spans="1:10">
      <c r="A64" s="504">
        <v>45890</v>
      </c>
      <c r="B64" s="505" t="s">
        <v>80</v>
      </c>
      <c r="C64" s="505" t="s">
        <v>147</v>
      </c>
      <c r="D64" s="505"/>
      <c r="E64" s="505" t="s">
        <v>65</v>
      </c>
      <c r="F64" s="505"/>
      <c r="G64" s="505"/>
      <c r="H64" s="505" t="s">
        <v>148</v>
      </c>
      <c r="I64" s="514"/>
    </row>
    <row r="65" spans="1:9">
      <c r="A65" s="504">
        <v>45890</v>
      </c>
      <c r="B65" s="505" t="s">
        <v>80</v>
      </c>
      <c r="C65" s="505" t="s">
        <v>147</v>
      </c>
      <c r="D65" s="505"/>
      <c r="E65" s="505" t="s">
        <v>65</v>
      </c>
      <c r="F65" s="505"/>
      <c r="G65" s="505"/>
      <c r="H65" s="505" t="s">
        <v>148</v>
      </c>
      <c r="I65" s="514"/>
    </row>
    <row r="66" spans="1:9">
      <c r="A66" s="505" t="s">
        <v>141</v>
      </c>
      <c r="B66" s="505" t="s">
        <v>149</v>
      </c>
      <c r="C66" s="505"/>
      <c r="D66" s="505"/>
      <c r="E66" s="505"/>
      <c r="F66" s="505"/>
      <c r="G66" s="505"/>
      <c r="H66" s="505" t="s">
        <v>143</v>
      </c>
      <c r="I66" s="514"/>
    </row>
    <row r="67" spans="1:9">
      <c r="A67" s="240" t="s">
        <v>150</v>
      </c>
      <c r="B67" s="240"/>
      <c r="C67" s="5"/>
      <c r="E67" s="5"/>
      <c r="F67" s="5"/>
      <c r="G67" s="5"/>
    </row>
    <row r="68" spans="1:9">
      <c r="A68" s="499" t="s">
        <v>3</v>
      </c>
      <c r="B68" s="499" t="s">
        <v>4</v>
      </c>
      <c r="C68" s="499" t="s">
        <v>5</v>
      </c>
      <c r="D68" s="499" t="s">
        <v>6</v>
      </c>
      <c r="E68" s="499" t="s">
        <v>7</v>
      </c>
      <c r="F68" s="499" t="s">
        <v>8</v>
      </c>
      <c r="G68" s="499"/>
    </row>
    <row r="69" spans="1:9">
      <c r="A69" s="504">
        <v>45199</v>
      </c>
      <c r="B69" s="504" t="s">
        <v>150</v>
      </c>
      <c r="C69" s="505" t="s">
        <v>151</v>
      </c>
      <c r="D69" s="505" t="s">
        <v>152</v>
      </c>
      <c r="E69" s="505" t="s">
        <v>153</v>
      </c>
      <c r="F69" s="505" t="s">
        <v>154</v>
      </c>
      <c r="G69" s="515">
        <v>375</v>
      </c>
      <c r="H69" s="505" t="s">
        <v>16</v>
      </c>
      <c r="I69" s="514"/>
    </row>
    <row r="70" spans="1:9">
      <c r="A70" s="504">
        <v>45825</v>
      </c>
      <c r="B70" s="504" t="s">
        <v>155</v>
      </c>
      <c r="C70" s="505" t="s">
        <v>156</v>
      </c>
      <c r="D70" s="505" t="s">
        <v>157</v>
      </c>
      <c r="E70" s="505" t="s">
        <v>158</v>
      </c>
      <c r="F70" s="505" t="s">
        <v>159</v>
      </c>
      <c r="G70" s="513">
        <v>79541.5</v>
      </c>
      <c r="H70" s="505" t="s">
        <v>16</v>
      </c>
      <c r="I70" s="505"/>
    </row>
    <row r="71" spans="1:9">
      <c r="A71" s="504">
        <v>45825</v>
      </c>
      <c r="B71" s="504" t="s">
        <v>160</v>
      </c>
      <c r="C71" s="505"/>
      <c r="D71" s="505"/>
      <c r="E71" s="505"/>
      <c r="F71" s="505" t="s">
        <v>161</v>
      </c>
      <c r="G71" s="513">
        <f>SUM('Breakout of Home Policy'!J144:J145)</f>
        <v>7364</v>
      </c>
      <c r="H71" s="505" t="s">
        <v>16</v>
      </c>
      <c r="I71" s="505"/>
    </row>
    <row r="72" spans="1:9">
      <c r="A72" s="504">
        <v>45933</v>
      </c>
      <c r="B72" s="504" t="s">
        <v>162</v>
      </c>
      <c r="C72" s="505" t="s">
        <v>163</v>
      </c>
      <c r="D72" s="505" t="s">
        <v>164</v>
      </c>
      <c r="E72" s="505" t="s">
        <v>153</v>
      </c>
      <c r="F72" s="505" t="s">
        <v>165</v>
      </c>
      <c r="G72" s="513">
        <v>1125</v>
      </c>
      <c r="H72" s="514" t="s">
        <v>166</v>
      </c>
      <c r="I72" s="516"/>
    </row>
    <row r="73" spans="1:9" s="516" customFormat="1">
      <c r="A73" s="504">
        <v>45925</v>
      </c>
      <c r="B73" s="505" t="s">
        <v>167</v>
      </c>
      <c r="C73" s="505" t="s">
        <v>168</v>
      </c>
      <c r="D73" s="505">
        <v>100997299</v>
      </c>
      <c r="E73" s="505" t="s">
        <v>153</v>
      </c>
      <c r="F73" s="505" t="s">
        <v>169</v>
      </c>
      <c r="G73" s="515">
        <v>952</v>
      </c>
      <c r="H73" s="514" t="s">
        <v>166</v>
      </c>
    </row>
    <row r="77" spans="1:9">
      <c r="D77" s="522">
        <v>21468.12</v>
      </c>
      <c r="E77" s="522">
        <v>20617.509999999998</v>
      </c>
      <c r="F77" s="522">
        <v>39216.68</v>
      </c>
      <c r="G77" s="522">
        <v>55690.1</v>
      </c>
      <c r="H77" s="522">
        <v>30388.09</v>
      </c>
    </row>
    <row r="78" spans="1:9">
      <c r="D78" s="5" t="s">
        <v>170</v>
      </c>
      <c r="E78" t="s">
        <v>171</v>
      </c>
      <c r="F78" t="s">
        <v>172</v>
      </c>
      <c r="G78" t="s">
        <v>173</v>
      </c>
      <c r="H78" t="s">
        <v>174</v>
      </c>
    </row>
    <row r="79" spans="1:9">
      <c r="B79" s="522">
        <v>93438.5</v>
      </c>
      <c r="C79" t="s">
        <v>158</v>
      </c>
      <c r="D79" s="523">
        <f>(D$77/SUM($D$77:$H$77))*$B$79/9</f>
        <v>1331.5960611500941</v>
      </c>
      <c r="E79" s="523">
        <f t="shared" ref="E79:H79" si="0">(E$77/SUM($D$77:$H$77))*$B$79/9</f>
        <v>1278.8355527509011</v>
      </c>
      <c r="F79" s="523">
        <f t="shared" si="0"/>
        <v>2432.4801901323299</v>
      </c>
      <c r="G79" s="523">
        <f t="shared" si="0"/>
        <v>3454.2716271874224</v>
      </c>
      <c r="H79" s="523">
        <f t="shared" si="0"/>
        <v>1884.8721243348073</v>
      </c>
    </row>
    <row r="80" spans="1:9">
      <c r="B80" s="522">
        <v>42095</v>
      </c>
      <c r="C80" t="s">
        <v>47</v>
      </c>
      <c r="D80" s="523">
        <f>(D$77/SUM($D$77:$H$77))*$B$80/9</f>
        <v>599.89764598225804</v>
      </c>
      <c r="E80" s="523">
        <f t="shared" ref="E80:H80" si="1">(E$77/SUM($D$77:$H$77))*$B$80/9</f>
        <v>576.12849727948526</v>
      </c>
      <c r="F80" s="523">
        <f t="shared" si="1"/>
        <v>1095.8572066505822</v>
      </c>
      <c r="G80" s="523">
        <f t="shared" si="1"/>
        <v>1556.1847005940224</v>
      </c>
      <c r="H80" s="523">
        <f t="shared" si="1"/>
        <v>849.15417171587433</v>
      </c>
    </row>
    <row r="81" spans="2:8">
      <c r="B81" s="522">
        <v>31848</v>
      </c>
      <c r="C81" t="s">
        <v>50</v>
      </c>
      <c r="D81" s="523">
        <f>(D$77/SUM($D$77:$H$77))*$B$81/9</f>
        <v>453.86721057709826</v>
      </c>
      <c r="E81" s="523">
        <f t="shared" ref="E81:H81" si="2">(E$77/SUM($D$77:$H$77))*$B$81/9</f>
        <v>435.88408080192534</v>
      </c>
      <c r="F81" s="523">
        <f t="shared" si="2"/>
        <v>829.0975250601673</v>
      </c>
      <c r="G81" s="523">
        <f t="shared" si="2"/>
        <v>1177.3695295051295</v>
      </c>
      <c r="H81" s="523">
        <f t="shared" si="2"/>
        <v>642.44832072234624</v>
      </c>
    </row>
    <row r="82" spans="2:8">
      <c r="B82" s="522"/>
      <c r="G82" s="539"/>
    </row>
    <row r="83" spans="2:8">
      <c r="D83" s="523"/>
      <c r="E83" s="523"/>
      <c r="F83" s="523"/>
      <c r="G83" s="523"/>
      <c r="H83" s="523"/>
    </row>
    <row r="84" spans="2:8">
      <c r="B84" s="523"/>
    </row>
    <row r="86" spans="2:8">
      <c r="B86" s="5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1BB97-C001-4DCC-9F44-F279FBFB8A45}">
  <dimension ref="A1:L145"/>
  <sheetViews>
    <sheetView topLeftCell="A46" zoomScale="62" zoomScaleNormal="100" workbookViewId="0">
      <selection activeCell="A58" sqref="A58:XFD58"/>
    </sheetView>
  </sheetViews>
  <sheetFormatPr defaultRowHeight="14.25"/>
  <cols>
    <col min="1" max="1" width="25.5703125" customWidth="1"/>
    <col min="2" max="2" width="26.140625" customWidth="1"/>
    <col min="3" max="3" width="59.42578125" customWidth="1"/>
    <col min="5" max="5" width="15.5703125" bestFit="1" customWidth="1"/>
    <col min="6" max="6" width="22.140625" bestFit="1" customWidth="1"/>
    <col min="7" max="7" width="12.28515625" customWidth="1"/>
    <col min="8" max="8" width="16.85546875" customWidth="1"/>
    <col min="9" max="9" width="19" bestFit="1" customWidth="1"/>
    <col min="10" max="10" width="24.5703125" bestFit="1" customWidth="1"/>
  </cols>
  <sheetData>
    <row r="1" spans="1:12">
      <c r="A1" s="520" t="s">
        <v>175</v>
      </c>
      <c r="B1" s="520" t="s">
        <v>176</v>
      </c>
      <c r="C1" s="520" t="s">
        <v>177</v>
      </c>
      <c r="D1" s="520" t="s">
        <v>178</v>
      </c>
      <c r="E1" s="520" t="s">
        <v>179</v>
      </c>
      <c r="F1" s="520" t="s">
        <v>180</v>
      </c>
      <c r="G1" s="520" t="s">
        <v>181</v>
      </c>
      <c r="H1" s="520" t="s">
        <v>182</v>
      </c>
      <c r="I1" s="520" t="s">
        <v>183</v>
      </c>
      <c r="J1" s="520" t="s">
        <v>184</v>
      </c>
    </row>
    <row r="2" spans="1:12">
      <c r="A2" s="520" t="s">
        <v>185</v>
      </c>
      <c r="B2" s="520" t="s">
        <v>186</v>
      </c>
      <c r="C2" s="520" t="s">
        <v>187</v>
      </c>
      <c r="D2" s="520">
        <v>40</v>
      </c>
      <c r="E2" s="520" t="s">
        <v>188</v>
      </c>
      <c r="F2" s="520" t="s">
        <v>189</v>
      </c>
      <c r="G2" s="520">
        <v>2018</v>
      </c>
      <c r="H2" s="519">
        <v>30000</v>
      </c>
      <c r="I2" s="520" t="s">
        <v>190</v>
      </c>
      <c r="J2" s="533">
        <f>(H2/H22)*79541.5</f>
        <v>2359.6447250149072</v>
      </c>
      <c r="L2" s="521">
        <f>SUM(J2:J3)/12</f>
        <v>478.48351368357834</v>
      </c>
    </row>
    <row r="3" spans="1:12">
      <c r="A3" s="520" t="s">
        <v>185</v>
      </c>
      <c r="B3" s="520" t="s">
        <v>186</v>
      </c>
      <c r="C3" s="520" t="s">
        <v>187</v>
      </c>
      <c r="D3" s="520">
        <v>41</v>
      </c>
      <c r="E3" s="520" t="s">
        <v>191</v>
      </c>
      <c r="F3" s="520" t="s">
        <v>192</v>
      </c>
      <c r="G3" s="520">
        <v>2018</v>
      </c>
      <c r="H3" s="519">
        <v>43000</v>
      </c>
      <c r="I3" s="520" t="s">
        <v>190</v>
      </c>
      <c r="J3" s="533">
        <f>(H3/H22)*79541.5</f>
        <v>3382.1574391880331</v>
      </c>
    </row>
    <row r="4" spans="1:12">
      <c r="A4" s="520" t="s">
        <v>185</v>
      </c>
      <c r="B4" s="520" t="s">
        <v>193</v>
      </c>
      <c r="C4" s="520" t="s">
        <v>194</v>
      </c>
      <c r="D4" s="520">
        <v>28</v>
      </c>
      <c r="E4" s="520" t="s">
        <v>195</v>
      </c>
      <c r="F4" s="520" t="s">
        <v>196</v>
      </c>
      <c r="G4" s="520">
        <v>2018</v>
      </c>
      <c r="H4" s="519">
        <v>42000</v>
      </c>
      <c r="I4" s="520" t="s">
        <v>190</v>
      </c>
      <c r="J4" s="533">
        <f>(H4/H22)*79541.5</f>
        <v>3303.5026150208696</v>
      </c>
      <c r="L4" s="521">
        <f>SUM(J4:J14)/12</f>
        <v>2818.4645326566938</v>
      </c>
    </row>
    <row r="5" spans="1:12">
      <c r="A5" s="520" t="s">
        <v>185</v>
      </c>
      <c r="B5" s="520" t="s">
        <v>193</v>
      </c>
      <c r="C5" s="520" t="s">
        <v>194</v>
      </c>
      <c r="D5" s="520">
        <v>33</v>
      </c>
      <c r="E5" s="520" t="s">
        <v>197</v>
      </c>
      <c r="F5" s="520" t="s">
        <v>198</v>
      </c>
      <c r="G5" s="520">
        <v>2017</v>
      </c>
      <c r="H5" s="519">
        <v>24000</v>
      </c>
      <c r="I5" s="520" t="s">
        <v>190</v>
      </c>
      <c r="J5" s="533">
        <f>(H5/H22)*79541.5</f>
        <v>1887.7157800119255</v>
      </c>
    </row>
    <row r="6" spans="1:12">
      <c r="A6" s="520" t="s">
        <v>185</v>
      </c>
      <c r="B6" s="520" t="s">
        <v>193</v>
      </c>
      <c r="C6" s="520" t="s">
        <v>194</v>
      </c>
      <c r="D6" s="520">
        <v>4</v>
      </c>
      <c r="E6" s="520" t="s">
        <v>199</v>
      </c>
      <c r="F6" s="520" t="s">
        <v>200</v>
      </c>
      <c r="G6" s="520">
        <v>2017</v>
      </c>
      <c r="H6" s="519">
        <v>43000</v>
      </c>
      <c r="I6" s="520" t="s">
        <v>190</v>
      </c>
      <c r="J6" s="533">
        <f>(H6/H22)*79541.5</f>
        <v>3382.1574391880331</v>
      </c>
    </row>
    <row r="7" spans="1:12">
      <c r="A7" s="520" t="s">
        <v>185</v>
      </c>
      <c r="B7" s="520" t="s">
        <v>193</v>
      </c>
      <c r="C7" s="520" t="s">
        <v>194</v>
      </c>
      <c r="D7" s="520">
        <v>29</v>
      </c>
      <c r="E7" s="520" t="s">
        <v>201</v>
      </c>
      <c r="F7" s="520" t="s">
        <v>202</v>
      </c>
      <c r="G7" s="520">
        <v>2018</v>
      </c>
      <c r="H7" s="519">
        <v>43000</v>
      </c>
      <c r="I7" s="520" t="s">
        <v>190</v>
      </c>
      <c r="J7" s="533">
        <f>(H7/H22)*79541.5</f>
        <v>3382.1574391880331</v>
      </c>
    </row>
    <row r="8" spans="1:12">
      <c r="A8" s="520" t="s">
        <v>185</v>
      </c>
      <c r="B8" s="520" t="s">
        <v>193</v>
      </c>
      <c r="C8" s="520" t="s">
        <v>194</v>
      </c>
      <c r="D8" s="520" t="s">
        <v>203</v>
      </c>
      <c r="E8" s="520" t="s">
        <v>204</v>
      </c>
      <c r="F8" s="520" t="s">
        <v>205</v>
      </c>
      <c r="G8" s="520">
        <v>2018</v>
      </c>
      <c r="H8" s="519">
        <v>41000</v>
      </c>
      <c r="I8" s="520" t="s">
        <v>190</v>
      </c>
      <c r="J8" s="533">
        <f>(H8/H22)*79541.5</f>
        <v>3224.8477908537061</v>
      </c>
    </row>
    <row r="9" spans="1:12">
      <c r="A9" s="520" t="s">
        <v>185</v>
      </c>
      <c r="B9" s="520" t="s">
        <v>193</v>
      </c>
      <c r="C9" s="520" t="s">
        <v>194</v>
      </c>
      <c r="D9" s="520" t="s">
        <v>206</v>
      </c>
      <c r="E9" s="520" t="s">
        <v>207</v>
      </c>
      <c r="F9" s="520" t="s">
        <v>208</v>
      </c>
      <c r="G9" s="520">
        <v>2018</v>
      </c>
      <c r="H9" s="519">
        <v>43000</v>
      </c>
      <c r="I9" s="520" t="s">
        <v>190</v>
      </c>
      <c r="J9" s="533">
        <f>(H9/H22)*79541.5</f>
        <v>3382.1574391880331</v>
      </c>
    </row>
    <row r="10" spans="1:12">
      <c r="A10" s="520" t="s">
        <v>185</v>
      </c>
      <c r="B10" s="520" t="s">
        <v>193</v>
      </c>
      <c r="C10" s="520" t="s">
        <v>194</v>
      </c>
      <c r="D10" s="520">
        <v>19.5</v>
      </c>
      <c r="E10" s="520" t="s">
        <v>209</v>
      </c>
      <c r="F10" s="520" t="s">
        <v>210</v>
      </c>
      <c r="G10" s="520">
        <v>2018</v>
      </c>
      <c r="H10" s="519">
        <v>40000</v>
      </c>
      <c r="I10" s="520" t="s">
        <v>190</v>
      </c>
      <c r="J10" s="533">
        <f>(H10/H22)*79541.5</f>
        <v>3146.1929666865426</v>
      </c>
    </row>
    <row r="11" spans="1:12">
      <c r="A11" s="520" t="s">
        <v>185</v>
      </c>
      <c r="B11" s="520" t="s">
        <v>193</v>
      </c>
      <c r="C11" s="520" t="s">
        <v>194</v>
      </c>
      <c r="D11" s="520">
        <v>22</v>
      </c>
      <c r="E11" s="520" t="s">
        <v>211</v>
      </c>
      <c r="F11" s="520" t="s">
        <v>212</v>
      </c>
      <c r="G11" s="520">
        <v>2018</v>
      </c>
      <c r="H11" s="519">
        <v>45000</v>
      </c>
      <c r="I11" s="520" t="s">
        <v>190</v>
      </c>
      <c r="J11" s="533">
        <f>(H11/H22)*79541.5</f>
        <v>3539.4670875223605</v>
      </c>
    </row>
    <row r="12" spans="1:12">
      <c r="A12" s="520" t="s">
        <v>185</v>
      </c>
      <c r="B12" s="520" t="s">
        <v>193</v>
      </c>
      <c r="C12" s="520" t="s">
        <v>194</v>
      </c>
      <c r="D12" s="520">
        <v>34</v>
      </c>
      <c r="E12" s="520" t="s">
        <v>213</v>
      </c>
      <c r="F12" s="520" t="s">
        <v>214</v>
      </c>
      <c r="G12" s="520">
        <v>2018</v>
      </c>
      <c r="H12" s="519">
        <v>24000</v>
      </c>
      <c r="I12" s="520" t="s">
        <v>190</v>
      </c>
      <c r="J12" s="533">
        <f>(H12/H22)*79541.5</f>
        <v>1887.7157800119255</v>
      </c>
    </row>
    <row r="13" spans="1:12">
      <c r="A13" s="520" t="s">
        <v>185</v>
      </c>
      <c r="B13" s="520" t="s">
        <v>193</v>
      </c>
      <c r="C13" s="520" t="s">
        <v>194</v>
      </c>
      <c r="D13" s="520" t="s">
        <v>215</v>
      </c>
      <c r="E13" s="520" t="s">
        <v>216</v>
      </c>
      <c r="F13" s="520" t="s">
        <v>217</v>
      </c>
      <c r="G13" s="520">
        <v>2018</v>
      </c>
      <c r="H13" s="519">
        <v>42000</v>
      </c>
      <c r="I13" s="520" t="s">
        <v>190</v>
      </c>
      <c r="J13" s="533">
        <f>(H13/H22)*79541.5</f>
        <v>3303.5026150208696</v>
      </c>
    </row>
    <row r="14" spans="1:12">
      <c r="A14" s="520" t="s">
        <v>185</v>
      </c>
      <c r="B14" s="520" t="s">
        <v>193</v>
      </c>
      <c r="C14" s="520" t="s">
        <v>194</v>
      </c>
      <c r="D14" s="520" t="s">
        <v>218</v>
      </c>
      <c r="E14" s="520" t="s">
        <v>219</v>
      </c>
      <c r="F14" s="520" t="s">
        <v>220</v>
      </c>
      <c r="G14" s="520">
        <v>2019</v>
      </c>
      <c r="H14" s="519">
        <v>43000</v>
      </c>
      <c r="I14" s="520" t="s">
        <v>190</v>
      </c>
      <c r="J14" s="533">
        <f>(H14/H22)*79541.5</f>
        <v>3382.1574391880331</v>
      </c>
    </row>
    <row r="15" spans="1:12">
      <c r="A15" s="520" t="s">
        <v>185</v>
      </c>
      <c r="B15" s="520" t="s">
        <v>193</v>
      </c>
      <c r="C15" s="520" t="s">
        <v>194</v>
      </c>
      <c r="D15" s="520" t="s">
        <v>221</v>
      </c>
      <c r="E15" s="520" t="s">
        <v>222</v>
      </c>
      <c r="F15" s="520" t="s">
        <v>223</v>
      </c>
      <c r="G15" s="520">
        <v>2025</v>
      </c>
      <c r="H15" s="519">
        <v>70955</v>
      </c>
      <c r="I15" s="520" t="s">
        <v>190</v>
      </c>
      <c r="J15" s="533">
        <f>(H15/H22)*79541.5</f>
        <v>5580.9530487810907</v>
      </c>
      <c r="L15" s="521">
        <f>J15/12</f>
        <v>465.07942073175758</v>
      </c>
    </row>
    <row r="16" spans="1:12">
      <c r="A16" s="520" t="s">
        <v>185</v>
      </c>
      <c r="B16" s="520" t="s">
        <v>193</v>
      </c>
      <c r="C16" s="520" t="s">
        <v>194</v>
      </c>
      <c r="D16" s="520">
        <v>15</v>
      </c>
      <c r="E16" s="520" t="s">
        <v>222</v>
      </c>
      <c r="F16" s="520" t="s">
        <v>224</v>
      </c>
      <c r="G16" s="520">
        <v>2025</v>
      </c>
      <c r="H16" s="519">
        <v>70955</v>
      </c>
      <c r="I16" s="520" t="s">
        <v>190</v>
      </c>
      <c r="J16" s="533">
        <f>(H16/H22)*79541.5</f>
        <v>5580.9530487810907</v>
      </c>
      <c r="L16" s="521">
        <f t="shared" ref="L16:L21" si="0">J16/12</f>
        <v>465.07942073175758</v>
      </c>
    </row>
    <row r="17" spans="1:12">
      <c r="A17" s="520" t="s">
        <v>185</v>
      </c>
      <c r="B17" s="520" t="s">
        <v>193</v>
      </c>
      <c r="C17" s="520" t="s">
        <v>194</v>
      </c>
      <c r="D17" s="520">
        <v>18</v>
      </c>
      <c r="E17" s="520" t="s">
        <v>222</v>
      </c>
      <c r="F17" s="520" t="s">
        <v>225</v>
      </c>
      <c r="G17" s="520">
        <v>2025</v>
      </c>
      <c r="H17" s="519">
        <v>70955</v>
      </c>
      <c r="I17" s="520" t="s">
        <v>190</v>
      </c>
      <c r="J17" s="533">
        <f>(H17/H22)*79541.5</f>
        <v>5580.9530487810907</v>
      </c>
      <c r="L17" s="521">
        <f t="shared" si="0"/>
        <v>465.07942073175758</v>
      </c>
    </row>
    <row r="18" spans="1:12">
      <c r="A18" s="520" t="s">
        <v>185</v>
      </c>
      <c r="B18" s="520" t="s">
        <v>193</v>
      </c>
      <c r="C18" s="520" t="s">
        <v>194</v>
      </c>
      <c r="D18" s="520" t="s">
        <v>226</v>
      </c>
      <c r="E18" s="520" t="s">
        <v>222</v>
      </c>
      <c r="F18" s="520" t="s">
        <v>227</v>
      </c>
      <c r="G18" s="520">
        <v>2025</v>
      </c>
      <c r="H18" s="519">
        <v>70955</v>
      </c>
      <c r="I18" s="520" t="s">
        <v>190</v>
      </c>
      <c r="J18" s="533">
        <f>(H18/H22)*79541.5</f>
        <v>5580.9530487810907</v>
      </c>
      <c r="L18" s="521">
        <f t="shared" si="0"/>
        <v>465.07942073175758</v>
      </c>
    </row>
    <row r="19" spans="1:12">
      <c r="A19" s="520" t="s">
        <v>185</v>
      </c>
      <c r="B19" s="520" t="s">
        <v>193</v>
      </c>
      <c r="C19" s="520" t="s">
        <v>194</v>
      </c>
      <c r="D19" s="520" t="s">
        <v>228</v>
      </c>
      <c r="E19" s="520" t="s">
        <v>229</v>
      </c>
      <c r="F19" s="520" t="s">
        <v>230</v>
      </c>
      <c r="G19" s="520">
        <v>2025</v>
      </c>
      <c r="H19" s="519">
        <v>73950</v>
      </c>
      <c r="I19" s="520" t="s">
        <v>190</v>
      </c>
      <c r="J19" s="533">
        <f>(H19/H22)*79541.5</f>
        <v>5816.5242471617457</v>
      </c>
      <c r="L19" s="521">
        <f t="shared" si="0"/>
        <v>484.71035393014546</v>
      </c>
    </row>
    <row r="20" spans="1:12">
      <c r="A20" s="520" t="s">
        <v>185</v>
      </c>
      <c r="B20" s="520" t="s">
        <v>193</v>
      </c>
      <c r="C20" s="520" t="s">
        <v>194</v>
      </c>
      <c r="D20" s="520" t="s">
        <v>231</v>
      </c>
      <c r="E20" s="520" t="s">
        <v>229</v>
      </c>
      <c r="F20" s="520" t="s">
        <v>232</v>
      </c>
      <c r="G20" s="520">
        <v>2025</v>
      </c>
      <c r="H20" s="519">
        <v>73950</v>
      </c>
      <c r="I20" s="520" t="s">
        <v>190</v>
      </c>
      <c r="J20" s="533">
        <f>(H20/H22)*79541.5</f>
        <v>5816.5242471617457</v>
      </c>
      <c r="L20" s="521">
        <f t="shared" si="0"/>
        <v>484.71035393014546</v>
      </c>
    </row>
    <row r="21" spans="1:12">
      <c r="A21" s="520" t="s">
        <v>185</v>
      </c>
      <c r="B21" s="520" t="s">
        <v>193</v>
      </c>
      <c r="C21" s="520" t="s">
        <v>194</v>
      </c>
      <c r="D21" s="520" t="s">
        <v>233</v>
      </c>
      <c r="E21" s="520" t="s">
        <v>229</v>
      </c>
      <c r="F21" s="520" t="s">
        <v>234</v>
      </c>
      <c r="G21" s="520">
        <v>2025</v>
      </c>
      <c r="H21" s="519">
        <v>76553</v>
      </c>
      <c r="I21" s="520" t="s">
        <v>190</v>
      </c>
      <c r="J21" s="533">
        <f>(H21/H22)*79541.5</f>
        <v>6021.2627544688721</v>
      </c>
      <c r="L21" s="521">
        <f t="shared" si="0"/>
        <v>501.77189620573932</v>
      </c>
    </row>
    <row r="22" spans="1:12">
      <c r="A22" s="530"/>
      <c r="B22" s="531"/>
      <c r="C22" s="531"/>
      <c r="D22" s="531"/>
      <c r="E22" s="531"/>
      <c r="F22" s="531"/>
      <c r="G22" s="531"/>
      <c r="H22" s="532">
        <f>SUM(H2:H21)</f>
        <v>1011273</v>
      </c>
      <c r="I22" s="532"/>
      <c r="J22" s="532">
        <f>SUM(J2:J21)</f>
        <v>79541.500000000015</v>
      </c>
    </row>
    <row r="23" spans="1:12" ht="15.75">
      <c r="A23" s="520" t="s">
        <v>185</v>
      </c>
      <c r="B23" s="520" t="s">
        <v>235</v>
      </c>
      <c r="C23" s="520" t="s">
        <v>236</v>
      </c>
      <c r="D23" s="525">
        <v>1</v>
      </c>
      <c r="E23" s="520"/>
      <c r="F23" s="526" t="s">
        <v>237</v>
      </c>
      <c r="G23" s="527">
        <v>1986</v>
      </c>
      <c r="H23" s="528">
        <v>3720</v>
      </c>
      <c r="I23" s="520" t="s">
        <v>238</v>
      </c>
      <c r="J23" s="528">
        <v>50</v>
      </c>
    </row>
    <row r="24" spans="1:12" ht="15.75">
      <c r="A24" s="520" t="s">
        <v>185</v>
      </c>
      <c r="B24" s="520" t="s">
        <v>235</v>
      </c>
      <c r="C24" s="520" t="s">
        <v>236</v>
      </c>
      <c r="D24" s="525">
        <v>2</v>
      </c>
      <c r="E24" s="520"/>
      <c r="F24" s="526" t="s">
        <v>239</v>
      </c>
      <c r="G24" s="527">
        <v>1999</v>
      </c>
      <c r="H24" s="528">
        <v>3720</v>
      </c>
      <c r="I24" s="520" t="s">
        <v>238</v>
      </c>
      <c r="J24" s="528">
        <v>50</v>
      </c>
    </row>
    <row r="25" spans="1:12" ht="15.75">
      <c r="A25" s="520" t="s">
        <v>185</v>
      </c>
      <c r="B25" s="520" t="s">
        <v>235</v>
      </c>
      <c r="C25" s="520" t="s">
        <v>236</v>
      </c>
      <c r="D25" s="525">
        <v>4</v>
      </c>
      <c r="E25" s="529"/>
      <c r="F25" s="526" t="s">
        <v>240</v>
      </c>
      <c r="G25" s="527">
        <v>1988</v>
      </c>
      <c r="H25" s="528">
        <v>3720</v>
      </c>
      <c r="I25" s="520" t="s">
        <v>238</v>
      </c>
      <c r="J25" s="528">
        <v>50</v>
      </c>
    </row>
    <row r="26" spans="1:12" ht="15.75">
      <c r="A26" s="520" t="s">
        <v>185</v>
      </c>
      <c r="B26" s="520" t="s">
        <v>235</v>
      </c>
      <c r="C26" s="520" t="s">
        <v>236</v>
      </c>
      <c r="D26" s="525">
        <v>6</v>
      </c>
      <c r="E26" s="529"/>
      <c r="F26" s="526" t="s">
        <v>241</v>
      </c>
      <c r="G26" s="527">
        <v>1991</v>
      </c>
      <c r="H26" s="528">
        <v>3720</v>
      </c>
      <c r="I26" s="520" t="s">
        <v>238</v>
      </c>
      <c r="J26" s="528">
        <v>50</v>
      </c>
    </row>
    <row r="27" spans="1:12" ht="15.75">
      <c r="A27" s="520" t="s">
        <v>185</v>
      </c>
      <c r="B27" s="520" t="s">
        <v>235</v>
      </c>
      <c r="C27" s="520" t="s">
        <v>236</v>
      </c>
      <c r="D27" s="525">
        <v>7</v>
      </c>
      <c r="E27" s="529"/>
      <c r="F27" s="526">
        <v>13835906</v>
      </c>
      <c r="G27" s="527">
        <v>1996</v>
      </c>
      <c r="H27" s="528">
        <v>3720</v>
      </c>
      <c r="I27" s="520" t="s">
        <v>238</v>
      </c>
      <c r="J27" s="528">
        <v>50</v>
      </c>
    </row>
    <row r="28" spans="1:12" ht="15.75">
      <c r="A28" s="520" t="s">
        <v>185</v>
      </c>
      <c r="B28" s="520" t="s">
        <v>235</v>
      </c>
      <c r="C28" s="520" t="s">
        <v>236</v>
      </c>
      <c r="D28" s="525">
        <v>8</v>
      </c>
      <c r="E28" s="529"/>
      <c r="F28" s="526" t="s">
        <v>242</v>
      </c>
      <c r="G28" s="527">
        <v>1988</v>
      </c>
      <c r="H28" s="528">
        <v>3720</v>
      </c>
      <c r="I28" s="520" t="s">
        <v>238</v>
      </c>
      <c r="J28" s="528">
        <v>50</v>
      </c>
    </row>
    <row r="29" spans="1:12" ht="15.75">
      <c r="A29" s="520" t="s">
        <v>185</v>
      </c>
      <c r="B29" s="520" t="s">
        <v>235</v>
      </c>
      <c r="C29" s="520" t="s">
        <v>236</v>
      </c>
      <c r="D29" s="525">
        <v>9</v>
      </c>
      <c r="E29" s="529"/>
      <c r="F29" s="526" t="s">
        <v>243</v>
      </c>
      <c r="G29" s="527">
        <v>1998</v>
      </c>
      <c r="H29" s="528">
        <v>3720</v>
      </c>
      <c r="I29" s="520" t="s">
        <v>238</v>
      </c>
      <c r="J29" s="528">
        <v>50</v>
      </c>
    </row>
    <row r="30" spans="1:12" ht="15.75">
      <c r="A30" s="520" t="s">
        <v>185</v>
      </c>
      <c r="B30" s="520" t="s">
        <v>235</v>
      </c>
      <c r="C30" s="520" t="s">
        <v>236</v>
      </c>
      <c r="D30" s="525">
        <v>10</v>
      </c>
      <c r="E30" s="529"/>
      <c r="F30" s="526" t="s">
        <v>244</v>
      </c>
      <c r="G30" s="527">
        <v>1990</v>
      </c>
      <c r="H30" s="528">
        <v>3720</v>
      </c>
      <c r="I30" s="520" t="s">
        <v>238</v>
      </c>
      <c r="J30" s="528">
        <v>50</v>
      </c>
    </row>
    <row r="31" spans="1:12" ht="15.75">
      <c r="A31" s="520" t="s">
        <v>185</v>
      </c>
      <c r="B31" s="520" t="s">
        <v>235</v>
      </c>
      <c r="C31" s="520" t="s">
        <v>236</v>
      </c>
      <c r="D31" s="525">
        <v>11</v>
      </c>
      <c r="E31" s="529"/>
      <c r="F31" s="526" t="s">
        <v>245</v>
      </c>
      <c r="G31" s="527">
        <v>1992</v>
      </c>
      <c r="H31" s="528">
        <v>3720</v>
      </c>
      <c r="I31" s="520" t="s">
        <v>238</v>
      </c>
      <c r="J31" s="528">
        <v>50</v>
      </c>
    </row>
    <row r="32" spans="1:12" ht="15.75">
      <c r="A32" s="520" t="s">
        <v>185</v>
      </c>
      <c r="B32" s="520" t="s">
        <v>235</v>
      </c>
      <c r="C32" s="520" t="s">
        <v>236</v>
      </c>
      <c r="D32" s="525">
        <v>12</v>
      </c>
      <c r="E32" s="529"/>
      <c r="F32" s="526">
        <v>13813566</v>
      </c>
      <c r="G32" s="527">
        <v>1987</v>
      </c>
      <c r="H32" s="528">
        <v>3720</v>
      </c>
      <c r="I32" s="520" t="s">
        <v>238</v>
      </c>
      <c r="J32" s="528">
        <v>50</v>
      </c>
    </row>
    <row r="33" spans="1:10" ht="15.75">
      <c r="A33" s="520" t="s">
        <v>185</v>
      </c>
      <c r="B33" s="520" t="s">
        <v>235</v>
      </c>
      <c r="C33" s="520" t="s">
        <v>236</v>
      </c>
      <c r="D33" s="525">
        <v>13</v>
      </c>
      <c r="E33" s="529"/>
      <c r="F33" s="526" t="s">
        <v>246</v>
      </c>
      <c r="G33" s="527">
        <v>1993</v>
      </c>
      <c r="H33" s="528">
        <v>3720</v>
      </c>
      <c r="I33" s="520" t="s">
        <v>238</v>
      </c>
      <c r="J33" s="528">
        <v>50</v>
      </c>
    </row>
    <row r="34" spans="1:10" ht="15.75">
      <c r="A34" s="520" t="s">
        <v>185</v>
      </c>
      <c r="B34" s="520" t="s">
        <v>235</v>
      </c>
      <c r="C34" s="520" t="s">
        <v>236</v>
      </c>
      <c r="D34" s="525">
        <v>14</v>
      </c>
      <c r="E34" s="529"/>
      <c r="F34" s="526" t="s">
        <v>247</v>
      </c>
      <c r="G34" s="527">
        <v>1992</v>
      </c>
      <c r="H34" s="528">
        <v>3720</v>
      </c>
      <c r="I34" s="520" t="s">
        <v>238</v>
      </c>
      <c r="J34" s="528">
        <v>50</v>
      </c>
    </row>
    <row r="35" spans="1:10" ht="15.75">
      <c r="A35" s="520" t="s">
        <v>185</v>
      </c>
      <c r="B35" s="520" t="s">
        <v>235</v>
      </c>
      <c r="C35" s="520" t="s">
        <v>236</v>
      </c>
      <c r="D35" s="525">
        <v>15</v>
      </c>
      <c r="E35" s="529"/>
      <c r="F35" s="526" t="s">
        <v>248</v>
      </c>
      <c r="G35" s="527">
        <v>1996</v>
      </c>
      <c r="H35" s="528">
        <v>3720</v>
      </c>
      <c r="I35" s="520" t="s">
        <v>238</v>
      </c>
      <c r="J35" s="528">
        <v>50</v>
      </c>
    </row>
    <row r="36" spans="1:10" ht="15.75">
      <c r="A36" s="520" t="s">
        <v>185</v>
      </c>
      <c r="B36" s="520" t="s">
        <v>235</v>
      </c>
      <c r="C36" s="520" t="s">
        <v>236</v>
      </c>
      <c r="D36" s="525">
        <v>16</v>
      </c>
      <c r="E36" s="529"/>
      <c r="F36" s="526">
        <v>1613645200</v>
      </c>
      <c r="G36" s="527">
        <v>1996</v>
      </c>
      <c r="H36" s="528">
        <v>3720</v>
      </c>
      <c r="I36" s="520" t="s">
        <v>238</v>
      </c>
      <c r="J36" s="528">
        <v>50</v>
      </c>
    </row>
    <row r="37" spans="1:10" ht="15.75">
      <c r="A37" s="520" t="s">
        <v>185</v>
      </c>
      <c r="B37" s="520" t="s">
        <v>235</v>
      </c>
      <c r="C37" s="520" t="s">
        <v>236</v>
      </c>
      <c r="D37" s="525">
        <v>17</v>
      </c>
      <c r="E37" s="529"/>
      <c r="F37" s="526">
        <v>11952908353</v>
      </c>
      <c r="G37" s="527">
        <v>1995</v>
      </c>
      <c r="H37" s="528">
        <v>3720</v>
      </c>
      <c r="I37" s="520" t="s">
        <v>238</v>
      </c>
      <c r="J37" s="528">
        <v>50</v>
      </c>
    </row>
    <row r="38" spans="1:10" ht="15.75">
      <c r="A38" s="520" t="s">
        <v>185</v>
      </c>
      <c r="B38" s="520" t="s">
        <v>235</v>
      </c>
      <c r="C38" s="520" t="s">
        <v>236</v>
      </c>
      <c r="D38" s="525">
        <v>18</v>
      </c>
      <c r="E38" s="529"/>
      <c r="F38" s="526" t="s">
        <v>249</v>
      </c>
      <c r="G38" s="527">
        <v>1997</v>
      </c>
      <c r="H38" s="528">
        <v>3720</v>
      </c>
      <c r="I38" s="520" t="s">
        <v>238</v>
      </c>
      <c r="J38" s="528">
        <v>50</v>
      </c>
    </row>
    <row r="39" spans="1:10" ht="15.75">
      <c r="A39" s="520" t="s">
        <v>185</v>
      </c>
      <c r="B39" s="520" t="s">
        <v>235</v>
      </c>
      <c r="C39" s="520" t="s">
        <v>236</v>
      </c>
      <c r="D39" s="525">
        <v>19</v>
      </c>
      <c r="E39" s="529"/>
      <c r="F39" s="526" t="s">
        <v>250</v>
      </c>
      <c r="G39" s="527">
        <v>1983</v>
      </c>
      <c r="H39" s="528">
        <v>3720</v>
      </c>
      <c r="I39" s="520" t="s">
        <v>238</v>
      </c>
      <c r="J39" s="528">
        <v>50</v>
      </c>
    </row>
    <row r="40" spans="1:10" ht="15.75">
      <c r="A40" s="520" t="s">
        <v>185</v>
      </c>
      <c r="B40" s="520" t="s">
        <v>235</v>
      </c>
      <c r="C40" s="520" t="s">
        <v>236</v>
      </c>
      <c r="D40" s="525">
        <v>20</v>
      </c>
      <c r="E40" s="529"/>
      <c r="F40" s="526" t="s">
        <v>251</v>
      </c>
      <c r="G40" s="527">
        <v>1997</v>
      </c>
      <c r="H40" s="528">
        <v>3720</v>
      </c>
      <c r="I40" s="520" t="s">
        <v>238</v>
      </c>
      <c r="J40" s="528">
        <v>50</v>
      </c>
    </row>
    <row r="41" spans="1:10" ht="15.75">
      <c r="A41" s="520" t="s">
        <v>185</v>
      </c>
      <c r="B41" s="520" t="s">
        <v>235</v>
      </c>
      <c r="C41" s="520" t="s">
        <v>236</v>
      </c>
      <c r="D41" s="525">
        <v>21</v>
      </c>
      <c r="E41" s="529"/>
      <c r="F41" s="526" t="s">
        <v>252</v>
      </c>
      <c r="G41" s="527">
        <v>1999</v>
      </c>
      <c r="H41" s="528">
        <v>3720</v>
      </c>
      <c r="I41" s="520" t="s">
        <v>238</v>
      </c>
      <c r="J41" s="528">
        <v>50</v>
      </c>
    </row>
    <row r="42" spans="1:10" ht="15.75">
      <c r="A42" s="520" t="s">
        <v>185</v>
      </c>
      <c r="B42" s="520" t="s">
        <v>235</v>
      </c>
      <c r="C42" s="520" t="s">
        <v>236</v>
      </c>
      <c r="D42" s="525">
        <v>22</v>
      </c>
      <c r="E42" s="529"/>
      <c r="F42" s="526" t="s">
        <v>253</v>
      </c>
      <c r="G42" s="527">
        <v>1988</v>
      </c>
      <c r="H42" s="528">
        <v>3720</v>
      </c>
      <c r="I42" s="520" t="s">
        <v>238</v>
      </c>
      <c r="J42" s="528">
        <v>50</v>
      </c>
    </row>
    <row r="43" spans="1:10" ht="15.75">
      <c r="A43" s="520" t="s">
        <v>185</v>
      </c>
      <c r="B43" s="520" t="s">
        <v>235</v>
      </c>
      <c r="C43" s="520" t="s">
        <v>236</v>
      </c>
      <c r="D43" s="525">
        <v>23</v>
      </c>
      <c r="E43" s="529"/>
      <c r="F43" s="526">
        <v>49923586698</v>
      </c>
      <c r="G43" s="527">
        <v>1992</v>
      </c>
      <c r="H43" s="528">
        <v>3720</v>
      </c>
      <c r="I43" s="520" t="s">
        <v>238</v>
      </c>
      <c r="J43" s="528">
        <v>50</v>
      </c>
    </row>
    <row r="44" spans="1:10" ht="15.75">
      <c r="A44" s="520" t="s">
        <v>185</v>
      </c>
      <c r="B44" s="520" t="s">
        <v>235</v>
      </c>
      <c r="C44" s="520" t="s">
        <v>236</v>
      </c>
      <c r="D44" s="525">
        <v>24</v>
      </c>
      <c r="E44" s="529"/>
      <c r="F44" s="526" t="s">
        <v>254</v>
      </c>
      <c r="G44" s="527">
        <v>1995</v>
      </c>
      <c r="H44" s="528">
        <v>3720</v>
      </c>
      <c r="I44" s="520" t="s">
        <v>238</v>
      </c>
      <c r="J44" s="528">
        <v>50</v>
      </c>
    </row>
    <row r="45" spans="1:10" ht="15.75">
      <c r="A45" s="520" t="s">
        <v>185</v>
      </c>
      <c r="B45" s="520" t="s">
        <v>235</v>
      </c>
      <c r="C45" s="520" t="s">
        <v>236</v>
      </c>
      <c r="D45" s="525">
        <v>25</v>
      </c>
      <c r="E45" s="529"/>
      <c r="F45" s="526" t="s">
        <v>255</v>
      </c>
      <c r="G45" s="527">
        <v>1991</v>
      </c>
      <c r="H45" s="528">
        <v>3720</v>
      </c>
      <c r="I45" s="520" t="s">
        <v>238</v>
      </c>
      <c r="J45" s="528">
        <v>50</v>
      </c>
    </row>
    <row r="46" spans="1:10" ht="15.75">
      <c r="A46" s="520" t="s">
        <v>185</v>
      </c>
      <c r="B46" s="520" t="s">
        <v>235</v>
      </c>
      <c r="C46" s="520" t="s">
        <v>236</v>
      </c>
      <c r="D46" s="525">
        <v>26</v>
      </c>
      <c r="E46" s="529"/>
      <c r="F46" s="526">
        <v>44236</v>
      </c>
      <c r="G46" s="527">
        <v>1988</v>
      </c>
      <c r="H46" s="528">
        <v>3720</v>
      </c>
      <c r="I46" s="520" t="s">
        <v>238</v>
      </c>
      <c r="J46" s="528">
        <v>50</v>
      </c>
    </row>
    <row r="47" spans="1:10" ht="15.75">
      <c r="A47" s="520" t="s">
        <v>185</v>
      </c>
      <c r="B47" s="520" t="s">
        <v>235</v>
      </c>
      <c r="C47" s="520" t="s">
        <v>236</v>
      </c>
      <c r="D47" s="525">
        <v>27</v>
      </c>
      <c r="E47" s="529"/>
      <c r="F47" s="526" t="s">
        <v>256</v>
      </c>
      <c r="G47" s="527">
        <v>2002</v>
      </c>
      <c r="H47" s="528">
        <v>3720</v>
      </c>
      <c r="I47" s="520" t="s">
        <v>238</v>
      </c>
      <c r="J47" s="528">
        <v>50</v>
      </c>
    </row>
    <row r="48" spans="1:10" ht="15.75">
      <c r="A48" s="520" t="s">
        <v>185</v>
      </c>
      <c r="B48" s="520" t="s">
        <v>235</v>
      </c>
      <c r="C48" s="520" t="s">
        <v>236</v>
      </c>
      <c r="D48" s="525">
        <v>28</v>
      </c>
      <c r="E48" s="529"/>
      <c r="F48" s="526" t="s">
        <v>257</v>
      </c>
      <c r="G48" s="527">
        <v>1991</v>
      </c>
      <c r="H48" s="528">
        <v>3720</v>
      </c>
      <c r="I48" s="520" t="s">
        <v>238</v>
      </c>
      <c r="J48" s="528">
        <v>50</v>
      </c>
    </row>
    <row r="49" spans="1:10" ht="15.75">
      <c r="A49" s="520" t="s">
        <v>185</v>
      </c>
      <c r="B49" s="520" t="s">
        <v>235</v>
      </c>
      <c r="C49" s="520" t="s">
        <v>236</v>
      </c>
      <c r="D49" s="525">
        <v>29</v>
      </c>
      <c r="E49" s="529"/>
      <c r="F49" s="526" t="s">
        <v>258</v>
      </c>
      <c r="G49" s="527">
        <v>1999</v>
      </c>
      <c r="H49" s="528">
        <v>3720</v>
      </c>
      <c r="I49" s="520" t="s">
        <v>238</v>
      </c>
      <c r="J49" s="528">
        <v>50</v>
      </c>
    </row>
    <row r="50" spans="1:10" ht="15.75">
      <c r="A50" s="520" t="s">
        <v>185</v>
      </c>
      <c r="B50" s="520" t="s">
        <v>235</v>
      </c>
      <c r="C50" s="520" t="s">
        <v>236</v>
      </c>
      <c r="D50" s="525">
        <v>30</v>
      </c>
      <c r="E50" s="529"/>
      <c r="F50" s="526" t="s">
        <v>259</v>
      </c>
      <c r="G50" s="527">
        <v>1992</v>
      </c>
      <c r="H50" s="528">
        <v>3720</v>
      </c>
      <c r="I50" s="520" t="s">
        <v>238</v>
      </c>
      <c r="J50" s="528">
        <v>50</v>
      </c>
    </row>
    <row r="51" spans="1:10" ht="15.75">
      <c r="A51" s="520" t="s">
        <v>185</v>
      </c>
      <c r="B51" s="520" t="s">
        <v>235</v>
      </c>
      <c r="C51" s="520" t="s">
        <v>236</v>
      </c>
      <c r="D51" s="525">
        <v>31</v>
      </c>
      <c r="E51" s="529"/>
      <c r="F51" s="526" t="s">
        <v>260</v>
      </c>
      <c r="G51" s="527">
        <v>1985</v>
      </c>
      <c r="H51" s="528">
        <v>3720</v>
      </c>
      <c r="I51" s="520" t="s">
        <v>238</v>
      </c>
      <c r="J51" s="528">
        <v>50</v>
      </c>
    </row>
    <row r="52" spans="1:10" ht="15.75">
      <c r="A52" s="520" t="s">
        <v>185</v>
      </c>
      <c r="B52" s="520" t="s">
        <v>235</v>
      </c>
      <c r="C52" s="520" t="s">
        <v>236</v>
      </c>
      <c r="D52" s="525">
        <v>32</v>
      </c>
      <c r="E52" s="529"/>
      <c r="F52" s="526" t="s">
        <v>261</v>
      </c>
      <c r="G52" s="527">
        <v>1989</v>
      </c>
      <c r="H52" s="528">
        <v>3720</v>
      </c>
      <c r="I52" s="520" t="s">
        <v>238</v>
      </c>
      <c r="J52" s="528">
        <v>50</v>
      </c>
    </row>
    <row r="53" spans="1:10" ht="15.75">
      <c r="A53" s="520" t="s">
        <v>185</v>
      </c>
      <c r="B53" s="520" t="s">
        <v>235</v>
      </c>
      <c r="C53" s="520" t="s">
        <v>236</v>
      </c>
      <c r="D53" s="525">
        <v>33</v>
      </c>
      <c r="E53" s="529"/>
      <c r="F53" s="526" t="s">
        <v>262</v>
      </c>
      <c r="G53" s="527">
        <v>1996</v>
      </c>
      <c r="H53" s="528">
        <v>3720</v>
      </c>
      <c r="I53" s="520" t="s">
        <v>238</v>
      </c>
      <c r="J53" s="528">
        <v>50</v>
      </c>
    </row>
    <row r="54" spans="1:10" ht="15.75">
      <c r="A54" s="520" t="s">
        <v>185</v>
      </c>
      <c r="B54" s="520" t="s">
        <v>235</v>
      </c>
      <c r="C54" s="520" t="s">
        <v>236</v>
      </c>
      <c r="D54" s="525">
        <v>34</v>
      </c>
      <c r="E54" s="529"/>
      <c r="F54" s="526" t="s">
        <v>263</v>
      </c>
      <c r="G54" s="527">
        <v>1992</v>
      </c>
      <c r="H54" s="528">
        <v>3720</v>
      </c>
      <c r="I54" s="520" t="s">
        <v>238</v>
      </c>
      <c r="J54" s="528">
        <v>50</v>
      </c>
    </row>
    <row r="55" spans="1:10" ht="15.75">
      <c r="A55" s="520" t="s">
        <v>185</v>
      </c>
      <c r="B55" s="520" t="s">
        <v>235</v>
      </c>
      <c r="C55" s="520" t="s">
        <v>236</v>
      </c>
      <c r="D55" s="525">
        <v>35</v>
      </c>
      <c r="E55" s="529"/>
      <c r="F55" s="526" t="s">
        <v>264</v>
      </c>
      <c r="G55" s="527">
        <v>1989</v>
      </c>
      <c r="H55" s="528">
        <v>3720</v>
      </c>
      <c r="I55" s="520" t="s">
        <v>238</v>
      </c>
      <c r="J55" s="528">
        <v>50</v>
      </c>
    </row>
    <row r="56" spans="1:10" ht="15.75">
      <c r="A56" s="520" t="s">
        <v>185</v>
      </c>
      <c r="B56" s="520" t="s">
        <v>235</v>
      </c>
      <c r="C56" s="520" t="s">
        <v>236</v>
      </c>
      <c r="D56" s="525">
        <v>37</v>
      </c>
      <c r="E56" s="529"/>
      <c r="F56" s="526">
        <v>14801849</v>
      </c>
      <c r="G56" s="527">
        <v>1987</v>
      </c>
      <c r="H56" s="528">
        <v>3720</v>
      </c>
      <c r="I56" s="520" t="s">
        <v>238</v>
      </c>
      <c r="J56" s="528">
        <v>50</v>
      </c>
    </row>
    <row r="57" spans="1:10" ht="15.75">
      <c r="A57" s="520" t="s">
        <v>185</v>
      </c>
      <c r="B57" s="520" t="s">
        <v>235</v>
      </c>
      <c r="C57" s="520" t="s">
        <v>236</v>
      </c>
      <c r="D57" s="525">
        <v>38</v>
      </c>
      <c r="E57" s="529"/>
      <c r="F57" s="526" t="s">
        <v>265</v>
      </c>
      <c r="G57" s="527">
        <v>1999</v>
      </c>
      <c r="H57" s="528">
        <v>3720</v>
      </c>
      <c r="I57" s="520" t="s">
        <v>238</v>
      </c>
      <c r="J57" s="528">
        <v>50</v>
      </c>
    </row>
    <row r="58" spans="1:10" ht="15.75">
      <c r="A58" s="520" t="s">
        <v>185</v>
      </c>
      <c r="B58" s="520" t="s">
        <v>235</v>
      </c>
      <c r="C58" s="520" t="s">
        <v>236</v>
      </c>
      <c r="D58" s="525">
        <v>39</v>
      </c>
      <c r="E58" s="529"/>
      <c r="F58" s="526" t="s">
        <v>266</v>
      </c>
      <c r="G58" s="527">
        <v>1989</v>
      </c>
      <c r="H58" s="528">
        <v>3720</v>
      </c>
      <c r="I58" s="520" t="s">
        <v>238</v>
      </c>
      <c r="J58" s="528">
        <v>50</v>
      </c>
    </row>
    <row r="59" spans="1:10" ht="15.75">
      <c r="A59" s="520" t="s">
        <v>185</v>
      </c>
      <c r="B59" s="520" t="s">
        <v>235</v>
      </c>
      <c r="C59" s="520" t="s">
        <v>236</v>
      </c>
      <c r="D59" s="525">
        <v>40</v>
      </c>
      <c r="E59" s="529"/>
      <c r="F59" s="526">
        <v>13816171</v>
      </c>
      <c r="G59" s="527">
        <v>1988</v>
      </c>
      <c r="H59" s="528">
        <v>3720</v>
      </c>
      <c r="I59" s="520" t="s">
        <v>238</v>
      </c>
      <c r="J59" s="528">
        <v>50</v>
      </c>
    </row>
    <row r="60" spans="1:10" ht="15.75">
      <c r="A60" s="520" t="s">
        <v>185</v>
      </c>
      <c r="B60" s="520" t="s">
        <v>235</v>
      </c>
      <c r="C60" s="520" t="s">
        <v>236</v>
      </c>
      <c r="D60" s="525">
        <v>41</v>
      </c>
      <c r="E60" s="529"/>
      <c r="F60" s="526" t="s">
        <v>267</v>
      </c>
      <c r="G60" s="527">
        <v>1997</v>
      </c>
      <c r="H60" s="528">
        <v>3720</v>
      </c>
      <c r="I60" s="520" t="s">
        <v>238</v>
      </c>
      <c r="J60" s="528">
        <v>50</v>
      </c>
    </row>
    <row r="61" spans="1:10" ht="15.75">
      <c r="A61" s="520" t="s">
        <v>185</v>
      </c>
      <c r="B61" s="520" t="s">
        <v>235</v>
      </c>
      <c r="C61" s="520" t="s">
        <v>236</v>
      </c>
      <c r="D61" s="525">
        <v>42</v>
      </c>
      <c r="E61" s="529"/>
      <c r="F61" s="526" t="s">
        <v>268</v>
      </c>
      <c r="G61" s="527">
        <v>1988</v>
      </c>
      <c r="H61" s="528">
        <v>3720</v>
      </c>
      <c r="I61" s="520" t="s">
        <v>238</v>
      </c>
      <c r="J61" s="528">
        <v>50</v>
      </c>
    </row>
    <row r="62" spans="1:10" ht="15.75">
      <c r="A62" s="520" t="s">
        <v>185</v>
      </c>
      <c r="B62" s="520" t="s">
        <v>235</v>
      </c>
      <c r="C62" s="520" t="s">
        <v>236</v>
      </c>
      <c r="D62" s="525">
        <v>43</v>
      </c>
      <c r="E62" s="529"/>
      <c r="F62" s="526" t="s">
        <v>269</v>
      </c>
      <c r="G62" s="527">
        <v>1991</v>
      </c>
      <c r="H62" s="528">
        <v>3720</v>
      </c>
      <c r="I62" s="520" t="s">
        <v>238</v>
      </c>
      <c r="J62" s="528">
        <v>50</v>
      </c>
    </row>
    <row r="63" spans="1:10" ht="15.75">
      <c r="A63" s="520" t="s">
        <v>185</v>
      </c>
      <c r="B63" s="520" t="s">
        <v>235</v>
      </c>
      <c r="C63" s="520" t="s">
        <v>236</v>
      </c>
      <c r="D63" s="525">
        <v>44</v>
      </c>
      <c r="E63" s="529"/>
      <c r="F63" s="526" t="s">
        <v>270</v>
      </c>
      <c r="G63" s="527">
        <v>1988</v>
      </c>
      <c r="H63" s="528">
        <v>3720</v>
      </c>
      <c r="I63" s="520" t="s">
        <v>238</v>
      </c>
      <c r="J63" s="528">
        <v>50</v>
      </c>
    </row>
    <row r="64" spans="1:10" ht="15.75">
      <c r="A64" s="520" t="s">
        <v>185</v>
      </c>
      <c r="B64" s="520" t="s">
        <v>235</v>
      </c>
      <c r="C64" s="520" t="s">
        <v>236</v>
      </c>
      <c r="D64" s="525">
        <v>45</v>
      </c>
      <c r="E64" s="529"/>
      <c r="F64" s="526" t="s">
        <v>271</v>
      </c>
      <c r="G64" s="527">
        <v>1988</v>
      </c>
      <c r="H64" s="528">
        <v>3720</v>
      </c>
      <c r="I64" s="520" t="s">
        <v>238</v>
      </c>
      <c r="J64" s="528">
        <v>50</v>
      </c>
    </row>
    <row r="65" spans="1:10" ht="15.75">
      <c r="A65" s="520" t="s">
        <v>185</v>
      </c>
      <c r="B65" s="520" t="s">
        <v>235</v>
      </c>
      <c r="C65" s="520" t="s">
        <v>236</v>
      </c>
      <c r="D65" s="525">
        <v>46</v>
      </c>
      <c r="E65" s="529"/>
      <c r="F65" s="526" t="s">
        <v>272</v>
      </c>
      <c r="G65" s="527">
        <v>1992</v>
      </c>
      <c r="H65" s="528">
        <v>3720</v>
      </c>
      <c r="I65" s="520" t="s">
        <v>238</v>
      </c>
      <c r="J65" s="528">
        <v>50</v>
      </c>
    </row>
    <row r="66" spans="1:10" ht="15.75">
      <c r="A66" s="520" t="s">
        <v>185</v>
      </c>
      <c r="B66" s="520" t="s">
        <v>235</v>
      </c>
      <c r="C66" s="520" t="s">
        <v>236</v>
      </c>
      <c r="D66" s="525">
        <v>47</v>
      </c>
      <c r="E66" s="529"/>
      <c r="F66" s="526" t="s">
        <v>273</v>
      </c>
      <c r="G66" s="527">
        <v>1998</v>
      </c>
      <c r="H66" s="528">
        <v>3720</v>
      </c>
      <c r="I66" s="520" t="s">
        <v>238</v>
      </c>
      <c r="J66" s="528">
        <v>50</v>
      </c>
    </row>
    <row r="67" spans="1:10" ht="15.75">
      <c r="A67" s="520" t="s">
        <v>185</v>
      </c>
      <c r="B67" s="520" t="s">
        <v>235</v>
      </c>
      <c r="C67" s="520" t="s">
        <v>236</v>
      </c>
      <c r="D67" s="525">
        <v>48</v>
      </c>
      <c r="E67" s="529"/>
      <c r="F67" s="526" t="s">
        <v>274</v>
      </c>
      <c r="G67" s="527">
        <v>1995</v>
      </c>
      <c r="H67" s="528">
        <v>3720</v>
      </c>
      <c r="I67" s="520" t="s">
        <v>238</v>
      </c>
      <c r="J67" s="528">
        <v>50</v>
      </c>
    </row>
    <row r="68" spans="1:10" ht="15.75">
      <c r="A68" s="520" t="s">
        <v>185</v>
      </c>
      <c r="B68" s="520" t="s">
        <v>235</v>
      </c>
      <c r="C68" s="520" t="s">
        <v>236</v>
      </c>
      <c r="D68" s="525">
        <v>49</v>
      </c>
      <c r="E68" s="529"/>
      <c r="F68" s="526" t="s">
        <v>275</v>
      </c>
      <c r="G68" s="527">
        <v>1988</v>
      </c>
      <c r="H68" s="528">
        <v>3720</v>
      </c>
      <c r="I68" s="520" t="s">
        <v>238</v>
      </c>
      <c r="J68" s="528">
        <v>50</v>
      </c>
    </row>
    <row r="69" spans="1:10" ht="15.75">
      <c r="A69" s="520" t="s">
        <v>185</v>
      </c>
      <c r="B69" s="520" t="s">
        <v>235</v>
      </c>
      <c r="C69" s="520" t="s">
        <v>236</v>
      </c>
      <c r="D69" s="525">
        <v>50</v>
      </c>
      <c r="E69" s="529"/>
      <c r="F69" s="526" t="s">
        <v>276</v>
      </c>
      <c r="G69" s="527">
        <v>1999</v>
      </c>
      <c r="H69" s="528">
        <v>3720</v>
      </c>
      <c r="I69" s="520" t="s">
        <v>238</v>
      </c>
      <c r="J69" s="528">
        <v>50</v>
      </c>
    </row>
    <row r="70" spans="1:10" ht="15.75">
      <c r="A70" s="520" t="s">
        <v>185</v>
      </c>
      <c r="B70" s="520" t="s">
        <v>235</v>
      </c>
      <c r="C70" s="520" t="s">
        <v>236</v>
      </c>
      <c r="D70" s="525">
        <v>51</v>
      </c>
      <c r="E70" s="529"/>
      <c r="F70" s="526" t="s">
        <v>277</v>
      </c>
      <c r="G70" s="527">
        <v>1988</v>
      </c>
      <c r="H70" s="528">
        <v>3720</v>
      </c>
      <c r="I70" s="520" t="s">
        <v>238</v>
      </c>
      <c r="J70" s="528">
        <v>50</v>
      </c>
    </row>
    <row r="71" spans="1:10" ht="15.75">
      <c r="A71" s="520" t="s">
        <v>185</v>
      </c>
      <c r="B71" s="520" t="s">
        <v>235</v>
      </c>
      <c r="C71" s="520" t="s">
        <v>236</v>
      </c>
      <c r="D71" s="525">
        <v>52</v>
      </c>
      <c r="E71" s="529"/>
      <c r="F71" s="526" t="s">
        <v>278</v>
      </c>
      <c r="G71" s="527">
        <v>1992</v>
      </c>
      <c r="H71" s="528">
        <v>3720</v>
      </c>
      <c r="I71" s="520" t="s">
        <v>238</v>
      </c>
      <c r="J71" s="528">
        <v>50</v>
      </c>
    </row>
    <row r="72" spans="1:10" ht="15.75">
      <c r="A72" s="520" t="s">
        <v>185</v>
      </c>
      <c r="B72" s="520" t="s">
        <v>235</v>
      </c>
      <c r="C72" s="520" t="s">
        <v>236</v>
      </c>
      <c r="D72" s="525">
        <v>53</v>
      </c>
      <c r="E72" s="529"/>
      <c r="F72" s="526" t="s">
        <v>279</v>
      </c>
      <c r="G72" s="527">
        <v>1998</v>
      </c>
      <c r="H72" s="528">
        <v>3720</v>
      </c>
      <c r="I72" s="520" t="s">
        <v>238</v>
      </c>
      <c r="J72" s="528">
        <v>50</v>
      </c>
    </row>
    <row r="73" spans="1:10" ht="15.75">
      <c r="A73" s="520" t="s">
        <v>185</v>
      </c>
      <c r="B73" s="520" t="s">
        <v>235</v>
      </c>
      <c r="C73" s="520" t="s">
        <v>236</v>
      </c>
      <c r="D73" s="525">
        <v>54</v>
      </c>
      <c r="E73" s="529"/>
      <c r="F73" s="526" t="s">
        <v>280</v>
      </c>
      <c r="G73" s="527">
        <v>1987</v>
      </c>
      <c r="H73" s="528">
        <v>3720</v>
      </c>
      <c r="I73" s="520" t="s">
        <v>238</v>
      </c>
      <c r="J73" s="528">
        <v>50</v>
      </c>
    </row>
    <row r="74" spans="1:10" ht="15.75">
      <c r="A74" s="520" t="s">
        <v>185</v>
      </c>
      <c r="B74" s="520" t="s">
        <v>235</v>
      </c>
      <c r="C74" s="520" t="s">
        <v>236</v>
      </c>
      <c r="D74" s="525">
        <v>55</v>
      </c>
      <c r="E74" s="529"/>
      <c r="F74" s="526">
        <v>3952</v>
      </c>
      <c r="G74" s="527">
        <v>1989</v>
      </c>
      <c r="H74" s="528">
        <v>3720</v>
      </c>
      <c r="I74" s="520" t="s">
        <v>238</v>
      </c>
      <c r="J74" s="528">
        <v>50</v>
      </c>
    </row>
    <row r="75" spans="1:10" ht="15.75">
      <c r="A75" s="520" t="s">
        <v>185</v>
      </c>
      <c r="B75" s="520" t="s">
        <v>235</v>
      </c>
      <c r="C75" s="520" t="s">
        <v>236</v>
      </c>
      <c r="D75" s="525">
        <v>56</v>
      </c>
      <c r="E75" s="529"/>
      <c r="F75" s="526" t="s">
        <v>281</v>
      </c>
      <c r="G75" s="527">
        <v>1989</v>
      </c>
      <c r="H75" s="528">
        <v>3720</v>
      </c>
      <c r="I75" s="520" t="s">
        <v>238</v>
      </c>
      <c r="J75" s="528">
        <v>50</v>
      </c>
    </row>
    <row r="76" spans="1:10" ht="15.75">
      <c r="A76" s="520" t="s">
        <v>185</v>
      </c>
      <c r="B76" s="520" t="s">
        <v>235</v>
      </c>
      <c r="C76" s="520" t="s">
        <v>236</v>
      </c>
      <c r="D76" s="525">
        <v>57</v>
      </c>
      <c r="E76" s="529"/>
      <c r="F76" s="526" t="s">
        <v>282</v>
      </c>
      <c r="G76" s="527">
        <v>1999</v>
      </c>
      <c r="H76" s="528">
        <v>3720</v>
      </c>
      <c r="I76" s="520" t="s">
        <v>238</v>
      </c>
      <c r="J76" s="528">
        <v>50</v>
      </c>
    </row>
    <row r="77" spans="1:10" ht="15.75">
      <c r="A77" s="520" t="s">
        <v>185</v>
      </c>
      <c r="B77" s="520" t="s">
        <v>235</v>
      </c>
      <c r="C77" s="520" t="s">
        <v>236</v>
      </c>
      <c r="D77" s="525">
        <v>58</v>
      </c>
      <c r="E77" s="529"/>
      <c r="F77" s="526" t="s">
        <v>283</v>
      </c>
      <c r="G77" s="527">
        <v>1998</v>
      </c>
      <c r="H77" s="528">
        <v>3720</v>
      </c>
      <c r="I77" s="520" t="s">
        <v>238</v>
      </c>
      <c r="J77" s="528">
        <v>50</v>
      </c>
    </row>
    <row r="78" spans="1:10" ht="15.75">
      <c r="A78" s="520" t="s">
        <v>185</v>
      </c>
      <c r="B78" s="520" t="s">
        <v>235</v>
      </c>
      <c r="C78" s="520" t="s">
        <v>236</v>
      </c>
      <c r="D78" s="525">
        <v>59</v>
      </c>
      <c r="E78" s="529"/>
      <c r="F78" s="526" t="s">
        <v>284</v>
      </c>
      <c r="G78" s="527">
        <v>1996</v>
      </c>
      <c r="H78" s="528">
        <v>3720</v>
      </c>
      <c r="I78" s="520" t="s">
        <v>238</v>
      </c>
      <c r="J78" s="528">
        <v>50</v>
      </c>
    </row>
    <row r="79" spans="1:10" ht="15.75">
      <c r="A79" s="520" t="s">
        <v>185</v>
      </c>
      <c r="B79" s="520" t="s">
        <v>235</v>
      </c>
      <c r="C79" s="520" t="s">
        <v>236</v>
      </c>
      <c r="D79" s="525">
        <v>60</v>
      </c>
      <c r="E79" s="529"/>
      <c r="F79" s="526" t="s">
        <v>285</v>
      </c>
      <c r="G79" s="527">
        <v>1992</v>
      </c>
      <c r="H79" s="528">
        <v>3720</v>
      </c>
      <c r="I79" s="520" t="s">
        <v>238</v>
      </c>
      <c r="J79" s="528">
        <v>50</v>
      </c>
    </row>
    <row r="80" spans="1:10" ht="15.75">
      <c r="A80" s="520" t="s">
        <v>185</v>
      </c>
      <c r="B80" s="520" t="s">
        <v>235</v>
      </c>
      <c r="C80" s="520" t="s">
        <v>236</v>
      </c>
      <c r="D80" s="525">
        <v>61</v>
      </c>
      <c r="E80" s="529"/>
      <c r="F80" s="526" t="s">
        <v>286</v>
      </c>
      <c r="G80" s="527">
        <v>1989</v>
      </c>
      <c r="H80" s="528">
        <v>3720</v>
      </c>
      <c r="I80" s="520" t="s">
        <v>238</v>
      </c>
      <c r="J80" s="528">
        <v>50</v>
      </c>
    </row>
    <row r="81" spans="1:10" ht="15.75">
      <c r="A81" s="520" t="s">
        <v>185</v>
      </c>
      <c r="B81" s="520" t="s">
        <v>235</v>
      </c>
      <c r="C81" s="520" t="s">
        <v>236</v>
      </c>
      <c r="D81" s="525">
        <v>62</v>
      </c>
      <c r="E81" s="529"/>
      <c r="F81" s="526" t="s">
        <v>287</v>
      </c>
      <c r="G81" s="527">
        <v>1993</v>
      </c>
      <c r="H81" s="528">
        <v>3720</v>
      </c>
      <c r="I81" s="520" t="s">
        <v>238</v>
      </c>
      <c r="J81" s="528">
        <v>50</v>
      </c>
    </row>
    <row r="82" spans="1:10" ht="15.75">
      <c r="A82" s="520" t="s">
        <v>185</v>
      </c>
      <c r="B82" s="520" t="s">
        <v>235</v>
      </c>
      <c r="C82" s="520" t="s">
        <v>236</v>
      </c>
      <c r="D82" s="525">
        <v>64</v>
      </c>
      <c r="E82" s="529"/>
      <c r="F82" s="526" t="s">
        <v>288</v>
      </c>
      <c r="G82" s="527">
        <v>1991</v>
      </c>
      <c r="H82" s="528">
        <v>3720</v>
      </c>
      <c r="I82" s="520" t="s">
        <v>238</v>
      </c>
      <c r="J82" s="528">
        <v>50</v>
      </c>
    </row>
    <row r="83" spans="1:10" ht="15.75">
      <c r="A83" s="520" t="s">
        <v>185</v>
      </c>
      <c r="B83" s="520" t="s">
        <v>235</v>
      </c>
      <c r="C83" s="520" t="s">
        <v>236</v>
      </c>
      <c r="D83" s="525">
        <v>71</v>
      </c>
      <c r="E83" s="529"/>
      <c r="F83" s="526">
        <v>499915903505</v>
      </c>
      <c r="G83" s="527">
        <v>1999</v>
      </c>
      <c r="H83" s="528">
        <v>3720</v>
      </c>
      <c r="I83" s="520" t="s">
        <v>238</v>
      </c>
      <c r="J83" s="528">
        <v>50</v>
      </c>
    </row>
    <row r="84" spans="1:10" ht="15.75">
      <c r="A84" s="520" t="s">
        <v>185</v>
      </c>
      <c r="B84" s="520" t="s">
        <v>235</v>
      </c>
      <c r="C84" s="520" t="s">
        <v>236</v>
      </c>
      <c r="D84" s="525">
        <v>73</v>
      </c>
      <c r="E84" s="529"/>
      <c r="F84" s="526" t="s">
        <v>289</v>
      </c>
      <c r="G84" s="527">
        <v>1988</v>
      </c>
      <c r="H84" s="528">
        <v>3720</v>
      </c>
      <c r="I84" s="520" t="s">
        <v>238</v>
      </c>
      <c r="J84" s="528">
        <v>50</v>
      </c>
    </row>
    <row r="85" spans="1:10" ht="15.75">
      <c r="A85" s="520" t="s">
        <v>185</v>
      </c>
      <c r="B85" s="520" t="s">
        <v>235</v>
      </c>
      <c r="C85" s="520" t="s">
        <v>236</v>
      </c>
      <c r="D85" s="525">
        <v>74</v>
      </c>
      <c r="E85" s="529"/>
      <c r="F85" s="526">
        <v>13821850</v>
      </c>
      <c r="G85" s="527">
        <v>1991</v>
      </c>
      <c r="H85" s="528">
        <v>3720</v>
      </c>
      <c r="I85" s="520" t="s">
        <v>238</v>
      </c>
      <c r="J85" s="528">
        <v>50</v>
      </c>
    </row>
    <row r="86" spans="1:10" ht="15.75">
      <c r="A86" s="520" t="s">
        <v>185</v>
      </c>
      <c r="B86" s="520" t="s">
        <v>235</v>
      </c>
      <c r="C86" s="520" t="s">
        <v>236</v>
      </c>
      <c r="D86" s="525">
        <v>75</v>
      </c>
      <c r="E86" s="529"/>
      <c r="F86" s="526" t="s">
        <v>290</v>
      </c>
      <c r="G86" s="527">
        <v>1991</v>
      </c>
      <c r="H86" s="528">
        <v>3720</v>
      </c>
      <c r="I86" s="520" t="s">
        <v>238</v>
      </c>
      <c r="J86" s="528">
        <v>50</v>
      </c>
    </row>
    <row r="87" spans="1:10" ht="15.75">
      <c r="A87" s="520" t="s">
        <v>185</v>
      </c>
      <c r="B87" s="520" t="s">
        <v>235</v>
      </c>
      <c r="C87" s="520" t="s">
        <v>236</v>
      </c>
      <c r="D87" s="525">
        <v>76</v>
      </c>
      <c r="E87" s="529"/>
      <c r="F87" s="526">
        <v>13819989</v>
      </c>
      <c r="G87" s="527">
        <v>1990</v>
      </c>
      <c r="H87" s="528">
        <v>3720</v>
      </c>
      <c r="I87" s="520" t="s">
        <v>238</v>
      </c>
      <c r="J87" s="528">
        <v>50</v>
      </c>
    </row>
    <row r="88" spans="1:10" ht="15.75">
      <c r="A88" s="520" t="s">
        <v>185</v>
      </c>
      <c r="B88" s="520" t="s">
        <v>235</v>
      </c>
      <c r="C88" s="520" t="s">
        <v>236</v>
      </c>
      <c r="D88" s="525">
        <v>77</v>
      </c>
      <c r="E88" s="529"/>
      <c r="F88" s="526" t="s">
        <v>291</v>
      </c>
      <c r="G88" s="527">
        <v>1987</v>
      </c>
      <c r="H88" s="528">
        <v>3720</v>
      </c>
      <c r="I88" s="520" t="s">
        <v>238</v>
      </c>
      <c r="J88" s="528">
        <v>50</v>
      </c>
    </row>
    <row r="89" spans="1:10" ht="15.75">
      <c r="A89" s="520" t="s">
        <v>185</v>
      </c>
      <c r="B89" s="520" t="s">
        <v>235</v>
      </c>
      <c r="C89" s="520" t="s">
        <v>236</v>
      </c>
      <c r="D89" s="525">
        <v>78</v>
      </c>
      <c r="E89" s="529"/>
      <c r="F89" s="526" t="s">
        <v>292</v>
      </c>
      <c r="G89" s="527">
        <v>1990</v>
      </c>
      <c r="H89" s="528">
        <v>3720</v>
      </c>
      <c r="I89" s="520" t="s">
        <v>238</v>
      </c>
      <c r="J89" s="528">
        <v>50</v>
      </c>
    </row>
    <row r="90" spans="1:10" ht="15.75">
      <c r="A90" s="520" t="s">
        <v>185</v>
      </c>
      <c r="B90" s="520" t="s">
        <v>235</v>
      </c>
      <c r="C90" s="520" t="s">
        <v>236</v>
      </c>
      <c r="D90" s="525">
        <v>79</v>
      </c>
      <c r="E90" s="529"/>
      <c r="F90" s="526" t="s">
        <v>293</v>
      </c>
      <c r="G90" s="527">
        <v>1992</v>
      </c>
      <c r="H90" s="528">
        <v>3720</v>
      </c>
      <c r="I90" s="520" t="s">
        <v>238</v>
      </c>
      <c r="J90" s="528">
        <v>50</v>
      </c>
    </row>
    <row r="91" spans="1:10" ht="15.75">
      <c r="A91" s="520" t="s">
        <v>185</v>
      </c>
      <c r="B91" s="520" t="s">
        <v>235</v>
      </c>
      <c r="C91" s="520" t="s">
        <v>236</v>
      </c>
      <c r="D91" s="525">
        <v>80</v>
      </c>
      <c r="E91" s="529"/>
      <c r="F91" s="526" t="s">
        <v>294</v>
      </c>
      <c r="G91" s="527">
        <v>1996</v>
      </c>
      <c r="H91" s="528">
        <v>3720</v>
      </c>
      <c r="I91" s="520" t="s">
        <v>238</v>
      </c>
      <c r="J91" s="528">
        <v>50</v>
      </c>
    </row>
    <row r="92" spans="1:10" ht="15.75">
      <c r="A92" s="520" t="s">
        <v>185</v>
      </c>
      <c r="B92" s="520" t="s">
        <v>235</v>
      </c>
      <c r="C92" s="520" t="s">
        <v>236</v>
      </c>
      <c r="D92" s="525">
        <v>81</v>
      </c>
      <c r="E92" s="529"/>
      <c r="F92" s="526" t="s">
        <v>295</v>
      </c>
      <c r="G92" s="527">
        <v>1995</v>
      </c>
      <c r="H92" s="528">
        <v>3720</v>
      </c>
      <c r="I92" s="520" t="s">
        <v>238</v>
      </c>
      <c r="J92" s="528">
        <v>50</v>
      </c>
    </row>
    <row r="93" spans="1:10" ht="15.75">
      <c r="A93" s="520" t="s">
        <v>185</v>
      </c>
      <c r="B93" s="520" t="s">
        <v>235</v>
      </c>
      <c r="C93" s="520" t="s">
        <v>236</v>
      </c>
      <c r="D93" s="525">
        <v>82</v>
      </c>
      <c r="E93" s="529"/>
      <c r="F93" s="526" t="s">
        <v>296</v>
      </c>
      <c r="G93" s="527">
        <v>1994</v>
      </c>
      <c r="H93" s="528">
        <v>3720</v>
      </c>
      <c r="I93" s="520" t="s">
        <v>238</v>
      </c>
      <c r="J93" s="528">
        <v>50</v>
      </c>
    </row>
    <row r="94" spans="1:10" ht="15.75">
      <c r="A94" s="520" t="s">
        <v>185</v>
      </c>
      <c r="B94" s="520" t="s">
        <v>235</v>
      </c>
      <c r="C94" s="520" t="s">
        <v>236</v>
      </c>
      <c r="D94" s="525">
        <v>83</v>
      </c>
      <c r="E94" s="529"/>
      <c r="F94" s="526" t="s">
        <v>297</v>
      </c>
      <c r="G94" s="527">
        <v>1995</v>
      </c>
      <c r="H94" s="528">
        <v>3720</v>
      </c>
      <c r="I94" s="520" t="s">
        <v>238</v>
      </c>
      <c r="J94" s="528">
        <v>50</v>
      </c>
    </row>
    <row r="95" spans="1:10" ht="15.75">
      <c r="A95" s="520" t="s">
        <v>185</v>
      </c>
      <c r="B95" s="520" t="s">
        <v>235</v>
      </c>
      <c r="C95" s="520" t="s">
        <v>236</v>
      </c>
      <c r="D95" s="525">
        <v>84</v>
      </c>
      <c r="E95" s="529"/>
      <c r="F95" s="526" t="s">
        <v>298</v>
      </c>
      <c r="G95" s="527">
        <v>1990</v>
      </c>
      <c r="H95" s="528">
        <v>3720</v>
      </c>
      <c r="I95" s="520" t="s">
        <v>238</v>
      </c>
      <c r="J95" s="528">
        <v>50</v>
      </c>
    </row>
    <row r="96" spans="1:10" ht="15.75">
      <c r="A96" s="520" t="s">
        <v>185</v>
      </c>
      <c r="B96" s="520" t="s">
        <v>235</v>
      </c>
      <c r="C96" s="520" t="s">
        <v>236</v>
      </c>
      <c r="D96" s="525">
        <v>85</v>
      </c>
      <c r="E96" s="529"/>
      <c r="F96" s="526" t="s">
        <v>299</v>
      </c>
      <c r="G96" s="527">
        <v>1994</v>
      </c>
      <c r="H96" s="528">
        <v>3720</v>
      </c>
      <c r="I96" s="520" t="s">
        <v>238</v>
      </c>
      <c r="J96" s="528">
        <v>50</v>
      </c>
    </row>
    <row r="97" spans="1:10" ht="15.75">
      <c r="A97" s="520" t="s">
        <v>185</v>
      </c>
      <c r="B97" s="520" t="s">
        <v>235</v>
      </c>
      <c r="C97" s="520" t="s">
        <v>236</v>
      </c>
      <c r="D97" s="525">
        <v>87</v>
      </c>
      <c r="E97" s="529"/>
      <c r="F97" s="526">
        <v>11422168</v>
      </c>
      <c r="G97" s="527">
        <v>1990</v>
      </c>
      <c r="H97" s="528">
        <v>3720</v>
      </c>
      <c r="I97" s="520" t="s">
        <v>238</v>
      </c>
      <c r="J97" s="528">
        <v>50</v>
      </c>
    </row>
    <row r="98" spans="1:10" ht="15.75">
      <c r="A98" s="520" t="s">
        <v>185</v>
      </c>
      <c r="B98" s="520" t="s">
        <v>235</v>
      </c>
      <c r="C98" s="520" t="s">
        <v>236</v>
      </c>
      <c r="D98" s="525">
        <v>88</v>
      </c>
      <c r="E98" s="529"/>
      <c r="F98" s="526" t="s">
        <v>300</v>
      </c>
      <c r="G98" s="527">
        <v>1990</v>
      </c>
      <c r="H98" s="528">
        <v>3720</v>
      </c>
      <c r="I98" s="520" t="s">
        <v>238</v>
      </c>
      <c r="J98" s="528">
        <v>50</v>
      </c>
    </row>
    <row r="99" spans="1:10" ht="15.75">
      <c r="A99" s="520" t="s">
        <v>185</v>
      </c>
      <c r="B99" s="520" t="s">
        <v>235</v>
      </c>
      <c r="C99" s="520" t="s">
        <v>236</v>
      </c>
      <c r="D99" s="525">
        <v>89</v>
      </c>
      <c r="E99" s="529"/>
      <c r="F99" s="526" t="s">
        <v>301</v>
      </c>
      <c r="G99" s="527">
        <v>1992</v>
      </c>
      <c r="H99" s="528">
        <v>3720</v>
      </c>
      <c r="I99" s="520" t="s">
        <v>238</v>
      </c>
      <c r="J99" s="528">
        <v>50</v>
      </c>
    </row>
    <row r="100" spans="1:10" ht="15.75">
      <c r="A100" s="520" t="s">
        <v>185</v>
      </c>
      <c r="B100" s="520" t="s">
        <v>235</v>
      </c>
      <c r="C100" s="520" t="s">
        <v>236</v>
      </c>
      <c r="D100" s="525">
        <v>90</v>
      </c>
      <c r="E100" s="529"/>
      <c r="F100" s="526" t="s">
        <v>302</v>
      </c>
      <c r="G100" s="527">
        <v>1999</v>
      </c>
      <c r="H100" s="528">
        <v>3720</v>
      </c>
      <c r="I100" s="520" t="s">
        <v>238</v>
      </c>
      <c r="J100" s="528">
        <v>50</v>
      </c>
    </row>
    <row r="101" spans="1:10" ht="15.75">
      <c r="A101" s="520" t="s">
        <v>185</v>
      </c>
      <c r="B101" s="520" t="s">
        <v>235</v>
      </c>
      <c r="C101" s="520" t="s">
        <v>236</v>
      </c>
      <c r="D101" s="525">
        <v>91</v>
      </c>
      <c r="E101" s="529"/>
      <c r="F101" s="526" t="s">
        <v>303</v>
      </c>
      <c r="G101" s="527">
        <v>1997</v>
      </c>
      <c r="H101" s="528">
        <v>3720</v>
      </c>
      <c r="I101" s="520" t="s">
        <v>238</v>
      </c>
      <c r="J101" s="528">
        <v>50</v>
      </c>
    </row>
    <row r="102" spans="1:10" ht="15.75">
      <c r="A102" s="520" t="s">
        <v>185</v>
      </c>
      <c r="B102" s="520" t="s">
        <v>235</v>
      </c>
      <c r="C102" s="520" t="s">
        <v>236</v>
      </c>
      <c r="D102" s="525">
        <v>92</v>
      </c>
      <c r="E102" s="529"/>
      <c r="F102" s="526">
        <v>11423967</v>
      </c>
      <c r="G102" s="527">
        <v>1992</v>
      </c>
      <c r="H102" s="528">
        <v>3720</v>
      </c>
      <c r="I102" s="520" t="s">
        <v>238</v>
      </c>
      <c r="J102" s="528">
        <v>50</v>
      </c>
    </row>
    <row r="103" spans="1:10" ht="15.75">
      <c r="A103" s="520" t="s">
        <v>185</v>
      </c>
      <c r="B103" s="520" t="s">
        <v>235</v>
      </c>
      <c r="C103" s="520" t="s">
        <v>236</v>
      </c>
      <c r="D103" s="525">
        <v>93</v>
      </c>
      <c r="E103" s="529"/>
      <c r="F103" s="526" t="s">
        <v>304</v>
      </c>
      <c r="G103" s="527">
        <v>1996</v>
      </c>
      <c r="H103" s="528">
        <v>3720</v>
      </c>
      <c r="I103" s="520" t="s">
        <v>238</v>
      </c>
      <c r="J103" s="528">
        <v>50</v>
      </c>
    </row>
    <row r="104" spans="1:10" ht="15.75">
      <c r="A104" s="520" t="s">
        <v>185</v>
      </c>
      <c r="B104" s="520" t="s">
        <v>235</v>
      </c>
      <c r="C104" s="520" t="s">
        <v>236</v>
      </c>
      <c r="D104" s="525">
        <v>94</v>
      </c>
      <c r="E104" s="529"/>
      <c r="F104" s="526" t="s">
        <v>305</v>
      </c>
      <c r="G104" s="527">
        <v>1996</v>
      </c>
      <c r="H104" s="528">
        <v>3720</v>
      </c>
      <c r="I104" s="520" t="s">
        <v>238</v>
      </c>
      <c r="J104" s="528">
        <v>50</v>
      </c>
    </row>
    <row r="105" spans="1:10" ht="15.75">
      <c r="A105" s="520" t="s">
        <v>185</v>
      </c>
      <c r="B105" s="520" t="s">
        <v>235</v>
      </c>
      <c r="C105" s="520" t="s">
        <v>236</v>
      </c>
      <c r="D105" s="525">
        <v>95</v>
      </c>
      <c r="E105" s="529"/>
      <c r="F105" s="526" t="s">
        <v>306</v>
      </c>
      <c r="G105" s="527">
        <v>1991</v>
      </c>
      <c r="H105" s="528">
        <v>3720</v>
      </c>
      <c r="I105" s="520" t="s">
        <v>238</v>
      </c>
      <c r="J105" s="528">
        <v>50</v>
      </c>
    </row>
    <row r="106" spans="1:10" ht="15.75">
      <c r="A106" s="520" t="s">
        <v>185</v>
      </c>
      <c r="B106" s="520" t="s">
        <v>235</v>
      </c>
      <c r="C106" s="520" t="s">
        <v>236</v>
      </c>
      <c r="D106" s="525">
        <v>96</v>
      </c>
      <c r="E106" s="529"/>
      <c r="F106" s="526">
        <v>8108</v>
      </c>
      <c r="G106" s="527">
        <v>1994</v>
      </c>
      <c r="H106" s="528">
        <v>3720</v>
      </c>
      <c r="I106" s="520" t="s">
        <v>238</v>
      </c>
      <c r="J106" s="528">
        <v>50</v>
      </c>
    </row>
    <row r="107" spans="1:10" ht="15.75">
      <c r="A107" s="520" t="s">
        <v>185</v>
      </c>
      <c r="B107" s="520" t="s">
        <v>235</v>
      </c>
      <c r="C107" s="520" t="s">
        <v>236</v>
      </c>
      <c r="D107" s="525">
        <v>97</v>
      </c>
      <c r="E107" s="529"/>
      <c r="F107" s="526" t="s">
        <v>307</v>
      </c>
      <c r="G107" s="527">
        <v>1993</v>
      </c>
      <c r="H107" s="528">
        <v>3720</v>
      </c>
      <c r="I107" s="520" t="s">
        <v>238</v>
      </c>
      <c r="J107" s="528">
        <v>50</v>
      </c>
    </row>
    <row r="108" spans="1:10" ht="15.75">
      <c r="A108" s="520" t="s">
        <v>185</v>
      </c>
      <c r="B108" s="520" t="s">
        <v>235</v>
      </c>
      <c r="C108" s="520" t="s">
        <v>236</v>
      </c>
      <c r="D108" s="525">
        <v>98</v>
      </c>
      <c r="E108" s="529"/>
      <c r="F108" s="526" t="s">
        <v>308</v>
      </c>
      <c r="G108" s="527">
        <v>1997</v>
      </c>
      <c r="H108" s="528">
        <v>3720</v>
      </c>
      <c r="I108" s="520" t="s">
        <v>238</v>
      </c>
      <c r="J108" s="528">
        <v>50</v>
      </c>
    </row>
    <row r="109" spans="1:10" ht="15.75">
      <c r="A109" s="520" t="s">
        <v>185</v>
      </c>
      <c r="B109" s="520" t="s">
        <v>235</v>
      </c>
      <c r="C109" s="520" t="s">
        <v>236</v>
      </c>
      <c r="D109" s="525">
        <v>99</v>
      </c>
      <c r="E109" s="529"/>
      <c r="F109" s="526" t="s">
        <v>309</v>
      </c>
      <c r="G109" s="527">
        <v>1990</v>
      </c>
      <c r="H109" s="528">
        <v>3720</v>
      </c>
      <c r="I109" s="520" t="s">
        <v>238</v>
      </c>
      <c r="J109" s="528">
        <v>50</v>
      </c>
    </row>
    <row r="110" spans="1:10" ht="15.75">
      <c r="A110" s="520" t="s">
        <v>185</v>
      </c>
      <c r="B110" s="520" t="s">
        <v>235</v>
      </c>
      <c r="C110" s="520" t="s">
        <v>236</v>
      </c>
      <c r="D110" s="525">
        <v>100</v>
      </c>
      <c r="E110" s="529"/>
      <c r="F110" s="526" t="s">
        <v>310</v>
      </c>
      <c r="G110" s="527">
        <v>1993</v>
      </c>
      <c r="H110" s="528">
        <v>3720</v>
      </c>
      <c r="I110" s="520" t="s">
        <v>238</v>
      </c>
      <c r="J110" s="528">
        <v>50</v>
      </c>
    </row>
    <row r="111" spans="1:10" ht="15.75">
      <c r="A111" s="520" t="s">
        <v>185</v>
      </c>
      <c r="B111" s="520" t="s">
        <v>235</v>
      </c>
      <c r="C111" s="520" t="s">
        <v>236</v>
      </c>
      <c r="D111" s="525">
        <v>101</v>
      </c>
      <c r="E111" s="529"/>
      <c r="F111" s="526" t="s">
        <v>311</v>
      </c>
      <c r="G111" s="527">
        <v>2000</v>
      </c>
      <c r="H111" s="528">
        <v>3720</v>
      </c>
      <c r="I111" s="520" t="s">
        <v>238</v>
      </c>
      <c r="J111" s="528">
        <v>50</v>
      </c>
    </row>
    <row r="112" spans="1:10" ht="15.75">
      <c r="A112" s="520" t="s">
        <v>185</v>
      </c>
      <c r="B112" s="520" t="s">
        <v>235</v>
      </c>
      <c r="C112" s="520" t="s">
        <v>236</v>
      </c>
      <c r="D112" s="525">
        <v>102</v>
      </c>
      <c r="E112" s="529"/>
      <c r="F112" s="526" t="s">
        <v>312</v>
      </c>
      <c r="G112" s="527">
        <v>1997</v>
      </c>
      <c r="H112" s="528">
        <v>3720</v>
      </c>
      <c r="I112" s="520" t="s">
        <v>238</v>
      </c>
      <c r="J112" s="528">
        <v>50</v>
      </c>
    </row>
    <row r="113" spans="1:10" ht="15.75">
      <c r="A113" s="520" t="s">
        <v>185</v>
      </c>
      <c r="B113" s="520" t="s">
        <v>235</v>
      </c>
      <c r="C113" s="520" t="s">
        <v>236</v>
      </c>
      <c r="D113" s="525">
        <v>103</v>
      </c>
      <c r="E113" s="529"/>
      <c r="F113" s="526" t="s">
        <v>313</v>
      </c>
      <c r="G113" s="527">
        <v>1999</v>
      </c>
      <c r="H113" s="528">
        <v>3720</v>
      </c>
      <c r="I113" s="520" t="s">
        <v>238</v>
      </c>
      <c r="J113" s="528">
        <v>50</v>
      </c>
    </row>
    <row r="114" spans="1:10" ht="15.75">
      <c r="A114" s="520" t="s">
        <v>185</v>
      </c>
      <c r="B114" s="520" t="s">
        <v>235</v>
      </c>
      <c r="C114" s="520" t="s">
        <v>236</v>
      </c>
      <c r="D114" s="525">
        <v>104</v>
      </c>
      <c r="E114" s="529"/>
      <c r="F114" s="526" t="s">
        <v>314</v>
      </c>
      <c r="G114" s="527">
        <v>1988</v>
      </c>
      <c r="H114" s="528">
        <v>3720</v>
      </c>
      <c r="I114" s="520" t="s">
        <v>238</v>
      </c>
      <c r="J114" s="528">
        <v>50</v>
      </c>
    </row>
    <row r="115" spans="1:10" ht="15.75">
      <c r="A115" s="520" t="s">
        <v>185</v>
      </c>
      <c r="B115" s="520" t="s">
        <v>235</v>
      </c>
      <c r="C115" s="520" t="s">
        <v>236</v>
      </c>
      <c r="D115" s="525">
        <v>105</v>
      </c>
      <c r="E115" s="529"/>
      <c r="F115" s="526" t="s">
        <v>315</v>
      </c>
      <c r="G115" s="527">
        <v>1994</v>
      </c>
      <c r="H115" s="528">
        <v>3720</v>
      </c>
      <c r="I115" s="520" t="s">
        <v>238</v>
      </c>
      <c r="J115" s="528">
        <v>50</v>
      </c>
    </row>
    <row r="116" spans="1:10" ht="15.75">
      <c r="A116" s="520" t="s">
        <v>185</v>
      </c>
      <c r="B116" s="520" t="s">
        <v>235</v>
      </c>
      <c r="C116" s="520" t="s">
        <v>236</v>
      </c>
      <c r="D116" s="525">
        <v>106</v>
      </c>
      <c r="E116" s="529"/>
      <c r="F116" s="526" t="s">
        <v>316</v>
      </c>
      <c r="G116" s="527">
        <v>1996</v>
      </c>
      <c r="H116" s="528">
        <v>3720</v>
      </c>
      <c r="I116" s="520" t="s">
        <v>238</v>
      </c>
      <c r="J116" s="528">
        <v>50</v>
      </c>
    </row>
    <row r="117" spans="1:10" ht="15.75">
      <c r="A117" s="520" t="s">
        <v>185</v>
      </c>
      <c r="B117" s="520" t="s">
        <v>235</v>
      </c>
      <c r="C117" s="520" t="s">
        <v>236</v>
      </c>
      <c r="D117" s="525">
        <v>107</v>
      </c>
      <c r="E117" s="529"/>
      <c r="F117" s="526" t="s">
        <v>317</v>
      </c>
      <c r="G117" s="527">
        <v>1995</v>
      </c>
      <c r="H117" s="528">
        <v>3720</v>
      </c>
      <c r="I117" s="520" t="s">
        <v>238</v>
      </c>
      <c r="J117" s="528">
        <v>50</v>
      </c>
    </row>
    <row r="118" spans="1:10" ht="15.75">
      <c r="A118" s="520" t="s">
        <v>185</v>
      </c>
      <c r="B118" s="520" t="s">
        <v>235</v>
      </c>
      <c r="C118" s="520" t="s">
        <v>236</v>
      </c>
      <c r="D118" s="525">
        <v>108</v>
      </c>
      <c r="E118" s="529"/>
      <c r="F118" s="526" t="s">
        <v>318</v>
      </c>
      <c r="G118" s="527">
        <v>1995</v>
      </c>
      <c r="H118" s="528">
        <v>3720</v>
      </c>
      <c r="I118" s="520" t="s">
        <v>238</v>
      </c>
      <c r="J118" s="528">
        <v>50</v>
      </c>
    </row>
    <row r="119" spans="1:10" ht="15.75">
      <c r="A119" s="520" t="s">
        <v>185</v>
      </c>
      <c r="B119" s="520" t="s">
        <v>235</v>
      </c>
      <c r="C119" s="520" t="s">
        <v>236</v>
      </c>
      <c r="D119" s="525">
        <v>109</v>
      </c>
      <c r="E119" s="529"/>
      <c r="F119" s="526">
        <v>834760</v>
      </c>
      <c r="G119" s="527">
        <v>1990</v>
      </c>
      <c r="H119" s="528">
        <v>3720</v>
      </c>
      <c r="I119" s="520" t="s">
        <v>238</v>
      </c>
      <c r="J119" s="528">
        <v>50</v>
      </c>
    </row>
    <row r="120" spans="1:10" ht="15.75">
      <c r="A120" s="520" t="s">
        <v>185</v>
      </c>
      <c r="B120" s="520" t="s">
        <v>235</v>
      </c>
      <c r="C120" s="520" t="s">
        <v>236</v>
      </c>
      <c r="D120" s="525">
        <v>110</v>
      </c>
      <c r="E120" s="529"/>
      <c r="F120" s="526" t="s">
        <v>319</v>
      </c>
      <c r="G120" s="527">
        <v>1989</v>
      </c>
      <c r="H120" s="528">
        <v>3720</v>
      </c>
      <c r="I120" s="520" t="s">
        <v>238</v>
      </c>
      <c r="J120" s="528">
        <v>50</v>
      </c>
    </row>
    <row r="121" spans="1:10" ht="15.75">
      <c r="A121" s="520" t="s">
        <v>185</v>
      </c>
      <c r="B121" s="520" t="s">
        <v>235</v>
      </c>
      <c r="C121" s="520" t="s">
        <v>236</v>
      </c>
      <c r="D121" s="525">
        <v>111</v>
      </c>
      <c r="E121" s="529"/>
      <c r="F121" s="526" t="s">
        <v>320</v>
      </c>
      <c r="G121" s="527">
        <v>1996</v>
      </c>
      <c r="H121" s="528">
        <v>3720</v>
      </c>
      <c r="I121" s="520" t="s">
        <v>238</v>
      </c>
      <c r="J121" s="528">
        <v>50</v>
      </c>
    </row>
    <row r="122" spans="1:10" ht="15.75">
      <c r="A122" s="520" t="s">
        <v>185</v>
      </c>
      <c r="B122" s="520" t="s">
        <v>235</v>
      </c>
      <c r="C122" s="520" t="s">
        <v>236</v>
      </c>
      <c r="D122" s="525">
        <v>112</v>
      </c>
      <c r="E122" s="529"/>
      <c r="F122" s="526" t="s">
        <v>321</v>
      </c>
      <c r="G122" s="527">
        <v>1996</v>
      </c>
      <c r="H122" s="528">
        <v>3720</v>
      </c>
      <c r="I122" s="520" t="s">
        <v>238</v>
      </c>
      <c r="J122" s="528">
        <v>50</v>
      </c>
    </row>
    <row r="123" spans="1:10" ht="15.75">
      <c r="A123" s="520" t="s">
        <v>185</v>
      </c>
      <c r="B123" s="520" t="s">
        <v>235</v>
      </c>
      <c r="C123" s="520" t="s">
        <v>236</v>
      </c>
      <c r="D123" s="525">
        <v>113</v>
      </c>
      <c r="E123" s="529"/>
      <c r="F123" s="526" t="s">
        <v>322</v>
      </c>
      <c r="G123" s="527">
        <v>1996</v>
      </c>
      <c r="H123" s="528">
        <v>3720</v>
      </c>
      <c r="I123" s="520" t="s">
        <v>238</v>
      </c>
      <c r="J123" s="528">
        <v>50</v>
      </c>
    </row>
    <row r="124" spans="1:10" ht="15.75">
      <c r="A124" s="520" t="s">
        <v>185</v>
      </c>
      <c r="B124" s="520" t="s">
        <v>235</v>
      </c>
      <c r="C124" s="520" t="s">
        <v>236</v>
      </c>
      <c r="D124" s="525">
        <v>114</v>
      </c>
      <c r="E124" s="529"/>
      <c r="F124" s="526" t="s">
        <v>323</v>
      </c>
      <c r="G124" s="527">
        <v>1994</v>
      </c>
      <c r="H124" s="528">
        <v>3720</v>
      </c>
      <c r="I124" s="520" t="s">
        <v>238</v>
      </c>
      <c r="J124" s="528">
        <v>50</v>
      </c>
    </row>
    <row r="125" spans="1:10" ht="15.75">
      <c r="A125" s="520" t="s">
        <v>185</v>
      </c>
      <c r="B125" s="520" t="s">
        <v>235</v>
      </c>
      <c r="C125" s="520" t="s">
        <v>236</v>
      </c>
      <c r="D125" s="525">
        <v>115</v>
      </c>
      <c r="E125" s="529"/>
      <c r="F125" s="526" t="s">
        <v>324</v>
      </c>
      <c r="G125" s="527">
        <v>1990</v>
      </c>
      <c r="H125" s="528">
        <v>3720</v>
      </c>
      <c r="I125" s="520" t="s">
        <v>238</v>
      </c>
      <c r="J125" s="528">
        <v>50</v>
      </c>
    </row>
    <row r="126" spans="1:10" ht="15.75">
      <c r="A126" s="520" t="s">
        <v>185</v>
      </c>
      <c r="B126" s="520" t="s">
        <v>235</v>
      </c>
      <c r="C126" s="520" t="s">
        <v>236</v>
      </c>
      <c r="D126" s="525">
        <v>116</v>
      </c>
      <c r="E126" s="529"/>
      <c r="F126" s="526" t="s">
        <v>325</v>
      </c>
      <c r="G126" s="527">
        <v>1992</v>
      </c>
      <c r="H126" s="528">
        <v>3720</v>
      </c>
      <c r="I126" s="520" t="s">
        <v>238</v>
      </c>
      <c r="J126" s="528">
        <v>50</v>
      </c>
    </row>
    <row r="127" spans="1:10" ht="15.75">
      <c r="A127" s="520" t="s">
        <v>185</v>
      </c>
      <c r="B127" s="520" t="s">
        <v>235</v>
      </c>
      <c r="C127" s="520" t="s">
        <v>236</v>
      </c>
      <c r="D127" s="525">
        <v>117</v>
      </c>
      <c r="E127" s="529"/>
      <c r="F127" s="526" t="s">
        <v>326</v>
      </c>
      <c r="G127" s="527">
        <v>1990</v>
      </c>
      <c r="H127" s="528">
        <v>3720</v>
      </c>
      <c r="I127" s="520" t="s">
        <v>238</v>
      </c>
      <c r="J127" s="528">
        <v>50</v>
      </c>
    </row>
    <row r="128" spans="1:10" ht="15.75">
      <c r="A128" s="520" t="s">
        <v>185</v>
      </c>
      <c r="B128" s="520" t="s">
        <v>235</v>
      </c>
      <c r="C128" s="520" t="s">
        <v>236</v>
      </c>
      <c r="D128" s="525">
        <v>118</v>
      </c>
      <c r="E128" s="529"/>
      <c r="F128" s="526" t="s">
        <v>327</v>
      </c>
      <c r="G128" s="527">
        <v>1989</v>
      </c>
      <c r="H128" s="528">
        <v>3720</v>
      </c>
      <c r="I128" s="520" t="s">
        <v>238</v>
      </c>
      <c r="J128" s="528">
        <v>50</v>
      </c>
    </row>
    <row r="129" spans="1:10" ht="15.75">
      <c r="A129" s="520" t="s">
        <v>185</v>
      </c>
      <c r="B129" s="520" t="s">
        <v>235</v>
      </c>
      <c r="C129" s="520" t="s">
        <v>236</v>
      </c>
      <c r="D129" s="525">
        <v>119</v>
      </c>
      <c r="E129" s="529"/>
      <c r="F129" s="526" t="s">
        <v>328</v>
      </c>
      <c r="G129" s="527">
        <v>1995</v>
      </c>
      <c r="H129" s="528">
        <v>3720</v>
      </c>
      <c r="I129" s="520" t="s">
        <v>238</v>
      </c>
      <c r="J129" s="528">
        <v>50</v>
      </c>
    </row>
    <row r="130" spans="1:10" ht="15.75">
      <c r="A130" s="520" t="s">
        <v>185</v>
      </c>
      <c r="B130" s="520" t="s">
        <v>235</v>
      </c>
      <c r="C130" s="520" t="s">
        <v>236</v>
      </c>
      <c r="D130" s="525">
        <v>120</v>
      </c>
      <c r="E130" s="529"/>
      <c r="F130" s="526" t="s">
        <v>329</v>
      </c>
      <c r="G130" s="527">
        <v>1992</v>
      </c>
      <c r="H130" s="528">
        <v>3720</v>
      </c>
      <c r="I130" s="520" t="s">
        <v>238</v>
      </c>
      <c r="J130" s="528">
        <v>50</v>
      </c>
    </row>
    <row r="131" spans="1:10" ht="15.75">
      <c r="A131" s="520" t="s">
        <v>185</v>
      </c>
      <c r="B131" s="520" t="s">
        <v>235</v>
      </c>
      <c r="C131" s="520" t="s">
        <v>236</v>
      </c>
      <c r="D131" s="525">
        <v>121</v>
      </c>
      <c r="E131" s="529"/>
      <c r="F131" s="526" t="s">
        <v>330</v>
      </c>
      <c r="G131" s="527">
        <v>1994</v>
      </c>
      <c r="H131" s="528">
        <v>3720</v>
      </c>
      <c r="I131" s="520" t="s">
        <v>238</v>
      </c>
      <c r="J131" s="528">
        <v>50</v>
      </c>
    </row>
    <row r="132" spans="1:10" ht="15.75">
      <c r="A132" s="520" t="s">
        <v>185</v>
      </c>
      <c r="B132" s="520" t="s">
        <v>235</v>
      </c>
      <c r="C132" s="520" t="s">
        <v>236</v>
      </c>
      <c r="D132" s="525">
        <v>122</v>
      </c>
      <c r="E132" s="529"/>
      <c r="F132" s="526" t="s">
        <v>331</v>
      </c>
      <c r="G132" s="527">
        <v>1993</v>
      </c>
      <c r="H132" s="528">
        <v>3720</v>
      </c>
      <c r="I132" s="520" t="s">
        <v>238</v>
      </c>
      <c r="J132" s="528">
        <v>50</v>
      </c>
    </row>
    <row r="133" spans="1:10" ht="15.75">
      <c r="A133" s="520" t="s">
        <v>185</v>
      </c>
      <c r="B133" s="520" t="s">
        <v>235</v>
      </c>
      <c r="C133" s="520" t="s">
        <v>236</v>
      </c>
      <c r="D133" s="525">
        <v>123</v>
      </c>
      <c r="E133" s="529"/>
      <c r="F133" s="526" t="s">
        <v>332</v>
      </c>
      <c r="G133" s="527">
        <v>1997</v>
      </c>
      <c r="H133" s="528">
        <v>3720</v>
      </c>
      <c r="I133" s="520" t="s">
        <v>238</v>
      </c>
      <c r="J133" s="528">
        <v>50</v>
      </c>
    </row>
    <row r="134" spans="1:10" ht="15.75">
      <c r="A134" s="520" t="s">
        <v>185</v>
      </c>
      <c r="B134" s="520" t="s">
        <v>235</v>
      </c>
      <c r="C134" s="520" t="s">
        <v>236</v>
      </c>
      <c r="D134" s="525">
        <v>124</v>
      </c>
      <c r="E134" s="529"/>
      <c r="F134" s="526" t="s">
        <v>333</v>
      </c>
      <c r="G134" s="527">
        <v>1990</v>
      </c>
      <c r="H134" s="528">
        <v>3720</v>
      </c>
      <c r="I134" s="520" t="s">
        <v>238</v>
      </c>
      <c r="J134" s="528">
        <v>50</v>
      </c>
    </row>
    <row r="135" spans="1:10" ht="15.75">
      <c r="A135" s="520" t="s">
        <v>185</v>
      </c>
      <c r="B135" s="520" t="s">
        <v>235</v>
      </c>
      <c r="C135" s="520" t="s">
        <v>236</v>
      </c>
      <c r="D135" s="525">
        <v>125</v>
      </c>
      <c r="E135" s="529"/>
      <c r="F135" s="526">
        <v>14802382</v>
      </c>
      <c r="G135" s="527">
        <v>1988</v>
      </c>
      <c r="H135" s="528">
        <v>3720</v>
      </c>
      <c r="I135" s="520" t="s">
        <v>238</v>
      </c>
      <c r="J135" s="528">
        <v>50</v>
      </c>
    </row>
    <row r="136" spans="1:10" ht="15.75">
      <c r="A136" s="520" t="s">
        <v>185</v>
      </c>
      <c r="B136" s="520" t="s">
        <v>235</v>
      </c>
      <c r="C136" s="520" t="s">
        <v>236</v>
      </c>
      <c r="D136" s="525">
        <v>126</v>
      </c>
      <c r="E136" s="529"/>
      <c r="F136" s="526" t="s">
        <v>334</v>
      </c>
      <c r="G136" s="527">
        <v>1998</v>
      </c>
      <c r="H136" s="528">
        <v>3720</v>
      </c>
      <c r="I136" s="520" t="s">
        <v>238</v>
      </c>
      <c r="J136" s="528">
        <v>50</v>
      </c>
    </row>
    <row r="137" spans="1:10" ht="15.75">
      <c r="A137" s="520" t="s">
        <v>185</v>
      </c>
      <c r="B137" s="520" t="s">
        <v>235</v>
      </c>
      <c r="C137" s="520" t="s">
        <v>236</v>
      </c>
      <c r="D137" s="525">
        <v>127</v>
      </c>
      <c r="E137" s="529"/>
      <c r="F137" s="526" t="s">
        <v>335</v>
      </c>
      <c r="G137" s="527">
        <v>1996</v>
      </c>
      <c r="H137" s="528">
        <v>3720</v>
      </c>
      <c r="I137" s="520" t="s">
        <v>238</v>
      </c>
      <c r="J137" s="528">
        <v>50</v>
      </c>
    </row>
    <row r="138" spans="1:10" ht="15.75">
      <c r="A138" s="520" t="s">
        <v>185</v>
      </c>
      <c r="B138" s="520" t="s">
        <v>235</v>
      </c>
      <c r="C138" s="520" t="s">
        <v>236</v>
      </c>
      <c r="D138" s="525">
        <v>128</v>
      </c>
      <c r="E138" s="529"/>
      <c r="F138" s="526">
        <v>11424227</v>
      </c>
      <c r="G138" s="527">
        <v>1993</v>
      </c>
      <c r="H138" s="528">
        <v>3720</v>
      </c>
      <c r="I138" s="520" t="s">
        <v>238</v>
      </c>
      <c r="J138" s="528">
        <v>50</v>
      </c>
    </row>
    <row r="139" spans="1:10" ht="15.75">
      <c r="A139" s="520" t="s">
        <v>185</v>
      </c>
      <c r="B139" s="520" t="s">
        <v>235</v>
      </c>
      <c r="C139" s="520" t="s">
        <v>236</v>
      </c>
      <c r="D139" s="525">
        <v>131</v>
      </c>
      <c r="E139" s="529"/>
      <c r="F139" s="526" t="s">
        <v>336</v>
      </c>
      <c r="G139" s="527">
        <v>1998</v>
      </c>
      <c r="H139" s="528">
        <v>3720</v>
      </c>
      <c r="I139" s="520" t="s">
        <v>238</v>
      </c>
      <c r="J139" s="528">
        <v>50</v>
      </c>
    </row>
    <row r="140" spans="1:10" ht="15.75">
      <c r="A140" s="520" t="s">
        <v>185</v>
      </c>
      <c r="B140" s="520" t="s">
        <v>235</v>
      </c>
      <c r="C140" s="520" t="s">
        <v>236</v>
      </c>
      <c r="D140" s="525">
        <v>132</v>
      </c>
      <c r="E140" s="529"/>
      <c r="F140" s="526" t="s">
        <v>337</v>
      </c>
      <c r="G140" s="527">
        <v>1986</v>
      </c>
      <c r="H140" s="528">
        <v>3720</v>
      </c>
      <c r="I140" s="520" t="s">
        <v>238</v>
      </c>
      <c r="J140" s="528">
        <v>50</v>
      </c>
    </row>
    <row r="141" spans="1:10" ht="15.75">
      <c r="A141" s="520" t="s">
        <v>185</v>
      </c>
      <c r="B141" s="520" t="s">
        <v>235</v>
      </c>
      <c r="C141" s="520" t="s">
        <v>236</v>
      </c>
      <c r="D141" s="525">
        <v>133</v>
      </c>
      <c r="E141" s="529"/>
      <c r="F141" s="526" t="s">
        <v>338</v>
      </c>
      <c r="G141" s="527">
        <v>1990</v>
      </c>
      <c r="H141" s="528">
        <v>3720</v>
      </c>
      <c r="I141" s="520" t="s">
        <v>238</v>
      </c>
      <c r="J141" s="528">
        <v>50</v>
      </c>
    </row>
    <row r="142" spans="1:10" ht="15.75">
      <c r="A142" s="520" t="s">
        <v>185</v>
      </c>
      <c r="B142" s="520" t="s">
        <v>235</v>
      </c>
      <c r="C142" s="520" t="s">
        <v>236</v>
      </c>
      <c r="D142" s="525">
        <v>134</v>
      </c>
      <c r="E142" s="529"/>
      <c r="F142" s="526" t="s">
        <v>339</v>
      </c>
      <c r="G142" s="527">
        <v>1999</v>
      </c>
      <c r="H142" s="528">
        <v>3720</v>
      </c>
      <c r="I142" s="520" t="s">
        <v>238</v>
      </c>
      <c r="J142" s="528">
        <v>50</v>
      </c>
    </row>
    <row r="143" spans="1:10" ht="15.75">
      <c r="A143" s="520" t="s">
        <v>185</v>
      </c>
      <c r="B143" s="520" t="s">
        <v>235</v>
      </c>
      <c r="C143" s="520" t="s">
        <v>236</v>
      </c>
      <c r="D143" s="525">
        <v>135</v>
      </c>
      <c r="E143" s="529"/>
      <c r="F143" s="526" t="s">
        <v>340</v>
      </c>
      <c r="G143" s="527">
        <v>1987</v>
      </c>
      <c r="H143" s="528">
        <v>3720</v>
      </c>
      <c r="I143" s="520" t="s">
        <v>238</v>
      </c>
      <c r="J143" s="528">
        <v>50</v>
      </c>
    </row>
    <row r="144" spans="1:10">
      <c r="A144" s="520" t="s">
        <v>185</v>
      </c>
      <c r="B144" s="520" t="s">
        <v>341</v>
      </c>
      <c r="C144" s="520" t="s">
        <v>342</v>
      </c>
      <c r="D144" s="520">
        <v>42</v>
      </c>
      <c r="E144" s="520" t="s">
        <v>343</v>
      </c>
      <c r="F144" s="520" t="s">
        <v>344</v>
      </c>
      <c r="G144" s="520">
        <v>2025</v>
      </c>
      <c r="H144" s="528">
        <v>47480</v>
      </c>
      <c r="I144" s="520" t="s">
        <v>190</v>
      </c>
      <c r="J144" s="534">
        <v>3682</v>
      </c>
    </row>
    <row r="145" spans="1:10">
      <c r="A145" s="520" t="s">
        <v>185</v>
      </c>
      <c r="B145" s="520" t="s">
        <v>341</v>
      </c>
      <c r="C145" s="520" t="s">
        <v>342</v>
      </c>
      <c r="D145" s="520">
        <v>43</v>
      </c>
      <c r="E145" s="520" t="s">
        <v>345</v>
      </c>
      <c r="F145" s="520" t="s">
        <v>346</v>
      </c>
      <c r="G145" s="520">
        <v>2025</v>
      </c>
      <c r="H145" s="528">
        <v>47480</v>
      </c>
      <c r="I145" s="520" t="s">
        <v>190</v>
      </c>
      <c r="J145" s="534">
        <v>3682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78A74-24BD-7B4B-9628-A989568B8209}">
  <sheetPr codeName="Sheet2"/>
  <dimension ref="A1:AD76"/>
  <sheetViews>
    <sheetView topLeftCell="B1" zoomScale="70" zoomScaleNormal="70" workbookViewId="0">
      <pane ySplit="3" topLeftCell="A4" activePane="bottomLeft" state="frozen"/>
      <selection pane="bottomLeft" activeCell="AD17" sqref="AD17"/>
    </sheetView>
  </sheetViews>
  <sheetFormatPr defaultColWidth="8.85546875" defaultRowHeight="14.25"/>
  <cols>
    <col min="1" max="1" width="30" style="5" bestFit="1" customWidth="1"/>
    <col min="2" max="2" width="46.85546875" style="2" bestFit="1" customWidth="1"/>
    <col min="3" max="3" width="22.7109375" hidden="1" customWidth="1"/>
    <col min="4" max="4" width="16.85546875" hidden="1" customWidth="1"/>
    <col min="5" max="5" width="3.85546875" hidden="1" customWidth="1"/>
    <col min="6" max="6" width="9.7109375" hidden="1" customWidth="1"/>
    <col min="7" max="7" width="1.28515625" style="3" customWidth="1"/>
    <col min="8" max="8" width="11" style="264" bestFit="1" customWidth="1"/>
    <col min="9" max="9" width="10.85546875" style="264" customWidth="1"/>
    <col min="10" max="11" width="12" style="264" bestFit="1" customWidth="1"/>
    <col min="12" max="12" width="8.7109375" style="264" customWidth="1"/>
    <col min="13" max="13" width="1.28515625" style="3" customWidth="1"/>
    <col min="14" max="14" width="10.5703125" style="3" bestFit="1" customWidth="1"/>
    <col min="15" max="15" width="8.7109375" style="3" customWidth="1"/>
    <col min="16" max="16" width="1.28515625" style="3" customWidth="1"/>
    <col min="17" max="17" width="10.5703125" style="3" bestFit="1" customWidth="1"/>
    <col min="18" max="18" width="1.28515625" style="3" customWidth="1"/>
    <col min="19" max="19" width="10.7109375" style="3" bestFit="1" customWidth="1"/>
    <col min="20" max="20" width="1.28515625" style="3" customWidth="1"/>
    <col min="21" max="21" width="40" style="348" hidden="1" customWidth="1"/>
    <col min="22" max="25" width="0" hidden="1" customWidth="1"/>
    <col min="27" max="27" width="12.42578125" customWidth="1"/>
    <col min="28" max="28" width="13.7109375" customWidth="1"/>
    <col min="29" max="29" width="9.7109375" customWidth="1"/>
    <col min="30" max="30" width="14" customWidth="1"/>
  </cols>
  <sheetData>
    <row r="1" spans="1:30" ht="18.399999999999999" thickBot="1">
      <c r="A1" s="1" t="s">
        <v>0</v>
      </c>
      <c r="G1" s="425"/>
      <c r="H1" s="239" t="s">
        <v>347</v>
      </c>
      <c r="I1" s="239" t="s">
        <v>54</v>
      </c>
      <c r="J1" s="239" t="s">
        <v>57</v>
      </c>
      <c r="K1" s="239" t="s">
        <v>60</v>
      </c>
      <c r="U1" s="3"/>
    </row>
    <row r="2" spans="1:30" ht="18.399999999999999" thickBot="1">
      <c r="A2" s="6">
        <v>45769</v>
      </c>
      <c r="B2" s="2" t="s">
        <v>348</v>
      </c>
      <c r="G2" s="420"/>
      <c r="H2" s="432"/>
      <c r="I2" s="600" t="s">
        <v>349</v>
      </c>
      <c r="J2" s="432"/>
      <c r="K2" s="416"/>
      <c r="L2" s="601" t="s">
        <v>350</v>
      </c>
      <c r="M2" s="421"/>
      <c r="N2" s="602" t="s">
        <v>351</v>
      </c>
      <c r="O2" s="603" t="s">
        <v>352</v>
      </c>
      <c r="P2" s="422"/>
      <c r="Q2" s="604" t="s">
        <v>353</v>
      </c>
      <c r="R2" s="425"/>
      <c r="S2" s="330" t="s">
        <v>354</v>
      </c>
      <c r="T2" s="426"/>
      <c r="U2" s="347"/>
    </row>
    <row r="3" spans="1:30" ht="42.4" customHeight="1" thickBot="1">
      <c r="A3" s="605" t="s">
        <v>355</v>
      </c>
      <c r="B3" s="606" t="s">
        <v>4</v>
      </c>
      <c r="C3" s="10" t="s">
        <v>356</v>
      </c>
      <c r="D3" s="606" t="s">
        <v>357</v>
      </c>
      <c r="E3" s="10" t="s">
        <v>358</v>
      </c>
      <c r="F3" s="606" t="s">
        <v>359</v>
      </c>
      <c r="G3" s="436"/>
      <c r="H3" s="607" t="s">
        <v>360</v>
      </c>
      <c r="I3" s="608" t="s">
        <v>361</v>
      </c>
      <c r="J3" s="608" t="s">
        <v>362</v>
      </c>
      <c r="K3" s="609" t="s">
        <v>363</v>
      </c>
      <c r="L3" s="610" t="s">
        <v>364</v>
      </c>
      <c r="M3" s="415"/>
      <c r="N3" s="611" t="s">
        <v>365</v>
      </c>
      <c r="O3" s="612" t="s">
        <v>364</v>
      </c>
      <c r="P3" s="415"/>
      <c r="Q3" s="613" t="s">
        <v>365</v>
      </c>
      <c r="R3" s="415"/>
      <c r="S3" s="424" t="s">
        <v>366</v>
      </c>
      <c r="T3" s="415"/>
      <c r="U3" s="356"/>
      <c r="AA3" s="537" t="s">
        <v>367</v>
      </c>
      <c r="AB3" s="537" t="s">
        <v>368</v>
      </c>
      <c r="AC3" s="537" t="s">
        <v>369</v>
      </c>
      <c r="AD3" s="537" t="s">
        <v>370</v>
      </c>
    </row>
    <row r="4" spans="1:30" s="22" customFormat="1" ht="18" customHeight="1">
      <c r="A4" s="614" t="s">
        <v>371</v>
      </c>
      <c r="B4" s="615" t="s">
        <v>372</v>
      </c>
      <c r="C4" s="616" t="s">
        <v>373</v>
      </c>
      <c r="D4" s="616" t="s">
        <v>374</v>
      </c>
      <c r="E4" s="617" t="s">
        <v>375</v>
      </c>
      <c r="F4" s="618">
        <v>32920</v>
      </c>
      <c r="G4" s="540"/>
      <c r="H4" s="541">
        <v>10652.619311414279</v>
      </c>
      <c r="I4" s="541">
        <v>1307.9168241075317</v>
      </c>
      <c r="J4" s="541">
        <v>1529.4052577795878</v>
      </c>
      <c r="K4" s="541">
        <v>1624.3288722104692</v>
      </c>
      <c r="L4" s="542">
        <v>96.189262623292919</v>
      </c>
      <c r="M4" s="619"/>
      <c r="N4" s="542">
        <v>9437.7115433190193</v>
      </c>
      <c r="O4" s="542">
        <v>178.2268249557969</v>
      </c>
      <c r="P4" s="619"/>
      <c r="Q4" s="542">
        <v>5267.7696387976757</v>
      </c>
      <c r="R4" s="619"/>
      <c r="S4" s="542">
        <v>30094.167535207653</v>
      </c>
      <c r="T4" s="620"/>
      <c r="U4" s="543" t="s">
        <v>376</v>
      </c>
      <c r="AA4" s="22">
        <f>ROUND((SUM(H4:K4)/12),2)</f>
        <v>1259.52</v>
      </c>
      <c r="AB4" s="22">
        <f>ROUND((N4/12),2)</f>
        <v>786.48</v>
      </c>
      <c r="AC4" s="22">
        <f>ROUND((Q4/12),2)</f>
        <v>438.98</v>
      </c>
      <c r="AD4" s="22">
        <f>ROUND((SUM(L4,O4)/12),2)</f>
        <v>22.87</v>
      </c>
    </row>
    <row r="5" spans="1:30" s="22" customFormat="1" ht="15.75">
      <c r="A5" s="614" t="s">
        <v>371</v>
      </c>
      <c r="B5" s="615" t="s">
        <v>377</v>
      </c>
      <c r="C5" s="621" t="s">
        <v>378</v>
      </c>
      <c r="D5" s="621" t="s">
        <v>379</v>
      </c>
      <c r="E5" s="622" t="s">
        <v>375</v>
      </c>
      <c r="F5" s="623">
        <v>33147</v>
      </c>
      <c r="G5" s="540"/>
      <c r="H5" s="541">
        <v>17035.108432492274</v>
      </c>
      <c r="I5" s="541">
        <v>2091.5517834641078</v>
      </c>
      <c r="J5" s="541">
        <v>2445.744435416243</v>
      </c>
      <c r="K5" s="541">
        <v>2597.5412862528719</v>
      </c>
      <c r="L5" s="542">
        <v>153.82080884778429</v>
      </c>
      <c r="M5" s="619"/>
      <c r="N5" s="542">
        <v>9154.5801970194498</v>
      </c>
      <c r="O5" s="542">
        <v>172.88002020712301</v>
      </c>
      <c r="P5" s="619"/>
      <c r="Q5" s="542">
        <v>5109.7365496337461</v>
      </c>
      <c r="R5" s="619"/>
      <c r="S5" s="542">
        <v>38760.963513333598</v>
      </c>
      <c r="T5" s="620"/>
      <c r="U5" s="543" t="s">
        <v>376</v>
      </c>
      <c r="AA5" s="22">
        <f t="shared" ref="AA5:AA61" si="0">ROUND((SUM(H5:K5)/12),2)</f>
        <v>2014.16</v>
      </c>
      <c r="AB5" s="22">
        <f t="shared" ref="AB5:AB62" si="1">ROUND((N5/12),2)</f>
        <v>762.88</v>
      </c>
      <c r="AC5" s="22">
        <f t="shared" ref="AC5:AC62" si="2">ROUND((Q5/12),2)</f>
        <v>425.81</v>
      </c>
      <c r="AD5" s="22">
        <f t="shared" ref="AD5:AD62" si="3">ROUND((SUM(L5,O5)/12),2)</f>
        <v>27.23</v>
      </c>
    </row>
    <row r="6" spans="1:30" s="22" customFormat="1" ht="15.75">
      <c r="A6" s="614" t="s">
        <v>371</v>
      </c>
      <c r="B6" s="615" t="s">
        <v>380</v>
      </c>
      <c r="C6" s="616" t="s">
        <v>381</v>
      </c>
      <c r="D6" s="616" t="s">
        <v>382</v>
      </c>
      <c r="E6" s="617" t="s">
        <v>375</v>
      </c>
      <c r="F6" s="618">
        <v>33409</v>
      </c>
      <c r="G6" s="540"/>
      <c r="H6" s="541">
        <v>5428.5499539366665</v>
      </c>
      <c r="I6" s="541">
        <v>666.5113628583523</v>
      </c>
      <c r="J6" s="541">
        <v>779.38135203740933</v>
      </c>
      <c r="K6" s="541">
        <v>827.75420454271955</v>
      </c>
      <c r="L6" s="542">
        <v>49.017823872047657</v>
      </c>
      <c r="M6" s="619"/>
      <c r="N6" s="542">
        <v>2831.3134629957058</v>
      </c>
      <c r="O6" s="542">
        <v>53.468047486739074</v>
      </c>
      <c r="P6" s="619"/>
      <c r="Q6" s="542">
        <v>1580.3308916393028</v>
      </c>
      <c r="R6" s="619"/>
      <c r="S6" s="542">
        <v>12216.327099368944</v>
      </c>
      <c r="T6" s="620"/>
      <c r="U6" s="543" t="s">
        <v>376</v>
      </c>
      <c r="AA6" s="22">
        <f t="shared" si="0"/>
        <v>641.85</v>
      </c>
      <c r="AB6" s="22">
        <f t="shared" si="1"/>
        <v>235.94</v>
      </c>
      <c r="AC6" s="22">
        <f t="shared" si="2"/>
        <v>131.69</v>
      </c>
      <c r="AD6" s="22">
        <f t="shared" si="3"/>
        <v>8.5399999999999991</v>
      </c>
    </row>
    <row r="7" spans="1:30" s="22" customFormat="1" ht="15.75">
      <c r="A7" s="614" t="s">
        <v>371</v>
      </c>
      <c r="B7" s="615" t="s">
        <v>383</v>
      </c>
      <c r="C7" s="616" t="s">
        <v>384</v>
      </c>
      <c r="D7" s="616" t="s">
        <v>379</v>
      </c>
      <c r="E7" s="617" t="s">
        <v>375</v>
      </c>
      <c r="F7" s="618">
        <v>33161</v>
      </c>
      <c r="G7" s="540"/>
      <c r="H7" s="541">
        <v>4629.6152665429945</v>
      </c>
      <c r="I7" s="541">
        <v>568.41904504825061</v>
      </c>
      <c r="J7" s="541">
        <v>664.67764623492064</v>
      </c>
      <c r="K7" s="541">
        <v>705.93133245777926</v>
      </c>
      <c r="L7" s="624">
        <v>41.803735372496682</v>
      </c>
      <c r="M7" s="619"/>
      <c r="N7" s="542">
        <v>3491.9532710280373</v>
      </c>
      <c r="O7" s="542">
        <v>65.943925233644862</v>
      </c>
      <c r="P7" s="619"/>
      <c r="Q7" s="542">
        <v>1949.0747663551401</v>
      </c>
      <c r="R7" s="619"/>
      <c r="S7" s="542">
        <v>12117.418988273264</v>
      </c>
      <c r="T7" s="620"/>
      <c r="U7" s="543" t="s">
        <v>376</v>
      </c>
      <c r="AA7" s="22">
        <f t="shared" si="0"/>
        <v>547.39</v>
      </c>
      <c r="AB7" s="22">
        <f t="shared" si="1"/>
        <v>291</v>
      </c>
      <c r="AC7" s="22">
        <f t="shared" si="2"/>
        <v>162.41999999999999</v>
      </c>
      <c r="AD7" s="22">
        <f t="shared" si="3"/>
        <v>8.98</v>
      </c>
    </row>
    <row r="8" spans="1:30" s="22" customFormat="1" ht="15.75">
      <c r="A8" s="614" t="s">
        <v>371</v>
      </c>
      <c r="B8" s="615" t="s">
        <v>385</v>
      </c>
      <c r="C8" s="616" t="s">
        <v>386</v>
      </c>
      <c r="D8" s="616" t="s">
        <v>387</v>
      </c>
      <c r="E8" s="617" t="s">
        <v>375</v>
      </c>
      <c r="F8" s="618">
        <v>32757</v>
      </c>
      <c r="G8" s="540"/>
      <c r="H8" s="541">
        <v>6342.2516156805041</v>
      </c>
      <c r="I8" s="541">
        <v>778.69464292068244</v>
      </c>
      <c r="J8" s="541">
        <v>910.56224611250673</v>
      </c>
      <c r="K8" s="541">
        <v>967.07693319471696</v>
      </c>
      <c r="L8" s="542">
        <v>57.268216243306512</v>
      </c>
      <c r="M8" s="619"/>
      <c r="N8" s="542">
        <v>4435.7244253599392</v>
      </c>
      <c r="O8" s="542">
        <v>83.766607729224546</v>
      </c>
      <c r="P8" s="619"/>
      <c r="Q8" s="542">
        <v>2475.8517302349078</v>
      </c>
      <c r="R8" s="619"/>
      <c r="S8" s="542">
        <v>16051.196417475789</v>
      </c>
      <c r="T8" s="620"/>
      <c r="U8" s="543" t="s">
        <v>376</v>
      </c>
      <c r="AA8" s="22">
        <f t="shared" si="0"/>
        <v>749.88</v>
      </c>
      <c r="AB8" s="22">
        <f t="shared" si="1"/>
        <v>369.64</v>
      </c>
      <c r="AC8" s="22">
        <f t="shared" si="2"/>
        <v>206.32</v>
      </c>
      <c r="AD8" s="22">
        <f t="shared" si="3"/>
        <v>11.75</v>
      </c>
    </row>
    <row r="9" spans="1:30" s="22" customFormat="1" ht="15.75">
      <c r="A9" s="614" t="s">
        <v>371</v>
      </c>
      <c r="B9" s="615" t="s">
        <v>388</v>
      </c>
      <c r="C9" s="621" t="s">
        <v>389</v>
      </c>
      <c r="D9" s="621" t="s">
        <v>390</v>
      </c>
      <c r="E9" s="622" t="s">
        <v>375</v>
      </c>
      <c r="F9" s="623">
        <v>32724</v>
      </c>
      <c r="G9" s="544"/>
      <c r="H9" s="541">
        <v>9131.3213088385819</v>
      </c>
      <c r="I9" s="541">
        <v>1121.1335369287681</v>
      </c>
      <c r="J9" s="541">
        <v>1310.9912606422063</v>
      </c>
      <c r="K9" s="541">
        <v>1392.3588565193938</v>
      </c>
      <c r="L9" s="542">
        <v>82.452497155550219</v>
      </c>
      <c r="M9" s="545"/>
      <c r="N9" s="542">
        <v>8210.8090426875478</v>
      </c>
      <c r="O9" s="542">
        <v>155.05733771154331</v>
      </c>
      <c r="P9" s="545"/>
      <c r="Q9" s="542">
        <v>4582.959585753978</v>
      </c>
      <c r="R9" s="545"/>
      <c r="S9" s="542">
        <v>25987.083426237568</v>
      </c>
      <c r="T9" s="46"/>
      <c r="U9" s="543" t="s">
        <v>376</v>
      </c>
      <c r="AA9" s="22">
        <f t="shared" si="0"/>
        <v>1079.6500000000001</v>
      </c>
      <c r="AB9" s="22">
        <f t="shared" si="1"/>
        <v>684.23</v>
      </c>
      <c r="AC9" s="22">
        <f t="shared" si="2"/>
        <v>381.91</v>
      </c>
      <c r="AD9" s="22">
        <f t="shared" si="3"/>
        <v>19.79</v>
      </c>
    </row>
    <row r="10" spans="1:30" s="22" customFormat="1" ht="15.75">
      <c r="A10" s="614" t="s">
        <v>371</v>
      </c>
      <c r="B10" s="615" t="s">
        <v>391</v>
      </c>
      <c r="C10" s="621" t="s">
        <v>392</v>
      </c>
      <c r="D10" s="621" t="s">
        <v>393</v>
      </c>
      <c r="E10" s="622" t="s">
        <v>375</v>
      </c>
      <c r="F10" s="623">
        <v>32922</v>
      </c>
      <c r="G10" s="546"/>
      <c r="H10" s="541">
        <v>6320.3712209544037</v>
      </c>
      <c r="I10" s="541">
        <v>776.00819224186057</v>
      </c>
      <c r="J10" s="541">
        <v>907.42085996529556</v>
      </c>
      <c r="K10" s="541">
        <v>963.74057470391062</v>
      </c>
      <c r="L10" s="542">
        <v>57.070644268463205</v>
      </c>
      <c r="M10" s="547"/>
      <c r="N10" s="542">
        <v>6040.1353877241736</v>
      </c>
      <c r="O10" s="542">
        <v>114.06516797171004</v>
      </c>
      <c r="P10" s="547"/>
      <c r="Q10" s="542">
        <v>3371.372568830513</v>
      </c>
      <c r="R10" s="547"/>
      <c r="S10" s="542">
        <v>18550.184616660328</v>
      </c>
      <c r="T10" s="48"/>
      <c r="U10" s="543" t="s">
        <v>376</v>
      </c>
      <c r="AA10" s="22">
        <f t="shared" si="0"/>
        <v>747.3</v>
      </c>
      <c r="AB10" s="22">
        <f t="shared" si="1"/>
        <v>503.34</v>
      </c>
      <c r="AC10" s="22">
        <f t="shared" si="2"/>
        <v>280.95</v>
      </c>
      <c r="AD10" s="22">
        <f t="shared" si="3"/>
        <v>14.26</v>
      </c>
    </row>
    <row r="11" spans="1:30" s="22" customFormat="1" ht="15.75">
      <c r="A11" s="614" t="s">
        <v>371</v>
      </c>
      <c r="B11" s="616" t="s">
        <v>394</v>
      </c>
      <c r="C11" s="621" t="s">
        <v>395</v>
      </c>
      <c r="D11" s="621" t="s">
        <v>396</v>
      </c>
      <c r="E11" s="622" t="s">
        <v>375</v>
      </c>
      <c r="F11" s="623">
        <v>32922</v>
      </c>
      <c r="G11" s="544"/>
      <c r="H11" s="541">
        <v>4051.0459818436566</v>
      </c>
      <c r="I11" s="541">
        <v>497.38294779850679</v>
      </c>
      <c r="J11" s="541">
        <v>581.61198133682296</v>
      </c>
      <c r="K11" s="541">
        <v>617.71013856752995</v>
      </c>
      <c r="L11" s="542">
        <v>36.579465993783032</v>
      </c>
      <c r="M11" s="545"/>
      <c r="N11" s="542">
        <v>4341.3473099267494</v>
      </c>
      <c r="O11" s="542">
        <v>81.984339479666573</v>
      </c>
      <c r="P11" s="545"/>
      <c r="Q11" s="542">
        <v>2423.1740338469308</v>
      </c>
      <c r="R11" s="545"/>
      <c r="S11" s="542">
        <v>12630.836198793644</v>
      </c>
      <c r="T11" s="46"/>
      <c r="U11" s="543" t="s">
        <v>376</v>
      </c>
      <c r="AA11" s="22">
        <f t="shared" si="0"/>
        <v>478.98</v>
      </c>
      <c r="AB11" s="22">
        <f t="shared" si="1"/>
        <v>361.78</v>
      </c>
      <c r="AC11" s="22">
        <f t="shared" si="2"/>
        <v>201.93</v>
      </c>
      <c r="AD11" s="22">
        <f t="shared" si="3"/>
        <v>9.8800000000000008</v>
      </c>
    </row>
    <row r="12" spans="1:30" s="22" customFormat="1" ht="15.75">
      <c r="A12" s="614" t="s">
        <v>371</v>
      </c>
      <c r="B12" s="621" t="s">
        <v>397</v>
      </c>
      <c r="C12" s="616" t="s">
        <v>398</v>
      </c>
      <c r="D12" s="616" t="s">
        <v>399</v>
      </c>
      <c r="E12" s="617" t="s">
        <v>375</v>
      </c>
      <c r="F12" s="618">
        <v>23920</v>
      </c>
      <c r="G12" s="544"/>
      <c r="H12" s="541">
        <v>10360.076632246977</v>
      </c>
      <c r="I12" s="541">
        <v>1271.9987573234848</v>
      </c>
      <c r="J12" s="541">
        <v>1487.4046663228</v>
      </c>
      <c r="K12" s="541">
        <v>1579.7214844653638</v>
      </c>
      <c r="L12" s="542">
        <v>93.547709051131193</v>
      </c>
      <c r="M12" s="545"/>
      <c r="N12" s="542">
        <v>9437.7115433190193</v>
      </c>
      <c r="O12" s="542">
        <v>178.2268249557969</v>
      </c>
      <c r="P12" s="545"/>
      <c r="Q12" s="542">
        <v>5267.7696387976757</v>
      </c>
      <c r="R12" s="545"/>
      <c r="S12" s="542">
        <v>29676.457256482248</v>
      </c>
      <c r="T12" s="46"/>
      <c r="U12" s="543" t="s">
        <v>376</v>
      </c>
      <c r="AA12" s="22">
        <f t="shared" si="0"/>
        <v>1224.93</v>
      </c>
      <c r="AB12" s="22">
        <f t="shared" si="1"/>
        <v>786.48</v>
      </c>
      <c r="AC12" s="22">
        <f t="shared" si="2"/>
        <v>438.98</v>
      </c>
      <c r="AD12" s="22">
        <f t="shared" si="3"/>
        <v>22.65</v>
      </c>
    </row>
    <row r="13" spans="1:30" s="22" customFormat="1" ht="15.75">
      <c r="A13" s="614" t="s">
        <v>371</v>
      </c>
      <c r="B13" s="615" t="s">
        <v>400</v>
      </c>
      <c r="C13" s="621" t="s">
        <v>401</v>
      </c>
      <c r="D13" s="621" t="s">
        <v>402</v>
      </c>
      <c r="E13" s="622" t="s">
        <v>375</v>
      </c>
      <c r="F13" s="623">
        <v>32927</v>
      </c>
      <c r="G13" s="544"/>
      <c r="H13" s="541">
        <v>8007.3136207497837</v>
      </c>
      <c r="I13" s="541">
        <v>983.12911541505377</v>
      </c>
      <c r="J13" s="541">
        <v>1149.616558543755</v>
      </c>
      <c r="K13" s="541">
        <v>1220.9683198846269</v>
      </c>
      <c r="L13" s="542">
        <v>72.303118158750266</v>
      </c>
      <c r="M13" s="545"/>
      <c r="N13" s="542">
        <v>1793.1651932306138</v>
      </c>
      <c r="O13" s="542">
        <v>33.86309674160141</v>
      </c>
      <c r="P13" s="545"/>
      <c r="Q13" s="542">
        <v>1000.8762313715584</v>
      </c>
      <c r="R13" s="545"/>
      <c r="S13" s="542">
        <v>14261.235254095744</v>
      </c>
      <c r="T13" s="46"/>
      <c r="U13" s="543" t="s">
        <v>376</v>
      </c>
      <c r="AA13" s="22">
        <f t="shared" si="0"/>
        <v>946.75</v>
      </c>
      <c r="AB13" s="22">
        <f t="shared" si="1"/>
        <v>149.43</v>
      </c>
      <c r="AC13" s="22">
        <f t="shared" si="2"/>
        <v>83.41</v>
      </c>
      <c r="AD13" s="22">
        <f t="shared" si="3"/>
        <v>8.85</v>
      </c>
    </row>
    <row r="14" spans="1:30" s="22" customFormat="1" ht="15.75">
      <c r="A14" s="614" t="s">
        <v>371</v>
      </c>
      <c r="B14" s="616" t="s">
        <v>403</v>
      </c>
      <c r="C14" s="616" t="s">
        <v>404</v>
      </c>
      <c r="D14" s="616" t="s">
        <v>405</v>
      </c>
      <c r="E14" s="617" t="s">
        <v>375</v>
      </c>
      <c r="F14" s="618">
        <v>32404</v>
      </c>
      <c r="G14" s="544"/>
      <c r="H14" s="541">
        <v>8118.0568445601994</v>
      </c>
      <c r="I14" s="541">
        <v>996.72604602369279</v>
      </c>
      <c r="J14" s="541">
        <v>1165.5160536639485</v>
      </c>
      <c r="K14" s="541">
        <v>1237.8546283669154</v>
      </c>
      <c r="L14" s="542">
        <v>73.303089032339656</v>
      </c>
      <c r="M14" s="545"/>
      <c r="N14" s="542">
        <v>4341.3473099267494</v>
      </c>
      <c r="O14" s="542">
        <v>81.984339479666573</v>
      </c>
      <c r="P14" s="545"/>
      <c r="Q14" s="542">
        <v>2423.1740338469308</v>
      </c>
      <c r="R14" s="545"/>
      <c r="S14" s="542">
        <v>18437.962344900443</v>
      </c>
      <c r="T14" s="46"/>
      <c r="U14" s="543" t="s">
        <v>376</v>
      </c>
      <c r="V14" s="22">
        <f>S14/12</f>
        <v>1536.4968620750369</v>
      </c>
      <c r="AA14" s="22">
        <f t="shared" si="0"/>
        <v>959.85</v>
      </c>
      <c r="AB14" s="22">
        <f t="shared" si="1"/>
        <v>361.78</v>
      </c>
      <c r="AC14" s="22">
        <f t="shared" si="2"/>
        <v>201.93</v>
      </c>
      <c r="AD14" s="22">
        <f t="shared" si="3"/>
        <v>12.94</v>
      </c>
    </row>
    <row r="15" spans="1:30" s="22" customFormat="1" ht="15.75">
      <c r="A15" s="614" t="s">
        <v>371</v>
      </c>
      <c r="B15" s="615" t="s">
        <v>406</v>
      </c>
      <c r="C15" s="621" t="s">
        <v>407</v>
      </c>
      <c r="D15" s="621" t="s">
        <v>408</v>
      </c>
      <c r="E15" s="622" t="s">
        <v>375</v>
      </c>
      <c r="F15" s="623">
        <v>33570</v>
      </c>
      <c r="G15" s="540"/>
      <c r="H15" s="541">
        <v>11823.41060652494</v>
      </c>
      <c r="I15" s="548">
        <v>1451.6652851788006</v>
      </c>
      <c r="J15" s="548">
        <v>1697.4967205605938</v>
      </c>
      <c r="K15" s="541">
        <v>1802.8530500099339</v>
      </c>
      <c r="L15" s="542">
        <v>106.76108050866455</v>
      </c>
      <c r="M15" s="619"/>
      <c r="N15" s="542">
        <v>6606.3980803233144</v>
      </c>
      <c r="O15" s="542">
        <v>124.75877746905785</v>
      </c>
      <c r="P15" s="619"/>
      <c r="Q15" s="542">
        <v>3687.4387471583736</v>
      </c>
      <c r="R15" s="619"/>
      <c r="S15" s="542">
        <v>27300.782347733679</v>
      </c>
      <c r="T15" s="620"/>
      <c r="U15" s="543" t="s">
        <v>376</v>
      </c>
      <c r="AA15" s="22">
        <f t="shared" si="0"/>
        <v>1397.95</v>
      </c>
      <c r="AB15" s="22">
        <f t="shared" si="1"/>
        <v>550.53</v>
      </c>
      <c r="AC15" s="22">
        <f t="shared" si="2"/>
        <v>307.29000000000002</v>
      </c>
      <c r="AD15" s="22">
        <f t="shared" si="3"/>
        <v>19.29</v>
      </c>
    </row>
    <row r="16" spans="1:30" s="22" customFormat="1" ht="15.75">
      <c r="A16" s="614" t="s">
        <v>371</v>
      </c>
      <c r="B16" s="621" t="s">
        <v>409</v>
      </c>
      <c r="C16" s="621" t="s">
        <v>410</v>
      </c>
      <c r="D16" s="621" t="s">
        <v>411</v>
      </c>
      <c r="E16" s="622" t="s">
        <v>375</v>
      </c>
      <c r="F16" s="623">
        <v>32780</v>
      </c>
      <c r="G16" s="540"/>
      <c r="H16" s="541">
        <v>23302.059860833142</v>
      </c>
      <c r="I16" s="548">
        <v>2861.0011526168228</v>
      </c>
      <c r="J16" s="548">
        <v>3345.4957721117921</v>
      </c>
      <c r="K16" s="541">
        <v>3553.1363233239217</v>
      </c>
      <c r="L16" s="542">
        <v>210.40909189495804</v>
      </c>
      <c r="M16" s="619"/>
      <c r="N16" s="542">
        <v>19441.685779237181</v>
      </c>
      <c r="O16" s="542">
        <v>367.14725940894164</v>
      </c>
      <c r="P16" s="619"/>
      <c r="Q16" s="542">
        <v>10851.605455923213</v>
      </c>
      <c r="R16" s="619"/>
      <c r="S16" s="542">
        <v>63932.540695349977</v>
      </c>
      <c r="T16" s="620"/>
      <c r="U16" s="543" t="s">
        <v>376</v>
      </c>
      <c r="AA16" s="22">
        <f t="shared" si="0"/>
        <v>2755.14</v>
      </c>
      <c r="AB16" s="22">
        <f t="shared" si="1"/>
        <v>1620.14</v>
      </c>
      <c r="AC16" s="22">
        <f t="shared" si="2"/>
        <v>904.3</v>
      </c>
      <c r="AD16" s="22">
        <f t="shared" si="3"/>
        <v>48.13</v>
      </c>
    </row>
    <row r="17" spans="1:30" s="22" customFormat="1" ht="15.75">
      <c r="A17" s="625" t="s">
        <v>371</v>
      </c>
      <c r="B17" s="616" t="s">
        <v>92</v>
      </c>
      <c r="C17" s="616" t="s">
        <v>412</v>
      </c>
      <c r="D17" s="616" t="s">
        <v>413</v>
      </c>
      <c r="E17" s="617" t="s">
        <v>375</v>
      </c>
      <c r="F17" s="618">
        <v>34974</v>
      </c>
      <c r="G17" s="540"/>
      <c r="H17" s="541">
        <v>20520.727379533837</v>
      </c>
      <c r="I17" s="541">
        <v>2519.5122249283754</v>
      </c>
      <c r="J17" s="541">
        <v>2946.1775954099944</v>
      </c>
      <c r="K17" s="541">
        <v>3129.0341827592601</v>
      </c>
      <c r="L17" s="542">
        <v>185.29467518058891</v>
      </c>
      <c r="M17" s="619"/>
      <c r="N17" s="542">
        <v>19441.685779237181</v>
      </c>
      <c r="O17" s="542">
        <v>367.14725940894164</v>
      </c>
      <c r="P17" s="619"/>
      <c r="Q17" s="542">
        <v>10851.605455923213</v>
      </c>
      <c r="R17" s="619"/>
      <c r="S17" s="542">
        <v>59961.184552381397</v>
      </c>
      <c r="T17" s="620"/>
      <c r="U17" s="543" t="s">
        <v>376</v>
      </c>
      <c r="AA17" s="22">
        <f t="shared" si="0"/>
        <v>2426.29</v>
      </c>
      <c r="AB17" s="22">
        <f t="shared" si="1"/>
        <v>1620.14</v>
      </c>
      <c r="AC17" s="22">
        <f t="shared" si="2"/>
        <v>904.3</v>
      </c>
      <c r="AD17" s="22">
        <f t="shared" si="3"/>
        <v>46.04</v>
      </c>
    </row>
    <row r="18" spans="1:30" s="22" customFormat="1" ht="15.75">
      <c r="A18" s="614" t="s">
        <v>371</v>
      </c>
      <c r="B18" s="616" t="s">
        <v>414</v>
      </c>
      <c r="C18" s="616" t="s">
        <v>415</v>
      </c>
      <c r="D18" s="616" t="s">
        <v>416</v>
      </c>
      <c r="E18" s="617" t="s">
        <v>375</v>
      </c>
      <c r="F18" s="618">
        <v>32780</v>
      </c>
      <c r="G18" s="540"/>
      <c r="H18" s="541">
        <v>3360.5824004183028</v>
      </c>
      <c r="I18" s="541">
        <v>412.60859247989299</v>
      </c>
      <c r="J18" s="541">
        <v>482.48156083960697</v>
      </c>
      <c r="K18" s="541">
        <v>512.42711870805579</v>
      </c>
      <c r="L18" s="624">
        <v>30.344831973361508</v>
      </c>
      <c r="M18" s="619"/>
      <c r="N18" s="542">
        <v>5379.4955796918412</v>
      </c>
      <c r="O18" s="542">
        <v>101.58929022480424</v>
      </c>
      <c r="P18" s="619"/>
      <c r="Q18" s="542">
        <v>3002.6286941146755</v>
      </c>
      <c r="R18" s="619"/>
      <c r="S18" s="542">
        <v>13282.158068450542</v>
      </c>
      <c r="T18" s="620"/>
      <c r="U18" s="543" t="s">
        <v>417</v>
      </c>
      <c r="AA18" s="22">
        <f t="shared" si="0"/>
        <v>397.34</v>
      </c>
      <c r="AB18" s="22">
        <f t="shared" si="1"/>
        <v>448.29</v>
      </c>
      <c r="AC18" s="22">
        <f t="shared" si="2"/>
        <v>250.22</v>
      </c>
      <c r="AD18" s="22">
        <f t="shared" si="3"/>
        <v>10.99</v>
      </c>
    </row>
    <row r="19" spans="1:30" s="22" customFormat="1" ht="15.75">
      <c r="A19" s="625" t="s">
        <v>371</v>
      </c>
      <c r="B19" s="616" t="s">
        <v>418</v>
      </c>
      <c r="C19" s="616" t="s">
        <v>419</v>
      </c>
      <c r="D19" s="616" t="s">
        <v>420</v>
      </c>
      <c r="E19" s="617" t="s">
        <v>375</v>
      </c>
      <c r="F19" s="618">
        <v>32725</v>
      </c>
      <c r="G19" s="540"/>
      <c r="H19" s="541">
        <v>32469.274625979037</v>
      </c>
      <c r="I19" s="541">
        <v>3986.541648435918</v>
      </c>
      <c r="J19" s="541">
        <v>4661.6402856011618</v>
      </c>
      <c r="K19" s="541">
        <v>4950.9682729576944</v>
      </c>
      <c r="L19" s="542">
        <v>293.18569385461996</v>
      </c>
      <c r="M19" s="619"/>
      <c r="N19" s="542">
        <v>16515.995200808284</v>
      </c>
      <c r="O19" s="542">
        <v>311.89694367264462</v>
      </c>
      <c r="P19" s="619"/>
      <c r="Q19" s="542">
        <v>9218.5968678959343</v>
      </c>
      <c r="R19" s="619"/>
      <c r="S19" s="542">
        <v>72408.099539205301</v>
      </c>
      <c r="T19" s="620"/>
      <c r="U19" s="543" t="s">
        <v>376</v>
      </c>
      <c r="AA19" s="22">
        <f t="shared" si="0"/>
        <v>3839.04</v>
      </c>
      <c r="AB19" s="22">
        <f t="shared" si="1"/>
        <v>1376.33</v>
      </c>
      <c r="AC19" s="22">
        <f t="shared" si="2"/>
        <v>768.22</v>
      </c>
      <c r="AD19" s="22">
        <f t="shared" si="3"/>
        <v>50.42</v>
      </c>
    </row>
    <row r="20" spans="1:30" s="22" customFormat="1" ht="15.75">
      <c r="A20" s="614" t="s">
        <v>371</v>
      </c>
      <c r="B20" s="616" t="s">
        <v>421</v>
      </c>
      <c r="C20" s="616" t="s">
        <v>422</v>
      </c>
      <c r="D20" s="616" t="s">
        <v>423</v>
      </c>
      <c r="E20" s="617" t="s">
        <v>375</v>
      </c>
      <c r="F20" s="618">
        <v>32937</v>
      </c>
      <c r="G20" s="540"/>
      <c r="H20" s="541">
        <v>20433.9164630382</v>
      </c>
      <c r="I20" s="541">
        <v>2508.8536765581007</v>
      </c>
      <c r="J20" s="541">
        <v>2933.7140812037906</v>
      </c>
      <c r="K20" s="541">
        <v>3115.79711176623</v>
      </c>
      <c r="L20" s="542">
        <v>184.51080430327147</v>
      </c>
      <c r="M20" s="619"/>
      <c r="N20" s="542">
        <v>10664.614043950492</v>
      </c>
      <c r="O20" s="542">
        <v>201.39631220005052</v>
      </c>
      <c r="P20" s="619"/>
      <c r="Q20" s="542">
        <v>5952.5796918413744</v>
      </c>
      <c r="R20" s="619"/>
      <c r="S20" s="542">
        <v>45995.382184861512</v>
      </c>
      <c r="T20" s="620"/>
      <c r="U20" s="543" t="s">
        <v>376</v>
      </c>
      <c r="AA20" s="22">
        <f t="shared" si="0"/>
        <v>2416.02</v>
      </c>
      <c r="AB20" s="22">
        <f t="shared" si="1"/>
        <v>888.72</v>
      </c>
      <c r="AC20" s="22">
        <f t="shared" si="2"/>
        <v>496.05</v>
      </c>
      <c r="AD20" s="22">
        <f t="shared" si="3"/>
        <v>32.159999999999997</v>
      </c>
    </row>
    <row r="21" spans="1:30" s="22" customFormat="1" ht="15.75">
      <c r="A21" s="625" t="s">
        <v>371</v>
      </c>
      <c r="B21" s="616" t="s">
        <v>424</v>
      </c>
      <c r="C21" s="616" t="s">
        <v>425</v>
      </c>
      <c r="D21" s="616" t="s">
        <v>379</v>
      </c>
      <c r="E21" s="617" t="s">
        <v>375</v>
      </c>
      <c r="F21" s="618">
        <v>33142</v>
      </c>
      <c r="G21" s="540"/>
      <c r="H21" s="549">
        <v>15151.422648096614</v>
      </c>
      <c r="I21" s="549">
        <v>1860.2749250013803</v>
      </c>
      <c r="J21" s="549">
        <v>2175.3021283704547</v>
      </c>
      <c r="K21" s="549">
        <v>2310.3137869572006</v>
      </c>
      <c r="L21" s="624">
        <v>136.81181403456944</v>
      </c>
      <c r="M21" s="619"/>
      <c r="N21" s="550">
        <v>6983.9065420560746</v>
      </c>
      <c r="O21" s="550">
        <v>131.88785046728972</v>
      </c>
      <c r="P21" s="619"/>
      <c r="Q21" s="550">
        <v>3898.1495327102803</v>
      </c>
      <c r="R21" s="619"/>
      <c r="S21" s="550">
        <v>32648.069227693864</v>
      </c>
      <c r="T21" s="620"/>
      <c r="U21" s="543" t="s">
        <v>376</v>
      </c>
      <c r="AA21" s="22">
        <f t="shared" si="0"/>
        <v>1791.44</v>
      </c>
      <c r="AB21" s="22">
        <f t="shared" si="1"/>
        <v>581.99</v>
      </c>
      <c r="AC21" s="22">
        <f t="shared" si="2"/>
        <v>324.85000000000002</v>
      </c>
      <c r="AD21" s="22">
        <f t="shared" si="3"/>
        <v>22.39</v>
      </c>
    </row>
    <row r="22" spans="1:30" s="22" customFormat="1" ht="15.75">
      <c r="A22" s="625" t="s">
        <v>371</v>
      </c>
      <c r="B22" s="616" t="s">
        <v>426</v>
      </c>
      <c r="C22" s="616" t="s">
        <v>427</v>
      </c>
      <c r="D22" s="616" t="s">
        <v>428</v>
      </c>
      <c r="E22" s="617" t="s">
        <v>375</v>
      </c>
      <c r="F22" s="618">
        <v>33056</v>
      </c>
      <c r="G22" s="551"/>
      <c r="H22" s="541">
        <v>24249.442917020402</v>
      </c>
      <c r="I22" s="541">
        <v>2977.3197970589495</v>
      </c>
      <c r="J22" s="541">
        <v>3481.5123315049887</v>
      </c>
      <c r="K22" s="541">
        <v>3697.5948462675765</v>
      </c>
      <c r="L22" s="542">
        <v>218.96361495942264</v>
      </c>
      <c r="M22" s="552"/>
      <c r="N22" s="542">
        <v>15289.092700176814</v>
      </c>
      <c r="O22" s="542">
        <v>288.72745642839101</v>
      </c>
      <c r="P22" s="552"/>
      <c r="Q22" s="542">
        <v>8533.7868148522357</v>
      </c>
      <c r="R22" s="552"/>
      <c r="S22" s="542">
        <v>58736.440478268778</v>
      </c>
      <c r="T22" s="91"/>
      <c r="U22" s="543" t="s">
        <v>376</v>
      </c>
      <c r="AA22" s="22">
        <f t="shared" si="0"/>
        <v>2867.16</v>
      </c>
      <c r="AB22" s="22">
        <f t="shared" si="1"/>
        <v>1274.0899999999999</v>
      </c>
      <c r="AC22" s="22">
        <f t="shared" si="2"/>
        <v>711.15</v>
      </c>
      <c r="AD22" s="22">
        <f t="shared" si="3"/>
        <v>42.31</v>
      </c>
    </row>
    <row r="23" spans="1:30" s="22" customFormat="1" ht="15.75">
      <c r="A23" s="626" t="s">
        <v>371</v>
      </c>
      <c r="B23" s="616" t="s">
        <v>429</v>
      </c>
      <c r="C23" s="616" t="s">
        <v>430</v>
      </c>
      <c r="D23" s="616" t="s">
        <v>431</v>
      </c>
      <c r="E23" s="617" t="s">
        <v>432</v>
      </c>
      <c r="F23" s="618">
        <v>28512</v>
      </c>
      <c r="G23" s="553"/>
      <c r="H23" s="541">
        <v>24336.934467935702</v>
      </c>
      <c r="I23" s="541">
        <v>2988.0619129709266</v>
      </c>
      <c r="J23" s="541">
        <v>3494.0735649509047</v>
      </c>
      <c r="K23" s="541">
        <v>3710.9357015137525</v>
      </c>
      <c r="L23" s="542">
        <v>219.75363171701889</v>
      </c>
      <c r="M23" s="627"/>
      <c r="N23" s="542">
        <v>19441.685779237181</v>
      </c>
      <c r="O23" s="542">
        <v>367.14725940894164</v>
      </c>
      <c r="P23" s="627"/>
      <c r="Q23" s="542">
        <v>10851.605455923213</v>
      </c>
      <c r="R23" s="627"/>
      <c r="S23" s="542">
        <v>65410.197773657637</v>
      </c>
      <c r="T23" s="628"/>
      <c r="U23" s="543" t="s">
        <v>376</v>
      </c>
      <c r="AA23" s="22">
        <f t="shared" si="0"/>
        <v>2877.5</v>
      </c>
      <c r="AB23" s="22">
        <f t="shared" si="1"/>
        <v>1620.14</v>
      </c>
      <c r="AC23" s="22">
        <f t="shared" si="2"/>
        <v>904.3</v>
      </c>
      <c r="AD23" s="22">
        <f t="shared" si="3"/>
        <v>48.91</v>
      </c>
    </row>
    <row r="24" spans="1:30" s="22" customFormat="1" ht="15.75">
      <c r="A24" s="625" t="s">
        <v>371</v>
      </c>
      <c r="B24" s="621" t="s">
        <v>433</v>
      </c>
      <c r="C24" s="621" t="s">
        <v>434</v>
      </c>
      <c r="D24" s="621" t="s">
        <v>435</v>
      </c>
      <c r="E24" s="622" t="s">
        <v>375</v>
      </c>
      <c r="F24" s="623">
        <v>33761</v>
      </c>
      <c r="G24" s="553"/>
      <c r="H24" s="886">
        <v>10415.458253481884</v>
      </c>
      <c r="I24" s="886">
        <v>1278.7984515622411</v>
      </c>
      <c r="J24" s="886">
        <v>1495.3558509305396</v>
      </c>
      <c r="K24" s="886">
        <v>1588.1661649455248</v>
      </c>
      <c r="L24" s="624">
        <v>94.047784868518221</v>
      </c>
      <c r="M24" s="627"/>
      <c r="N24" s="624">
        <v>8588.3175044203072</v>
      </c>
      <c r="O24" s="624">
        <v>162.18641070977517</v>
      </c>
      <c r="P24" s="627"/>
      <c r="Q24" s="624">
        <v>4793.6703713058851</v>
      </c>
      <c r="R24" s="627"/>
      <c r="S24" s="624">
        <v>28416.000792224677</v>
      </c>
      <c r="T24" s="628"/>
      <c r="U24" s="543" t="s">
        <v>376</v>
      </c>
      <c r="AA24" s="22">
        <f t="shared" si="0"/>
        <v>1231.48</v>
      </c>
      <c r="AB24" s="22">
        <f t="shared" si="1"/>
        <v>715.69</v>
      </c>
      <c r="AC24" s="22">
        <f t="shared" si="2"/>
        <v>399.47</v>
      </c>
      <c r="AD24" s="22">
        <f t="shared" si="3"/>
        <v>21.35</v>
      </c>
    </row>
    <row r="25" spans="1:30" s="22" customFormat="1" ht="10.15" customHeight="1">
      <c r="A25" s="629"/>
      <c r="C25" s="554"/>
      <c r="D25" s="554"/>
      <c r="E25" s="555"/>
      <c r="F25" s="556"/>
      <c r="G25" s="557"/>
      <c r="H25" s="558"/>
      <c r="I25" s="558"/>
      <c r="J25" s="558"/>
      <c r="K25" s="558"/>
      <c r="L25" s="558"/>
      <c r="M25" s="559"/>
      <c r="N25" s="558"/>
      <c r="O25" s="558"/>
      <c r="P25" s="559"/>
      <c r="Q25" s="558"/>
      <c r="R25" s="559"/>
      <c r="S25" s="558"/>
      <c r="T25" s="560"/>
      <c r="U25" s="557"/>
    </row>
    <row r="26" spans="1:30" ht="15.75">
      <c r="A26" s="630" t="s">
        <v>436</v>
      </c>
      <c r="B26" s="561" t="s">
        <v>437</v>
      </c>
      <c r="C26" s="562" t="s">
        <v>438</v>
      </c>
      <c r="D26" s="139" t="s">
        <v>439</v>
      </c>
      <c r="E26" s="563" t="s">
        <v>375</v>
      </c>
      <c r="F26" s="564">
        <v>34429</v>
      </c>
      <c r="G26" s="565"/>
      <c r="H26" s="566">
        <v>1701.5860491477504</v>
      </c>
      <c r="I26" s="566">
        <v>208.91885425421617</v>
      </c>
      <c r="J26" s="566">
        <v>244.29809927990942</v>
      </c>
      <c r="K26" s="566">
        <v>259.46063286234937</v>
      </c>
      <c r="L26" s="567">
        <v>15.364700696872497</v>
      </c>
      <c r="M26" s="631"/>
      <c r="N26" s="599">
        <v>2359.4278858297548</v>
      </c>
      <c r="O26" s="567">
        <v>44.556706238949225</v>
      </c>
      <c r="P26" s="631"/>
      <c r="Q26" s="599">
        <v>1316.9424096994189</v>
      </c>
      <c r="R26" s="631"/>
      <c r="S26" s="567">
        <v>6150.5553380092206</v>
      </c>
      <c r="T26" s="632"/>
      <c r="U26" s="543" t="s">
        <v>440</v>
      </c>
      <c r="AA26" s="22">
        <f t="shared" si="0"/>
        <v>201.19</v>
      </c>
      <c r="AB26" s="22">
        <f t="shared" si="1"/>
        <v>196.62</v>
      </c>
      <c r="AC26" s="22">
        <f t="shared" si="2"/>
        <v>109.75</v>
      </c>
      <c r="AD26" s="22">
        <f t="shared" si="3"/>
        <v>4.99</v>
      </c>
    </row>
    <row r="27" spans="1:30" ht="16.149999999999999" thickBot="1">
      <c r="A27" s="633" t="s">
        <v>436</v>
      </c>
      <c r="B27" s="136" t="s">
        <v>441</v>
      </c>
      <c r="C27" s="137" t="s">
        <v>442</v>
      </c>
      <c r="D27" s="139" t="s">
        <v>439</v>
      </c>
      <c r="E27" s="138" t="s">
        <v>375</v>
      </c>
      <c r="F27" s="388">
        <v>34428</v>
      </c>
      <c r="G27" s="565"/>
      <c r="H27" s="566">
        <v>1538.6341616176012</v>
      </c>
      <c r="I27" s="566">
        <v>188.911801623283</v>
      </c>
      <c r="J27" s="566">
        <v>220.90296365475103</v>
      </c>
      <c r="K27" s="566">
        <v>234.61346166823733</v>
      </c>
      <c r="L27" s="567">
        <v>13.893304653666119</v>
      </c>
      <c r="M27" s="631"/>
      <c r="N27" s="599">
        <v>3208.8219247284669</v>
      </c>
      <c r="O27" s="567">
        <v>60.597120484970951</v>
      </c>
      <c r="P27" s="631"/>
      <c r="Q27" s="599">
        <v>1791.0416771912098</v>
      </c>
      <c r="R27" s="631"/>
      <c r="S27" s="567">
        <v>7257.4164156221868</v>
      </c>
      <c r="T27" s="632"/>
      <c r="U27" s="543" t="s">
        <v>440</v>
      </c>
      <c r="AA27" s="22">
        <f t="shared" si="0"/>
        <v>181.92</v>
      </c>
      <c r="AB27" s="22">
        <f t="shared" si="1"/>
        <v>267.39999999999998</v>
      </c>
      <c r="AC27" s="22">
        <f t="shared" si="2"/>
        <v>149.25</v>
      </c>
      <c r="AD27" s="22">
        <f t="shared" si="3"/>
        <v>6.21</v>
      </c>
    </row>
    <row r="28" spans="1:30" ht="16.149999999999999" thickBot="1">
      <c r="A28" s="634" t="s">
        <v>436</v>
      </c>
      <c r="B28" s="568" t="s">
        <v>443</v>
      </c>
      <c r="C28" s="569"/>
      <c r="D28" s="570"/>
      <c r="E28" s="569"/>
      <c r="F28" s="571"/>
      <c r="G28" s="572"/>
      <c r="H28" s="573"/>
      <c r="I28" s="574"/>
      <c r="J28" s="574"/>
      <c r="K28" s="574"/>
      <c r="L28" s="574"/>
      <c r="M28" s="575"/>
      <c r="N28" s="576"/>
      <c r="O28" s="574"/>
      <c r="P28" s="575"/>
      <c r="Q28" s="573"/>
      <c r="R28" s="575"/>
      <c r="S28" s="573"/>
      <c r="T28" s="577"/>
      <c r="U28" s="578">
        <f>S29/12</f>
        <v>867.30441652652883</v>
      </c>
      <c r="AA28" s="22">
        <f t="shared" si="0"/>
        <v>0</v>
      </c>
      <c r="AB28" s="22">
        <f t="shared" si="1"/>
        <v>0</v>
      </c>
      <c r="AC28" s="22">
        <f t="shared" si="2"/>
        <v>0</v>
      </c>
      <c r="AD28" s="22">
        <f t="shared" si="3"/>
        <v>0</v>
      </c>
    </row>
    <row r="29" spans="1:30" ht="15.75">
      <c r="A29" s="635"/>
      <c r="B29" s="579" t="s">
        <v>444</v>
      </c>
      <c r="C29" s="30" t="s">
        <v>445</v>
      </c>
      <c r="D29" s="31" t="s">
        <v>446</v>
      </c>
      <c r="E29" s="32" t="s">
        <v>375</v>
      </c>
      <c r="F29" s="376">
        <v>34689</v>
      </c>
      <c r="G29" s="565"/>
      <c r="H29" s="580">
        <v>2702.5190192346622</v>
      </c>
      <c r="I29" s="581">
        <v>331.81229793316686</v>
      </c>
      <c r="J29" s="580">
        <v>388.00286356220909</v>
      </c>
      <c r="K29" s="581">
        <v>412.08453454608429</v>
      </c>
      <c r="L29" s="581">
        <v>24.402759930326905</v>
      </c>
      <c r="M29" s="631"/>
      <c r="N29" s="581">
        <v>4152.5930790603688</v>
      </c>
      <c r="O29" s="581">
        <v>78.419802980550642</v>
      </c>
      <c r="P29" s="631"/>
      <c r="Q29" s="581">
        <v>2317.8186410709777</v>
      </c>
      <c r="R29" s="631"/>
      <c r="S29" s="581">
        <v>10407.652998318346</v>
      </c>
      <c r="T29" s="632"/>
      <c r="U29" s="543" t="s">
        <v>447</v>
      </c>
      <c r="AA29" s="22">
        <f t="shared" si="0"/>
        <v>319.52999999999997</v>
      </c>
      <c r="AB29" s="22">
        <f t="shared" si="1"/>
        <v>346.05</v>
      </c>
      <c r="AC29" s="22">
        <f t="shared" si="2"/>
        <v>193.15</v>
      </c>
      <c r="AD29" s="22">
        <f t="shared" si="3"/>
        <v>8.57</v>
      </c>
    </row>
    <row r="30" spans="1:30" ht="15.75">
      <c r="A30" s="635"/>
      <c r="B30" s="579" t="s">
        <v>448</v>
      </c>
      <c r="C30" s="30" t="s">
        <v>449</v>
      </c>
      <c r="D30" s="31" t="s">
        <v>450</v>
      </c>
      <c r="E30" s="32" t="s">
        <v>451</v>
      </c>
      <c r="F30" s="376">
        <v>32174</v>
      </c>
      <c r="G30" s="565"/>
      <c r="H30" s="636">
        <v>5224.870103853681</v>
      </c>
      <c r="I30" s="637">
        <v>641.50377600412264</v>
      </c>
      <c r="J30" s="636">
        <v>750.1388695536042</v>
      </c>
      <c r="K30" s="637">
        <v>796.69676678909639</v>
      </c>
      <c r="L30" s="637">
        <v>47.178669198632022</v>
      </c>
      <c r="M30" s="631"/>
      <c r="N30" s="637">
        <v>0</v>
      </c>
      <c r="O30" s="637">
        <v>0</v>
      </c>
      <c r="P30" s="631"/>
      <c r="Q30" s="637">
        <v>0</v>
      </c>
      <c r="R30" s="631"/>
      <c r="S30" s="637">
        <v>7460.3881853991361</v>
      </c>
      <c r="T30" s="632"/>
      <c r="U30" s="543" t="s">
        <v>447</v>
      </c>
      <c r="AA30" s="22">
        <f t="shared" si="0"/>
        <v>617.77</v>
      </c>
      <c r="AB30" s="22">
        <f t="shared" si="1"/>
        <v>0</v>
      </c>
      <c r="AC30" s="22">
        <f t="shared" si="2"/>
        <v>0</v>
      </c>
      <c r="AD30" s="22">
        <f t="shared" si="3"/>
        <v>3.93</v>
      </c>
    </row>
    <row r="31" spans="1:30" ht="15.75">
      <c r="A31" s="635"/>
      <c r="B31" s="579" t="s">
        <v>452</v>
      </c>
      <c r="C31" s="30" t="s">
        <v>453</v>
      </c>
      <c r="D31" s="31" t="s">
        <v>450</v>
      </c>
      <c r="E31" s="32" t="s">
        <v>451</v>
      </c>
      <c r="F31" s="376">
        <v>32174</v>
      </c>
      <c r="G31" s="565"/>
      <c r="H31" s="636">
        <v>1751.6326976520961</v>
      </c>
      <c r="I31" s="637">
        <v>215.06352643816371</v>
      </c>
      <c r="J31" s="636">
        <v>251.48333749402443</v>
      </c>
      <c r="K31" s="637">
        <v>267.09182794653611</v>
      </c>
      <c r="L31" s="637">
        <v>15.816603658545217</v>
      </c>
      <c r="M31" s="631"/>
      <c r="N31" s="637">
        <v>5757.0040414246023</v>
      </c>
      <c r="O31" s="637">
        <v>108.71836322303612</v>
      </c>
      <c r="P31" s="631"/>
      <c r="Q31" s="637">
        <v>3213.3394796665825</v>
      </c>
      <c r="R31" s="631"/>
      <c r="S31" s="637">
        <v>11580.149877503587</v>
      </c>
      <c r="T31" s="632"/>
      <c r="U31" s="543" t="s">
        <v>447</v>
      </c>
      <c r="AA31" s="22">
        <f t="shared" si="0"/>
        <v>207.11</v>
      </c>
      <c r="AB31" s="22">
        <f t="shared" si="1"/>
        <v>479.75</v>
      </c>
      <c r="AC31" s="22">
        <f t="shared" si="2"/>
        <v>267.77999999999997</v>
      </c>
      <c r="AD31" s="22">
        <f t="shared" si="3"/>
        <v>10.38</v>
      </c>
    </row>
    <row r="32" spans="1:30" ht="15.75">
      <c r="A32" s="635"/>
      <c r="B32" s="579" t="s">
        <v>452</v>
      </c>
      <c r="C32" s="30" t="s">
        <v>454</v>
      </c>
      <c r="D32" s="31" t="s">
        <v>450</v>
      </c>
      <c r="E32" s="32" t="s">
        <v>451</v>
      </c>
      <c r="F32" s="376">
        <v>32174</v>
      </c>
      <c r="G32" s="565"/>
      <c r="H32" s="636">
        <v>500.46648504345603</v>
      </c>
      <c r="I32" s="637">
        <v>61.446721839475352</v>
      </c>
      <c r="J32" s="636">
        <v>71.852382141149832</v>
      </c>
      <c r="K32" s="637">
        <v>76.311950841867471</v>
      </c>
      <c r="L32" s="637">
        <v>4.519029616727205</v>
      </c>
      <c r="M32" s="631"/>
      <c r="N32" s="637">
        <v>0</v>
      </c>
      <c r="O32" s="637">
        <v>0</v>
      </c>
      <c r="P32" s="631"/>
      <c r="Q32" s="637">
        <v>0</v>
      </c>
      <c r="R32" s="631"/>
      <c r="S32" s="637">
        <v>714.59656948267582</v>
      </c>
      <c r="T32" s="632"/>
      <c r="U32" s="543" t="s">
        <v>447</v>
      </c>
      <c r="AA32" s="22">
        <f t="shared" si="0"/>
        <v>59.17</v>
      </c>
      <c r="AB32" s="22">
        <f t="shared" si="1"/>
        <v>0</v>
      </c>
      <c r="AC32" s="22">
        <f t="shared" si="2"/>
        <v>0</v>
      </c>
      <c r="AD32" s="22">
        <f t="shared" si="3"/>
        <v>0.38</v>
      </c>
    </row>
    <row r="33" spans="1:30" ht="15.75">
      <c r="A33" s="635"/>
      <c r="B33" s="579" t="s">
        <v>455</v>
      </c>
      <c r="C33" s="30" t="s">
        <v>456</v>
      </c>
      <c r="D33" s="31" t="s">
        <v>450</v>
      </c>
      <c r="E33" s="32" t="s">
        <v>451</v>
      </c>
      <c r="F33" s="376">
        <v>32174</v>
      </c>
      <c r="G33" s="565"/>
      <c r="H33" s="636">
        <v>3131.9292727316483</v>
      </c>
      <c r="I33" s="637">
        <v>384.53481420587349</v>
      </c>
      <c r="J33" s="636">
        <v>449.65364448695846</v>
      </c>
      <c r="K33" s="637">
        <v>477.56171460742343</v>
      </c>
      <c r="L33" s="637">
        <v>28.280177722071183</v>
      </c>
      <c r="M33" s="631"/>
      <c r="N33" s="637">
        <v>0</v>
      </c>
      <c r="O33" s="637">
        <v>0</v>
      </c>
      <c r="P33" s="631"/>
      <c r="Q33" s="637">
        <v>0</v>
      </c>
      <c r="R33" s="631"/>
      <c r="S33" s="637">
        <v>4471.9596237539745</v>
      </c>
      <c r="T33" s="632"/>
      <c r="U33" s="582" t="s">
        <v>457</v>
      </c>
      <c r="AA33" s="22">
        <f t="shared" si="0"/>
        <v>370.31</v>
      </c>
      <c r="AB33" s="22">
        <f t="shared" si="1"/>
        <v>0</v>
      </c>
      <c r="AC33" s="22">
        <f t="shared" si="2"/>
        <v>0</v>
      </c>
      <c r="AD33" s="22">
        <f t="shared" si="3"/>
        <v>2.36</v>
      </c>
    </row>
    <row r="34" spans="1:30" ht="15.75">
      <c r="A34" s="635"/>
      <c r="B34" s="579" t="s">
        <v>458</v>
      </c>
      <c r="C34" s="30" t="s">
        <v>459</v>
      </c>
      <c r="D34" s="31" t="s">
        <v>460</v>
      </c>
      <c r="E34" s="32" t="s">
        <v>375</v>
      </c>
      <c r="F34" s="376">
        <v>32244</v>
      </c>
      <c r="G34" s="565"/>
      <c r="H34" s="636">
        <v>2674.3627747861178</v>
      </c>
      <c r="I34" s="637">
        <v>328.35530536247802</v>
      </c>
      <c r="J34" s="636">
        <v>383.96044854294803</v>
      </c>
      <c r="K34" s="637">
        <v>407.79122419172091</v>
      </c>
      <c r="L34" s="637">
        <v>24.148519324089836</v>
      </c>
      <c r="M34" s="631"/>
      <c r="N34" s="637">
        <v>3397.5761555948475</v>
      </c>
      <c r="O34" s="637">
        <v>64.161656984086889</v>
      </c>
      <c r="P34" s="631"/>
      <c r="Q34" s="637">
        <v>1896.3970699671636</v>
      </c>
      <c r="R34" s="631"/>
      <c r="S34" s="637">
        <v>9176.7531547534527</v>
      </c>
      <c r="T34" s="632"/>
      <c r="U34" s="582" t="s">
        <v>457</v>
      </c>
      <c r="AA34" s="22">
        <f t="shared" si="0"/>
        <v>316.20999999999998</v>
      </c>
      <c r="AB34" s="22">
        <f t="shared" si="1"/>
        <v>283.13</v>
      </c>
      <c r="AC34" s="22">
        <f t="shared" si="2"/>
        <v>158.03</v>
      </c>
      <c r="AD34" s="22">
        <f t="shared" si="3"/>
        <v>7.36</v>
      </c>
    </row>
    <row r="35" spans="1:30" ht="15.75">
      <c r="A35" s="638"/>
      <c r="B35" s="579" t="s">
        <v>461</v>
      </c>
      <c r="C35" s="30" t="s">
        <v>462</v>
      </c>
      <c r="D35" s="31" t="s">
        <v>463</v>
      </c>
      <c r="E35" s="32" t="s">
        <v>375</v>
      </c>
      <c r="F35" s="376">
        <v>33853</v>
      </c>
      <c r="G35" s="583"/>
      <c r="H35" s="636">
        <v>2402.2391282085891</v>
      </c>
      <c r="I35" s="639">
        <v>294.94426482948171</v>
      </c>
      <c r="J35" s="636">
        <v>344.89143427751924</v>
      </c>
      <c r="K35" s="639">
        <v>366.29736404096388</v>
      </c>
      <c r="L35" s="639">
        <v>21.691342160290585</v>
      </c>
      <c r="M35" s="640"/>
      <c r="N35" s="639">
        <v>4341.3473099267494</v>
      </c>
      <c r="O35" s="639">
        <v>81.984339479666573</v>
      </c>
      <c r="P35" s="640"/>
      <c r="Q35" s="639">
        <v>2423.1740338469308</v>
      </c>
      <c r="R35" s="640"/>
      <c r="S35" s="639">
        <v>10276.569216770193</v>
      </c>
      <c r="T35" s="641"/>
      <c r="U35" s="582" t="s">
        <v>457</v>
      </c>
      <c r="AA35" s="22">
        <f t="shared" si="0"/>
        <v>284.02999999999997</v>
      </c>
      <c r="AB35" s="22">
        <f t="shared" si="1"/>
        <v>361.78</v>
      </c>
      <c r="AC35" s="22">
        <f t="shared" si="2"/>
        <v>201.93</v>
      </c>
      <c r="AD35" s="22">
        <f t="shared" si="3"/>
        <v>8.64</v>
      </c>
    </row>
    <row r="36" spans="1:30" ht="15.75">
      <c r="A36" s="635"/>
      <c r="B36" s="31" t="s">
        <v>464</v>
      </c>
      <c r="C36" s="30" t="s">
        <v>465</v>
      </c>
      <c r="D36" s="31" t="s">
        <v>466</v>
      </c>
      <c r="E36" s="32" t="s">
        <v>467</v>
      </c>
      <c r="F36" s="376">
        <v>36530</v>
      </c>
      <c r="G36" s="583"/>
      <c r="H36" s="636">
        <v>4904.5715534258688</v>
      </c>
      <c r="I36" s="639">
        <v>602.17787402685838</v>
      </c>
      <c r="J36" s="636">
        <v>704.15334498326831</v>
      </c>
      <c r="K36" s="639">
        <v>747.85711825030114</v>
      </c>
      <c r="L36" s="639">
        <v>44.286490243926607</v>
      </c>
      <c r="M36" s="640"/>
      <c r="N36" s="639">
        <v>4246.9701944935596</v>
      </c>
      <c r="O36" s="639">
        <v>80.202071230108615</v>
      </c>
      <c r="P36" s="640"/>
      <c r="Q36" s="639">
        <v>2370.4963374589543</v>
      </c>
      <c r="R36" s="640"/>
      <c r="S36" s="639">
        <v>13700.714984112845</v>
      </c>
      <c r="T36" s="641"/>
      <c r="U36" s="582" t="s">
        <v>457</v>
      </c>
      <c r="AA36" s="22">
        <f t="shared" si="0"/>
        <v>579.9</v>
      </c>
      <c r="AB36" s="22">
        <f t="shared" si="1"/>
        <v>353.91</v>
      </c>
      <c r="AC36" s="22">
        <f t="shared" si="2"/>
        <v>197.54</v>
      </c>
      <c r="AD36" s="22">
        <f t="shared" si="3"/>
        <v>10.37</v>
      </c>
    </row>
    <row r="37" spans="1:30" ht="15.75">
      <c r="A37" s="635"/>
      <c r="B37" s="31" t="s">
        <v>464</v>
      </c>
      <c r="C37" s="30" t="s">
        <v>468</v>
      </c>
      <c r="D37" s="31" t="s">
        <v>466</v>
      </c>
      <c r="E37" s="32" t="s">
        <v>467</v>
      </c>
      <c r="F37" s="376">
        <v>36530</v>
      </c>
      <c r="G37" s="583"/>
      <c r="H37" s="636">
        <v>700.65307906083842</v>
      </c>
      <c r="I37" s="639">
        <v>86.025410575265482</v>
      </c>
      <c r="J37" s="636">
        <v>100.59333499760976</v>
      </c>
      <c r="K37" s="639">
        <v>106.83673117861444</v>
      </c>
      <c r="L37" s="639">
        <v>6.3266414634180865</v>
      </c>
      <c r="M37" s="640"/>
      <c r="N37" s="639">
        <v>0</v>
      </c>
      <c r="O37" s="639">
        <v>0</v>
      </c>
      <c r="P37" s="640"/>
      <c r="Q37" s="639">
        <v>0</v>
      </c>
      <c r="R37" s="640"/>
      <c r="S37" s="639">
        <v>1000.4351972757462</v>
      </c>
      <c r="T37" s="641"/>
      <c r="U37" s="582" t="s">
        <v>457</v>
      </c>
      <c r="AA37" s="22">
        <f t="shared" si="0"/>
        <v>82.84</v>
      </c>
      <c r="AB37" s="22">
        <f t="shared" si="1"/>
        <v>0</v>
      </c>
      <c r="AC37" s="22">
        <f t="shared" si="2"/>
        <v>0</v>
      </c>
      <c r="AD37" s="22">
        <f t="shared" si="3"/>
        <v>0.53</v>
      </c>
    </row>
    <row r="38" spans="1:30" ht="15.75">
      <c r="A38" s="635"/>
      <c r="B38" s="31" t="s">
        <v>469</v>
      </c>
      <c r="C38" s="30" t="s">
        <v>470</v>
      </c>
      <c r="D38" s="31" t="s">
        <v>471</v>
      </c>
      <c r="E38" s="32" t="s">
        <v>375</v>
      </c>
      <c r="F38" s="376">
        <v>32401</v>
      </c>
      <c r="G38" s="583"/>
      <c r="H38" s="636">
        <v>3849.9085015046917</v>
      </c>
      <c r="I38" s="639">
        <v>472.68751029122166</v>
      </c>
      <c r="J38" s="636">
        <v>552.73450895429482</v>
      </c>
      <c r="K38" s="639">
        <v>587.04036552418336</v>
      </c>
      <c r="L38" s="639">
        <v>34.763267990820367</v>
      </c>
      <c r="M38" s="640"/>
      <c r="N38" s="639">
        <v>7172.6607729224552</v>
      </c>
      <c r="O38" s="639">
        <v>135.45238696640564</v>
      </c>
      <c r="P38" s="640"/>
      <c r="Q38" s="639">
        <v>4003.5049254862338</v>
      </c>
      <c r="R38" s="640"/>
      <c r="S38" s="639">
        <v>16808.752239640307</v>
      </c>
      <c r="T38" s="641"/>
      <c r="U38" s="582" t="s">
        <v>457</v>
      </c>
      <c r="AA38" s="22">
        <f t="shared" si="0"/>
        <v>455.2</v>
      </c>
      <c r="AB38" s="22">
        <f t="shared" si="1"/>
        <v>597.72</v>
      </c>
      <c r="AC38" s="22">
        <f t="shared" si="2"/>
        <v>333.63</v>
      </c>
      <c r="AD38" s="22">
        <f t="shared" si="3"/>
        <v>14.18</v>
      </c>
    </row>
    <row r="39" spans="1:30" ht="15.75">
      <c r="A39" s="635"/>
      <c r="B39" s="31" t="s">
        <v>472</v>
      </c>
      <c r="C39" s="30"/>
      <c r="D39" s="31"/>
      <c r="E39" s="32"/>
      <c r="F39" s="376"/>
      <c r="G39" s="583"/>
      <c r="H39" s="636">
        <v>1728.8814912420205</v>
      </c>
      <c r="I39" s="639">
        <v>212.27015846334115</v>
      </c>
      <c r="J39" s="636">
        <v>248.21692820188773</v>
      </c>
      <c r="K39" s="639">
        <v>263.62268666126482</v>
      </c>
      <c r="L39" s="639">
        <v>15.611168572168799</v>
      </c>
      <c r="M39" s="640"/>
      <c r="N39" s="639">
        <v>3208.8219247284669</v>
      </c>
      <c r="O39" s="639">
        <v>60.597120484970951</v>
      </c>
      <c r="P39" s="640"/>
      <c r="Q39" s="639">
        <v>1791.0416771912098</v>
      </c>
      <c r="R39" s="640"/>
      <c r="S39" s="639">
        <v>7529.0631555453301</v>
      </c>
      <c r="T39" s="641"/>
      <c r="U39" s="582" t="s">
        <v>457</v>
      </c>
      <c r="AA39" s="22">
        <f t="shared" si="0"/>
        <v>204.42</v>
      </c>
      <c r="AB39" s="22">
        <f t="shared" si="1"/>
        <v>267.39999999999998</v>
      </c>
      <c r="AC39" s="22">
        <f t="shared" si="2"/>
        <v>149.25</v>
      </c>
      <c r="AD39" s="22">
        <f t="shared" si="3"/>
        <v>6.35</v>
      </c>
    </row>
    <row r="40" spans="1:30" s="135" customFormat="1" ht="15.75">
      <c r="A40" s="642"/>
      <c r="B40" s="643" t="s">
        <v>473</v>
      </c>
      <c r="C40" s="644" t="s">
        <v>474</v>
      </c>
      <c r="D40" s="643" t="s">
        <v>475</v>
      </c>
      <c r="E40" s="645" t="s">
        <v>375</v>
      </c>
      <c r="F40" s="646">
        <v>34667</v>
      </c>
      <c r="G40" s="584"/>
      <c r="H40" s="636">
        <v>0</v>
      </c>
      <c r="I40" s="647">
        <v>0</v>
      </c>
      <c r="J40" s="636">
        <v>0</v>
      </c>
      <c r="K40" s="647">
        <v>0</v>
      </c>
      <c r="L40" s="647">
        <v>0</v>
      </c>
      <c r="M40" s="648"/>
      <c r="N40" s="647">
        <v>3397.5761555948475</v>
      </c>
      <c r="O40" s="647">
        <v>64.161656984086889</v>
      </c>
      <c r="P40" s="648"/>
      <c r="Q40" s="647">
        <v>1896.3970699671636</v>
      </c>
      <c r="R40" s="648"/>
      <c r="S40" s="647">
        <v>5358.1348825460973</v>
      </c>
      <c r="T40" s="649"/>
      <c r="U40" s="582" t="s">
        <v>457</v>
      </c>
      <c r="AA40" s="22">
        <f t="shared" si="0"/>
        <v>0</v>
      </c>
      <c r="AB40" s="22">
        <f t="shared" si="1"/>
        <v>283.13</v>
      </c>
      <c r="AC40" s="22">
        <f t="shared" si="2"/>
        <v>158.03</v>
      </c>
      <c r="AD40" s="22">
        <f t="shared" si="3"/>
        <v>5.35</v>
      </c>
    </row>
    <row r="41" spans="1:30" ht="15.75">
      <c r="A41" s="630" t="s">
        <v>436</v>
      </c>
      <c r="B41" s="136" t="s">
        <v>476</v>
      </c>
      <c r="C41" s="137" t="s">
        <v>477</v>
      </c>
      <c r="D41" s="136" t="s">
        <v>478</v>
      </c>
      <c r="E41" s="138" t="s">
        <v>479</v>
      </c>
      <c r="F41" s="388">
        <v>1057</v>
      </c>
      <c r="G41" s="583"/>
      <c r="H41" s="566">
        <v>8806.6386720017908</v>
      </c>
      <c r="I41" s="566">
        <v>1081.2693616681902</v>
      </c>
      <c r="J41" s="566">
        <v>1264.3763092043137</v>
      </c>
      <c r="K41" s="566">
        <v>1342.8507152912241</v>
      </c>
      <c r="L41" s="567">
        <v>79.520731501402295</v>
      </c>
      <c r="M41" s="640"/>
      <c r="N41" s="567">
        <v>5757.0040414246023</v>
      </c>
      <c r="O41" s="567">
        <v>108.71836322303612</v>
      </c>
      <c r="P41" s="640"/>
      <c r="Q41" s="637">
        <v>3213.3394796665825</v>
      </c>
      <c r="R41" s="640"/>
      <c r="S41" s="567">
        <v>21653.717673981144</v>
      </c>
      <c r="T41" s="641"/>
      <c r="U41" s="543" t="s">
        <v>480</v>
      </c>
      <c r="AA41" s="22">
        <f t="shared" si="0"/>
        <v>1041.26</v>
      </c>
      <c r="AB41" s="22">
        <f t="shared" si="1"/>
        <v>479.75</v>
      </c>
      <c r="AC41" s="22">
        <f t="shared" si="2"/>
        <v>267.77999999999997</v>
      </c>
      <c r="AD41" s="22">
        <f t="shared" si="3"/>
        <v>15.69</v>
      </c>
    </row>
    <row r="42" spans="1:30" ht="15.75">
      <c r="A42" s="630" t="s">
        <v>436</v>
      </c>
      <c r="B42" s="139" t="s">
        <v>481</v>
      </c>
      <c r="C42" s="137" t="s">
        <v>482</v>
      </c>
      <c r="D42" s="136" t="s">
        <v>483</v>
      </c>
      <c r="E42" s="138" t="s">
        <v>479</v>
      </c>
      <c r="F42" s="388">
        <v>1501</v>
      </c>
      <c r="G42" s="585"/>
      <c r="H42" s="586">
        <v>3963.524402939257</v>
      </c>
      <c r="I42" s="586">
        <v>486.63714508321931</v>
      </c>
      <c r="J42" s="586">
        <v>569.04643674797865</v>
      </c>
      <c r="K42" s="586">
        <v>604.36470460430417</v>
      </c>
      <c r="L42" s="587">
        <v>35.789178094409777</v>
      </c>
      <c r="M42" s="588"/>
      <c r="N42" s="587">
        <v>5001.9871179590809</v>
      </c>
      <c r="O42" s="587">
        <v>94.460217226572368</v>
      </c>
      <c r="P42" s="588"/>
      <c r="Q42" s="587">
        <v>2791.9179085627684</v>
      </c>
      <c r="R42" s="588"/>
      <c r="S42" s="587">
        <v>13547.727111217591</v>
      </c>
      <c r="T42" s="589"/>
      <c r="U42" s="543" t="s">
        <v>480</v>
      </c>
      <c r="AA42" s="22">
        <f t="shared" si="0"/>
        <v>468.63</v>
      </c>
      <c r="AB42" s="22">
        <f t="shared" si="1"/>
        <v>416.83</v>
      </c>
      <c r="AC42" s="22">
        <f t="shared" si="2"/>
        <v>232.66</v>
      </c>
      <c r="AD42" s="22">
        <f t="shared" si="3"/>
        <v>10.85</v>
      </c>
    </row>
    <row r="43" spans="1:30" ht="15.75">
      <c r="A43" s="630" t="s">
        <v>436</v>
      </c>
      <c r="B43" s="136" t="s">
        <v>484</v>
      </c>
      <c r="C43" s="137" t="s">
        <v>485</v>
      </c>
      <c r="D43" s="136" t="s">
        <v>483</v>
      </c>
      <c r="E43" s="138" t="s">
        <v>479</v>
      </c>
      <c r="F43" s="388">
        <v>1501</v>
      </c>
      <c r="G43" s="583"/>
      <c r="H43" s="586">
        <v>7274.9109478777882</v>
      </c>
      <c r="I43" s="586">
        <v>893.20552480629181</v>
      </c>
      <c r="J43" s="586">
        <v>1044.4649084231105</v>
      </c>
      <c r="K43" s="586">
        <v>1109.2903585446045</v>
      </c>
      <c r="L43" s="587">
        <v>65.689789456447002</v>
      </c>
      <c r="M43" s="640"/>
      <c r="N43" s="587">
        <v>3586.3303864612276</v>
      </c>
      <c r="O43" s="587">
        <v>67.72619348320282</v>
      </c>
      <c r="P43" s="640"/>
      <c r="Q43" s="587">
        <v>2001.7524627431169</v>
      </c>
      <c r="R43" s="640"/>
      <c r="S43" s="587">
        <v>16043.370571795787</v>
      </c>
      <c r="T43" s="641"/>
      <c r="U43" s="543" t="s">
        <v>480</v>
      </c>
      <c r="AA43" s="22">
        <f t="shared" si="0"/>
        <v>860.16</v>
      </c>
      <c r="AB43" s="22">
        <f t="shared" si="1"/>
        <v>298.86</v>
      </c>
      <c r="AC43" s="22">
        <f t="shared" si="2"/>
        <v>166.81</v>
      </c>
      <c r="AD43" s="22">
        <f t="shared" si="3"/>
        <v>11.12</v>
      </c>
    </row>
    <row r="44" spans="1:30" ht="15.75">
      <c r="A44" s="650" t="s">
        <v>436</v>
      </c>
      <c r="B44" s="139" t="s">
        <v>486</v>
      </c>
      <c r="C44" s="562" t="s">
        <v>487</v>
      </c>
      <c r="D44" s="139" t="s">
        <v>488</v>
      </c>
      <c r="E44" s="563" t="s">
        <v>375</v>
      </c>
      <c r="F44" s="564">
        <v>33493</v>
      </c>
      <c r="G44" s="565"/>
      <c r="H44" s="637">
        <v>9607.0147028723859</v>
      </c>
      <c r="I44" s="637">
        <v>1179.5386460371894</v>
      </c>
      <c r="J44" s="637">
        <v>1379.286949867369</v>
      </c>
      <c r="K44" s="637">
        <v>1464.8933657945888</v>
      </c>
      <c r="L44" s="637">
        <v>86.747834806249429</v>
      </c>
      <c r="M44" s="631"/>
      <c r="N44" s="637">
        <v>10664.614043950492</v>
      </c>
      <c r="O44" s="637">
        <v>201.39631220005052</v>
      </c>
      <c r="P44" s="631"/>
      <c r="Q44" s="637">
        <v>5952.5796918413744</v>
      </c>
      <c r="R44" s="631"/>
      <c r="S44" s="637">
        <v>30536.071547369698</v>
      </c>
      <c r="T44" s="632"/>
      <c r="U44" s="543" t="s">
        <v>480</v>
      </c>
      <c r="AA44" s="22">
        <f t="shared" si="0"/>
        <v>1135.8900000000001</v>
      </c>
      <c r="AB44" s="22">
        <f t="shared" si="1"/>
        <v>888.72</v>
      </c>
      <c r="AC44" s="22">
        <f t="shared" si="2"/>
        <v>496.05</v>
      </c>
      <c r="AD44" s="22">
        <f t="shared" si="3"/>
        <v>24.01</v>
      </c>
    </row>
    <row r="45" spans="1:30" ht="15.75">
      <c r="A45" s="651" t="s">
        <v>436</v>
      </c>
      <c r="B45" s="652" t="s">
        <v>489</v>
      </c>
      <c r="C45" s="172" t="s">
        <v>490</v>
      </c>
      <c r="D45" s="652" t="s">
        <v>491</v>
      </c>
      <c r="E45" s="173" t="s">
        <v>375</v>
      </c>
      <c r="F45" s="653">
        <v>33440</v>
      </c>
      <c r="G45" s="565"/>
      <c r="H45" s="637">
        <v>1730.8433198633909</v>
      </c>
      <c r="I45" s="637">
        <v>212.51102961295192</v>
      </c>
      <c r="J45" s="637">
        <v>248.49858953988104</v>
      </c>
      <c r="K45" s="637">
        <v>263.92182950856494</v>
      </c>
      <c r="L45" s="637">
        <v>15.62888316826637</v>
      </c>
      <c r="M45" s="631"/>
      <c r="N45" s="637">
        <v>1415.6567314978529</v>
      </c>
      <c r="O45" s="637">
        <v>26.734023743369537</v>
      </c>
      <c r="P45" s="631"/>
      <c r="Q45" s="637">
        <v>790.16544581965138</v>
      </c>
      <c r="R45" s="631"/>
      <c r="S45" s="637">
        <v>4703.9598527539292</v>
      </c>
      <c r="T45" s="632"/>
      <c r="U45" s="543" t="s">
        <v>480</v>
      </c>
      <c r="AA45" s="22">
        <f t="shared" si="0"/>
        <v>204.65</v>
      </c>
      <c r="AB45" s="22">
        <f t="shared" si="1"/>
        <v>117.97</v>
      </c>
      <c r="AC45" s="22">
        <f t="shared" si="2"/>
        <v>65.849999999999994</v>
      </c>
      <c r="AD45" s="22">
        <f t="shared" si="3"/>
        <v>3.53</v>
      </c>
    </row>
    <row r="46" spans="1:30" ht="15.75">
      <c r="A46" s="651" t="s">
        <v>436</v>
      </c>
      <c r="B46" s="652" t="s">
        <v>492</v>
      </c>
      <c r="C46" s="172" t="s">
        <v>493</v>
      </c>
      <c r="D46" s="652" t="s">
        <v>494</v>
      </c>
      <c r="E46" s="173" t="s">
        <v>375</v>
      </c>
      <c r="F46" s="653">
        <v>32168</v>
      </c>
      <c r="G46" s="565"/>
      <c r="H46" s="887">
        <v>2494.7253346446196</v>
      </c>
      <c r="I46" s="887">
        <v>306.29961902541675</v>
      </c>
      <c r="J46" s="887">
        <v>358.16975449720371</v>
      </c>
      <c r="K46" s="887">
        <v>380.39981255654101</v>
      </c>
      <c r="L46" s="637">
        <v>22.526458833461774</v>
      </c>
      <c r="M46" s="631"/>
      <c r="N46" s="637">
        <v>2265.050770396565</v>
      </c>
      <c r="O46" s="637">
        <v>42.774437989391259</v>
      </c>
      <c r="P46" s="631"/>
      <c r="Q46" s="637">
        <v>1264.2647133114424</v>
      </c>
      <c r="R46" s="631"/>
      <c r="S46" s="637">
        <v>7134.2109012546407</v>
      </c>
      <c r="T46" s="632"/>
      <c r="U46" s="543" t="s">
        <v>417</v>
      </c>
      <c r="AA46" s="22">
        <f t="shared" si="0"/>
        <v>294.97000000000003</v>
      </c>
      <c r="AB46" s="22">
        <f t="shared" si="1"/>
        <v>188.75</v>
      </c>
      <c r="AC46" s="22">
        <f t="shared" si="2"/>
        <v>105.36</v>
      </c>
      <c r="AD46" s="22">
        <f t="shared" si="3"/>
        <v>5.44</v>
      </c>
    </row>
    <row r="47" spans="1:30" ht="15.75">
      <c r="A47" s="651" t="s">
        <v>436</v>
      </c>
      <c r="B47" s="652" t="s">
        <v>495</v>
      </c>
      <c r="C47" s="172" t="s">
        <v>496</v>
      </c>
      <c r="D47" s="652" t="s">
        <v>491</v>
      </c>
      <c r="E47" s="173" t="s">
        <v>375</v>
      </c>
      <c r="F47" s="653">
        <v>33440</v>
      </c>
      <c r="G47" s="583"/>
      <c r="H47" s="888">
        <v>1229.1456872667279</v>
      </c>
      <c r="I47" s="888">
        <v>150.91314883775144</v>
      </c>
      <c r="J47" s="888">
        <v>176.46945053866398</v>
      </c>
      <c r="K47" s="888">
        <v>187.4221512676265</v>
      </c>
      <c r="L47" s="639">
        <v>11.098736738682016</v>
      </c>
      <c r="M47" s="640"/>
      <c r="N47" s="639">
        <v>1887.5423086638041</v>
      </c>
      <c r="O47" s="639">
        <v>35.645364991159383</v>
      </c>
      <c r="P47" s="640"/>
      <c r="Q47" s="639">
        <v>1053.5539277595353</v>
      </c>
      <c r="R47" s="640"/>
      <c r="S47" s="639">
        <v>4731.79077606395</v>
      </c>
      <c r="T47" s="641"/>
      <c r="U47" s="543" t="s">
        <v>480</v>
      </c>
      <c r="AA47" s="22">
        <f t="shared" si="0"/>
        <v>145.33000000000001</v>
      </c>
      <c r="AB47" s="22">
        <f t="shared" si="1"/>
        <v>157.30000000000001</v>
      </c>
      <c r="AC47" s="22">
        <f t="shared" si="2"/>
        <v>87.8</v>
      </c>
      <c r="AD47" s="22">
        <f t="shared" si="3"/>
        <v>3.9</v>
      </c>
    </row>
    <row r="48" spans="1:30" ht="15.75">
      <c r="A48" s="651" t="s">
        <v>436</v>
      </c>
      <c r="B48" s="652" t="s">
        <v>497</v>
      </c>
      <c r="C48" s="172" t="s">
        <v>498</v>
      </c>
      <c r="D48" s="652" t="s">
        <v>491</v>
      </c>
      <c r="E48" s="173" t="s">
        <v>375</v>
      </c>
      <c r="F48" s="653">
        <v>33440</v>
      </c>
      <c r="G48" s="583"/>
      <c r="H48" s="888">
        <v>2784.9958959698242</v>
      </c>
      <c r="I48" s="888">
        <v>341.93871769231242</v>
      </c>
      <c r="J48" s="888">
        <v>399.8441361390706</v>
      </c>
      <c r="K48" s="888">
        <v>424.66074404482407</v>
      </c>
      <c r="L48" s="639">
        <v>25.14749601116355</v>
      </c>
      <c r="M48" s="640"/>
      <c r="N48" s="639">
        <v>2265.050770396565</v>
      </c>
      <c r="O48" s="639">
        <v>42.774437989391259</v>
      </c>
      <c r="P48" s="640"/>
      <c r="Q48" s="639">
        <v>1264.2647133114424</v>
      </c>
      <c r="R48" s="640"/>
      <c r="S48" s="639">
        <v>7548.6769115545931</v>
      </c>
      <c r="T48" s="641"/>
      <c r="U48" s="543" t="s">
        <v>480</v>
      </c>
      <c r="AA48" s="22">
        <f t="shared" si="0"/>
        <v>329.29</v>
      </c>
      <c r="AB48" s="22">
        <f t="shared" si="1"/>
        <v>188.75</v>
      </c>
      <c r="AC48" s="22">
        <f t="shared" si="2"/>
        <v>105.36</v>
      </c>
      <c r="AD48" s="22">
        <f t="shared" si="3"/>
        <v>5.66</v>
      </c>
    </row>
    <row r="49" spans="1:30" ht="15.75">
      <c r="A49" s="651" t="s">
        <v>436</v>
      </c>
      <c r="B49" s="652" t="s">
        <v>499</v>
      </c>
      <c r="C49" s="172" t="s">
        <v>500</v>
      </c>
      <c r="D49" s="652" t="s">
        <v>501</v>
      </c>
      <c r="E49" s="173" t="s">
        <v>479</v>
      </c>
      <c r="F49" s="653">
        <v>2360</v>
      </c>
      <c r="G49" s="583"/>
      <c r="H49" s="888">
        <v>4103.8251773563397</v>
      </c>
      <c r="I49" s="888">
        <v>503.86311908369788</v>
      </c>
      <c r="J49" s="888">
        <v>589.1895335574286</v>
      </c>
      <c r="K49" s="888">
        <v>625.75799690331326</v>
      </c>
      <c r="L49" s="639">
        <v>37.056042857163085</v>
      </c>
      <c r="M49" s="640"/>
      <c r="N49" s="639">
        <v>4718.8557716595096</v>
      </c>
      <c r="O49" s="639">
        <v>89.11341247789845</v>
      </c>
      <c r="P49" s="640"/>
      <c r="Q49" s="639">
        <v>2633.8848193988379</v>
      </c>
      <c r="R49" s="640"/>
      <c r="S49" s="639">
        <v>13301.545873294188</v>
      </c>
      <c r="T49" s="641"/>
      <c r="U49" s="543" t="s">
        <v>502</v>
      </c>
      <c r="AA49" s="22">
        <f t="shared" si="0"/>
        <v>485.22</v>
      </c>
      <c r="AB49" s="22">
        <f t="shared" si="1"/>
        <v>393.24</v>
      </c>
      <c r="AC49" s="22">
        <f t="shared" si="2"/>
        <v>219.49</v>
      </c>
      <c r="AD49" s="22">
        <f t="shared" si="3"/>
        <v>10.51</v>
      </c>
    </row>
    <row r="50" spans="1:30" ht="15.75">
      <c r="A50" s="651" t="s">
        <v>436</v>
      </c>
      <c r="B50" s="654" t="s">
        <v>503</v>
      </c>
      <c r="C50" s="590" t="s">
        <v>504</v>
      </c>
      <c r="D50" s="529" t="s">
        <v>505</v>
      </c>
      <c r="E50" s="565" t="s">
        <v>506</v>
      </c>
      <c r="F50" s="655">
        <v>33040</v>
      </c>
      <c r="G50" s="591"/>
      <c r="H50" s="887">
        <v>38152.289403904317</v>
      </c>
      <c r="I50" s="887">
        <v>7907.2419054864022</v>
      </c>
      <c r="J50" s="887">
        <v>9246.289306690438</v>
      </c>
      <c r="K50" s="887">
        <v>9820.1667643493111</v>
      </c>
      <c r="L50" s="637">
        <v>581.52915709432443</v>
      </c>
      <c r="M50" s="656"/>
      <c r="N50" s="637">
        <v>0</v>
      </c>
      <c r="O50" s="637">
        <v>0</v>
      </c>
      <c r="P50" s="656"/>
      <c r="Q50" s="637">
        <v>0</v>
      </c>
      <c r="R50" s="656"/>
      <c r="S50" s="637">
        <v>65707.516537524789</v>
      </c>
      <c r="T50" s="657"/>
      <c r="U50" s="543" t="s">
        <v>440</v>
      </c>
      <c r="AA50" s="22">
        <f t="shared" si="0"/>
        <v>5427.17</v>
      </c>
      <c r="AB50" s="22">
        <f t="shared" si="1"/>
        <v>0</v>
      </c>
      <c r="AC50" s="22">
        <f t="shared" si="2"/>
        <v>0</v>
      </c>
      <c r="AD50" s="22">
        <f t="shared" si="3"/>
        <v>48.46</v>
      </c>
    </row>
    <row r="51" spans="1:30" s="22" customFormat="1" ht="10.15" customHeight="1">
      <c r="A51" s="629"/>
      <c r="C51" s="554"/>
      <c r="D51" s="554"/>
      <c r="E51" s="555"/>
      <c r="F51" s="556"/>
      <c r="G51" s="557"/>
      <c r="H51" s="558"/>
      <c r="I51" s="558"/>
      <c r="J51" s="558"/>
      <c r="K51" s="558"/>
      <c r="L51" s="558"/>
      <c r="M51" s="559"/>
      <c r="N51" s="558"/>
      <c r="O51" s="558"/>
      <c r="P51" s="559"/>
      <c r="Q51" s="558"/>
      <c r="R51" s="559"/>
      <c r="S51" s="558"/>
      <c r="T51" s="560"/>
      <c r="U51" s="557"/>
    </row>
    <row r="52" spans="1:30" s="185" customFormat="1" ht="15.75">
      <c r="A52" s="658" t="s">
        <v>507</v>
      </c>
      <c r="B52" s="180" t="s">
        <v>508</v>
      </c>
      <c r="C52" s="181" t="s">
        <v>509</v>
      </c>
      <c r="D52" s="180" t="s">
        <v>510</v>
      </c>
      <c r="E52" s="182" t="s">
        <v>511</v>
      </c>
      <c r="F52" s="393">
        <v>31520</v>
      </c>
      <c r="G52" s="591"/>
      <c r="H52" s="592">
        <v>11170.091647619511</v>
      </c>
      <c r="I52" s="592">
        <v>1371.4515055551124</v>
      </c>
      <c r="J52" s="592">
        <v>1603.6991838658939</v>
      </c>
      <c r="K52" s="592">
        <v>1703.2339031419431</v>
      </c>
      <c r="L52" s="593">
        <v>100.86184886639651</v>
      </c>
      <c r="M52" s="656"/>
      <c r="N52" s="593">
        <v>6134.5125031573625</v>
      </c>
      <c r="O52" s="593">
        <v>115.84743622126798</v>
      </c>
      <c r="P52" s="656"/>
      <c r="Q52" s="593">
        <v>3424.0502652184891</v>
      </c>
      <c r="R52" s="656"/>
      <c r="S52" s="593">
        <v>25623.748293645975</v>
      </c>
      <c r="T52" s="657"/>
      <c r="U52" s="543" t="s">
        <v>417</v>
      </c>
      <c r="AA52" s="22">
        <f t="shared" si="0"/>
        <v>1320.71</v>
      </c>
      <c r="AB52" s="22">
        <f t="shared" si="1"/>
        <v>511.21</v>
      </c>
      <c r="AC52" s="22">
        <f t="shared" si="2"/>
        <v>285.33999999999997</v>
      </c>
      <c r="AD52" s="22">
        <f t="shared" si="3"/>
        <v>18.059999999999999</v>
      </c>
    </row>
    <row r="53" spans="1:30" s="185" customFormat="1" ht="15.75">
      <c r="A53" s="659" t="s">
        <v>507</v>
      </c>
      <c r="B53" s="660" t="s">
        <v>512</v>
      </c>
      <c r="C53" s="304" t="s">
        <v>513</v>
      </c>
      <c r="D53" s="660" t="s">
        <v>510</v>
      </c>
      <c r="E53" s="305" t="s">
        <v>511</v>
      </c>
      <c r="F53" s="661">
        <v>31523</v>
      </c>
      <c r="G53" s="591"/>
      <c r="H53" s="592">
        <v>12464.508173865604</v>
      </c>
      <c r="I53" s="592">
        <v>1530.3785358551681</v>
      </c>
      <c r="J53" s="592">
        <v>1789.5396220834066</v>
      </c>
      <c r="K53" s="592">
        <v>1900.6086590383659</v>
      </c>
      <c r="L53" s="662">
        <v>112.54995744769208</v>
      </c>
      <c r="M53" s="656"/>
      <c r="N53" s="593">
        <v>11985.893660015156</v>
      </c>
      <c r="O53" s="593">
        <v>226.34806769386211</v>
      </c>
      <c r="P53" s="656"/>
      <c r="Q53" s="593">
        <v>6690.0674412730496</v>
      </c>
      <c r="R53" s="656"/>
      <c r="S53" s="593">
        <v>36699.894117272306</v>
      </c>
      <c r="T53" s="657"/>
      <c r="U53" s="543" t="s">
        <v>417</v>
      </c>
      <c r="AA53" s="22">
        <f t="shared" si="0"/>
        <v>1473.75</v>
      </c>
      <c r="AB53" s="22">
        <f t="shared" si="1"/>
        <v>998.82</v>
      </c>
      <c r="AC53" s="22">
        <f t="shared" si="2"/>
        <v>557.51</v>
      </c>
      <c r="AD53" s="22">
        <f t="shared" si="3"/>
        <v>28.24</v>
      </c>
    </row>
    <row r="54" spans="1:30" s="185" customFormat="1" ht="15.75">
      <c r="A54" s="663" t="s">
        <v>507</v>
      </c>
      <c r="B54" s="227" t="s">
        <v>514</v>
      </c>
      <c r="C54" s="226" t="s">
        <v>515</v>
      </c>
      <c r="D54" s="227" t="s">
        <v>510</v>
      </c>
      <c r="E54" s="228" t="s">
        <v>511</v>
      </c>
      <c r="F54" s="394">
        <v>31525</v>
      </c>
      <c r="G54" s="591"/>
      <c r="H54" s="592">
        <v>7240.7190776196185</v>
      </c>
      <c r="I54" s="592">
        <v>889.00748477021898</v>
      </c>
      <c r="J54" s="592">
        <v>1039.5559536752273</v>
      </c>
      <c r="K54" s="592">
        <v>1104.076726063088</v>
      </c>
      <c r="L54" s="593">
        <v>65.381049353032196</v>
      </c>
      <c r="M54" s="656"/>
      <c r="N54" s="593">
        <v>20385.456933569083</v>
      </c>
      <c r="O54" s="593">
        <v>384.96994190452131</v>
      </c>
      <c r="P54" s="656"/>
      <c r="Q54" s="593">
        <v>11378.38241980298</v>
      </c>
      <c r="R54" s="656"/>
      <c r="S54" s="593">
        <v>42487.54958675777</v>
      </c>
      <c r="T54" s="657"/>
      <c r="U54" s="543" t="s">
        <v>417</v>
      </c>
      <c r="AA54" s="22">
        <f t="shared" si="0"/>
        <v>856.11</v>
      </c>
      <c r="AB54" s="22">
        <f t="shared" si="1"/>
        <v>1698.79</v>
      </c>
      <c r="AC54" s="22">
        <f t="shared" si="2"/>
        <v>948.2</v>
      </c>
      <c r="AD54" s="22">
        <f t="shared" si="3"/>
        <v>37.53</v>
      </c>
    </row>
    <row r="55" spans="1:30" s="185" customFormat="1" ht="15.75">
      <c r="A55" s="658" t="s">
        <v>507</v>
      </c>
      <c r="B55" s="209" t="s">
        <v>516</v>
      </c>
      <c r="C55" s="181" t="s">
        <v>517</v>
      </c>
      <c r="D55" s="180" t="s">
        <v>518</v>
      </c>
      <c r="E55" s="182" t="s">
        <v>375</v>
      </c>
      <c r="F55" s="393">
        <v>32962</v>
      </c>
      <c r="G55" s="591"/>
      <c r="H55" s="592">
        <v>14958.562883420269</v>
      </c>
      <c r="I55" s="592">
        <v>1836.5958162733202</v>
      </c>
      <c r="J55" s="592">
        <v>2147.6130943885414</v>
      </c>
      <c r="K55" s="592">
        <v>2280.906213580779</v>
      </c>
      <c r="L55" s="593">
        <v>135.07036078146746</v>
      </c>
      <c r="M55" s="656"/>
      <c r="N55" s="593">
        <v>14345.32154584491</v>
      </c>
      <c r="O55" s="593">
        <v>270.90477393281128</v>
      </c>
      <c r="P55" s="656"/>
      <c r="Q55" s="593">
        <v>8007.0098509724676</v>
      </c>
      <c r="R55" s="656"/>
      <c r="S55" s="593">
        <v>24235</v>
      </c>
      <c r="T55" s="657"/>
      <c r="U55" s="543" t="s">
        <v>417</v>
      </c>
      <c r="AA55" s="22">
        <f t="shared" si="0"/>
        <v>1768.64</v>
      </c>
      <c r="AB55" s="22">
        <f t="shared" si="1"/>
        <v>1195.44</v>
      </c>
      <c r="AC55" s="22">
        <f t="shared" si="2"/>
        <v>667.25</v>
      </c>
      <c r="AD55" s="22">
        <f t="shared" si="3"/>
        <v>33.83</v>
      </c>
    </row>
    <row r="56" spans="1:30" s="185" customFormat="1" ht="15.75">
      <c r="A56" s="295"/>
      <c r="B56" s="193" t="s">
        <v>519</v>
      </c>
      <c r="C56" s="594" t="s">
        <v>520</v>
      </c>
      <c r="D56" s="194" t="s">
        <v>379</v>
      </c>
      <c r="E56" s="595" t="s">
        <v>375</v>
      </c>
      <c r="F56" s="596">
        <v>33170</v>
      </c>
      <c r="G56" s="591"/>
      <c r="H56" s="597"/>
      <c r="I56" s="597"/>
      <c r="J56" s="597"/>
      <c r="K56" s="597"/>
      <c r="L56" s="598"/>
      <c r="M56" s="656"/>
      <c r="N56" s="598"/>
      <c r="O56" s="598"/>
      <c r="P56" s="656"/>
      <c r="Q56" s="598"/>
      <c r="R56" s="656"/>
      <c r="S56" s="598">
        <v>19747</v>
      </c>
      <c r="T56" s="657"/>
      <c r="U56" s="543" t="s">
        <v>417</v>
      </c>
      <c r="AA56" s="22"/>
      <c r="AB56" s="22"/>
      <c r="AC56" s="22"/>
      <c r="AD56" s="22"/>
    </row>
    <row r="57" spans="1:30" s="185" customFormat="1" ht="15.75">
      <c r="A57" s="658" t="s">
        <v>507</v>
      </c>
      <c r="B57" s="209" t="s">
        <v>521</v>
      </c>
      <c r="C57" s="221" t="s">
        <v>522</v>
      </c>
      <c r="D57" s="222" t="s">
        <v>523</v>
      </c>
      <c r="E57" s="223" t="s">
        <v>375</v>
      </c>
      <c r="F57" s="397">
        <v>33811</v>
      </c>
      <c r="G57" s="591"/>
      <c r="H57" s="662">
        <v>4518.8019774246723</v>
      </c>
      <c r="I57" s="662">
        <v>554.813511898554</v>
      </c>
      <c r="J57" s="662">
        <v>648.76809178122721</v>
      </c>
      <c r="K57" s="662">
        <v>689.03434030237293</v>
      </c>
      <c r="L57" s="662">
        <v>40.80313183476094</v>
      </c>
      <c r="M57" s="656"/>
      <c r="N57" s="662">
        <v>4718.8557716595096</v>
      </c>
      <c r="O57" s="662">
        <v>89.11341247789845</v>
      </c>
      <c r="P57" s="656"/>
      <c r="Q57" s="662">
        <v>2633.8848193988379</v>
      </c>
      <c r="R57" s="656"/>
      <c r="S57" s="662">
        <v>13894.075056777834</v>
      </c>
      <c r="T57" s="657"/>
      <c r="U57" s="543" t="s">
        <v>417</v>
      </c>
      <c r="AA57" s="22">
        <f t="shared" si="0"/>
        <v>534.28</v>
      </c>
      <c r="AB57" s="22">
        <f t="shared" si="1"/>
        <v>393.24</v>
      </c>
      <c r="AC57" s="22">
        <f t="shared" si="2"/>
        <v>219.49</v>
      </c>
      <c r="AD57" s="22">
        <f t="shared" si="3"/>
        <v>10.83</v>
      </c>
    </row>
    <row r="58" spans="1:30" s="185" customFormat="1" ht="15.75">
      <c r="A58" s="658" t="s">
        <v>507</v>
      </c>
      <c r="B58" s="209" t="s">
        <v>524</v>
      </c>
      <c r="C58" s="221" t="s">
        <v>525</v>
      </c>
      <c r="D58" s="222" t="s">
        <v>483</v>
      </c>
      <c r="E58" s="223" t="s">
        <v>511</v>
      </c>
      <c r="F58" s="397">
        <v>30011</v>
      </c>
      <c r="G58" s="591"/>
      <c r="H58" s="664">
        <v>39286.298777360862</v>
      </c>
      <c r="I58" s="664">
        <v>4823.528338496837</v>
      </c>
      <c r="J58" s="664">
        <v>5640.3660125556898</v>
      </c>
      <c r="K58" s="664">
        <v>5990.4393014380594</v>
      </c>
      <c r="L58" s="664">
        <v>354.74093273413092</v>
      </c>
      <c r="M58" s="656"/>
      <c r="N58" s="664">
        <v>12457.779237181105</v>
      </c>
      <c r="O58" s="664">
        <v>235.25940894165191</v>
      </c>
      <c r="P58" s="656"/>
      <c r="Q58" s="664">
        <v>6953.4559232129322</v>
      </c>
      <c r="R58" s="656"/>
      <c r="S58" s="664">
        <v>75741.867931921268</v>
      </c>
      <c r="T58" s="657"/>
      <c r="U58" s="543" t="s">
        <v>417</v>
      </c>
      <c r="AA58" s="22">
        <f t="shared" si="0"/>
        <v>4645.05</v>
      </c>
      <c r="AB58" s="22">
        <f t="shared" si="1"/>
        <v>1038.1500000000001</v>
      </c>
      <c r="AC58" s="22">
        <f t="shared" si="2"/>
        <v>579.45000000000005</v>
      </c>
      <c r="AD58" s="22">
        <f t="shared" si="3"/>
        <v>49.17</v>
      </c>
    </row>
    <row r="59" spans="1:30" s="185" customFormat="1" ht="15.75">
      <c r="A59" s="659" t="s">
        <v>507</v>
      </c>
      <c r="B59" s="665" t="s">
        <v>526</v>
      </c>
      <c r="C59" s="304" t="s">
        <v>527</v>
      </c>
      <c r="D59" s="660" t="s">
        <v>528</v>
      </c>
      <c r="E59" s="305" t="s">
        <v>529</v>
      </c>
      <c r="F59" s="661">
        <v>29445</v>
      </c>
      <c r="G59" s="591"/>
      <c r="H59" s="662">
        <v>6246.0219199363482</v>
      </c>
      <c r="I59" s="662">
        <v>766.87966724538808</v>
      </c>
      <c r="J59" s="662">
        <v>896.74647007440637</v>
      </c>
      <c r="K59" s="662">
        <v>952.40367128684272</v>
      </c>
      <c r="L59" s="662">
        <v>56.399297228602208</v>
      </c>
      <c r="M59" s="656"/>
      <c r="N59" s="662">
        <v>8777.0717352866886</v>
      </c>
      <c r="O59" s="662">
        <v>165.75094720889112</v>
      </c>
      <c r="P59" s="656"/>
      <c r="Q59" s="662">
        <v>4899.025764081839</v>
      </c>
      <c r="R59" s="656"/>
      <c r="S59" s="662">
        <v>22760.299472349001</v>
      </c>
      <c r="T59" s="657"/>
      <c r="U59" s="543" t="s">
        <v>417</v>
      </c>
      <c r="AA59" s="22">
        <f t="shared" si="0"/>
        <v>738.5</v>
      </c>
      <c r="AB59" s="22">
        <f t="shared" si="1"/>
        <v>731.42</v>
      </c>
      <c r="AC59" s="22">
        <f t="shared" si="2"/>
        <v>408.25</v>
      </c>
      <c r="AD59" s="22">
        <f t="shared" si="3"/>
        <v>18.510000000000002</v>
      </c>
    </row>
    <row r="60" spans="1:30" s="185" customFormat="1" ht="15.75">
      <c r="A60" s="659" t="s">
        <v>530</v>
      </c>
      <c r="B60" s="666" t="s">
        <v>531</v>
      </c>
      <c r="C60" s="666" t="s">
        <v>532</v>
      </c>
      <c r="D60" s="666" t="s">
        <v>533</v>
      </c>
      <c r="E60" s="667" t="s">
        <v>529</v>
      </c>
      <c r="F60" s="668">
        <v>29486</v>
      </c>
      <c r="G60" s="591"/>
      <c r="H60" s="664">
        <v>6763.4642281524784</v>
      </c>
      <c r="I60" s="664">
        <v>830.41066188965851</v>
      </c>
      <c r="J60" s="664">
        <v>971.03608501778399</v>
      </c>
      <c r="K60" s="664">
        <v>1031.3041235012663</v>
      </c>
      <c r="L60" s="664">
        <v>61.071612329928804</v>
      </c>
      <c r="M60" s="656"/>
      <c r="N60" s="664">
        <v>8588.3175044203072</v>
      </c>
      <c r="O60" s="664">
        <v>162.18641070977517</v>
      </c>
      <c r="P60" s="656"/>
      <c r="Q60" s="664">
        <v>4793.6703713058851</v>
      </c>
      <c r="R60" s="656"/>
      <c r="S60" s="664">
        <v>23201.460997327082</v>
      </c>
      <c r="T60" s="657"/>
      <c r="U60" s="543" t="s">
        <v>417</v>
      </c>
      <c r="W60" s="233"/>
      <c r="AA60" s="22">
        <f t="shared" si="0"/>
        <v>799.68</v>
      </c>
      <c r="AB60" s="22">
        <f t="shared" si="1"/>
        <v>715.69</v>
      </c>
      <c r="AC60" s="22">
        <f t="shared" si="2"/>
        <v>399.47</v>
      </c>
      <c r="AD60" s="22">
        <f t="shared" si="3"/>
        <v>18.600000000000001</v>
      </c>
    </row>
    <row r="61" spans="1:30" s="234" customFormat="1" ht="15.75">
      <c r="A61" s="659" t="s">
        <v>530</v>
      </c>
      <c r="B61" s="666" t="s">
        <v>534</v>
      </c>
      <c r="C61" s="666" t="s">
        <v>535</v>
      </c>
      <c r="D61" s="666" t="s">
        <v>536</v>
      </c>
      <c r="E61" s="667" t="s">
        <v>529</v>
      </c>
      <c r="F61" s="668">
        <v>29170</v>
      </c>
      <c r="G61" s="591"/>
      <c r="H61" s="664">
        <v>6915.3057597146635</v>
      </c>
      <c r="I61" s="664">
        <v>849.05359729575537</v>
      </c>
      <c r="J61" s="664">
        <v>992.83609775940897</v>
      </c>
      <c r="K61" s="664">
        <v>1054.457169386689</v>
      </c>
      <c r="L61" s="664">
        <v>62.442685915643843</v>
      </c>
      <c r="M61" s="656"/>
      <c r="N61" s="664">
        <v>8493.9403889871191</v>
      </c>
      <c r="O61" s="664">
        <v>160.40414246021723</v>
      </c>
      <c r="P61" s="656"/>
      <c r="Q61" s="664">
        <v>4740.9926749179085</v>
      </c>
      <c r="R61" s="656"/>
      <c r="S61" s="664">
        <v>23269.43251643741</v>
      </c>
      <c r="T61" s="657"/>
      <c r="U61" s="543" t="s">
        <v>417</v>
      </c>
      <c r="V61" s="185"/>
      <c r="W61" s="233"/>
      <c r="AA61" s="22">
        <f t="shared" si="0"/>
        <v>817.64</v>
      </c>
      <c r="AB61" s="22">
        <f t="shared" si="1"/>
        <v>707.83</v>
      </c>
      <c r="AC61" s="22">
        <f t="shared" si="2"/>
        <v>395.08</v>
      </c>
      <c r="AD61" s="22">
        <f t="shared" si="3"/>
        <v>18.57</v>
      </c>
    </row>
    <row r="62" spans="1:30" s="235" customFormat="1" ht="15.75">
      <c r="A62" s="669" t="s">
        <v>530</v>
      </c>
      <c r="B62" s="670" t="s">
        <v>537</v>
      </c>
      <c r="C62" s="307" t="s">
        <v>538</v>
      </c>
      <c r="D62" s="671" t="s">
        <v>533</v>
      </c>
      <c r="E62" s="308" t="s">
        <v>529</v>
      </c>
      <c r="F62" s="672">
        <v>29483</v>
      </c>
      <c r="G62" s="591"/>
      <c r="H62" s="673">
        <v>5340.4978805581204</v>
      </c>
      <c r="I62" s="673">
        <v>655.70042661791501</v>
      </c>
      <c r="J62" s="673">
        <v>766.73964392349546</v>
      </c>
      <c r="K62" s="673">
        <v>814.32787991160137</v>
      </c>
      <c r="L62" s="673">
        <v>48.222745801280674</v>
      </c>
      <c r="M62" s="656"/>
      <c r="N62" s="673">
        <v>7078.2836574892644</v>
      </c>
      <c r="O62" s="673">
        <v>133.67011871684767</v>
      </c>
      <c r="P62" s="656"/>
      <c r="Q62" s="673">
        <v>3950.8272290982568</v>
      </c>
      <c r="R62" s="656"/>
      <c r="S62" s="673">
        <v>18788.26958211678</v>
      </c>
      <c r="T62" s="657"/>
      <c r="U62" s="543" t="s">
        <v>417</v>
      </c>
      <c r="AA62" s="22" t="s">
        <v>539</v>
      </c>
      <c r="AB62" s="22">
        <f t="shared" si="1"/>
        <v>589.86</v>
      </c>
      <c r="AC62" s="22">
        <f t="shared" si="2"/>
        <v>329.24</v>
      </c>
      <c r="AD62" s="22">
        <f t="shared" si="3"/>
        <v>15.16</v>
      </c>
    </row>
    <row r="63" spans="1:30">
      <c r="A63" s="236"/>
      <c r="M63" s="264"/>
      <c r="P63" s="264"/>
    </row>
    <row r="64" spans="1:30" ht="14.65" thickBot="1">
      <c r="S64" s="336"/>
    </row>
    <row r="65" spans="1:22" ht="14.65" thickBot="1">
      <c r="G65" s="425"/>
      <c r="H65" s="432"/>
      <c r="I65" s="600" t="s">
        <v>349</v>
      </c>
      <c r="J65" s="432"/>
      <c r="K65" s="416"/>
      <c r="L65" s="601" t="s">
        <v>350</v>
      </c>
      <c r="M65" s="421"/>
      <c r="N65" s="602" t="s">
        <v>351</v>
      </c>
      <c r="O65" s="603" t="s">
        <v>352</v>
      </c>
      <c r="P65" s="422"/>
      <c r="Q65" s="604" t="s">
        <v>353</v>
      </c>
      <c r="R65" s="425"/>
      <c r="S65" s="330" t="s">
        <v>354</v>
      </c>
      <c r="T65" s="426"/>
      <c r="U65" s="347"/>
    </row>
    <row r="66" spans="1:22" ht="14.65" thickBot="1">
      <c r="B66" s="241"/>
      <c r="G66" s="420"/>
      <c r="H66" s="607" t="s">
        <v>360</v>
      </c>
      <c r="I66" s="608" t="s">
        <v>361</v>
      </c>
      <c r="J66" s="608" t="s">
        <v>362</v>
      </c>
      <c r="K66" s="609" t="s">
        <v>363</v>
      </c>
      <c r="L66" s="610" t="s">
        <v>364</v>
      </c>
      <c r="M66" s="415"/>
      <c r="N66" s="611" t="s">
        <v>365</v>
      </c>
      <c r="O66" s="612" t="s">
        <v>364</v>
      </c>
      <c r="P66" s="415"/>
      <c r="Q66" s="613" t="s">
        <v>365</v>
      </c>
      <c r="R66" s="415"/>
      <c r="S66" s="424" t="s">
        <v>366</v>
      </c>
      <c r="T66" s="415"/>
      <c r="U66" s="347"/>
    </row>
    <row r="67" spans="1:22" ht="15.75">
      <c r="F67" s="674" t="s">
        <v>371</v>
      </c>
      <c r="G67" s="342"/>
      <c r="H67" s="675">
        <f>SUM(H4:H24)</f>
        <v>276139.55981212237</v>
      </c>
      <c r="I67" s="675">
        <f>SUM(I4:I24)</f>
        <v>33904.109920921699</v>
      </c>
      <c r="J67" s="675">
        <f>SUM(J4:J24)</f>
        <v>39645.582209539323</v>
      </c>
      <c r="K67" s="675">
        <f>SUM(K4:K24)</f>
        <v>42106.213190375449</v>
      </c>
      <c r="L67" s="675">
        <f>SUM(L4:L24)</f>
        <v>2493.4393939139395</v>
      </c>
      <c r="M67" s="340"/>
      <c r="N67" s="675">
        <f>SUM(N4:N24)</f>
        <v>191868.67567567565</v>
      </c>
      <c r="O67" s="675">
        <f>SUM(O4:O24)</f>
        <v>3623.3513513513517</v>
      </c>
      <c r="P67" s="340"/>
      <c r="Q67" s="675">
        <f>SUM(Q4:Q24)</f>
        <v>107093.75675675676</v>
      </c>
      <c r="R67" s="340"/>
      <c r="S67" s="675">
        <f>SUM(S4:S24)</f>
        <v>696874.68831065658</v>
      </c>
      <c r="T67" s="343"/>
      <c r="U67" s="350"/>
    </row>
    <row r="68" spans="1:22">
      <c r="F68" s="676" t="s">
        <v>436</v>
      </c>
      <c r="G68" s="342"/>
      <c r="H68" s="677">
        <f>SUM(H26:H50)</f>
        <v>112960.16786220548</v>
      </c>
      <c r="I68" s="677">
        <f>SUM(I26:I50)</f>
        <v>17092.070533180369</v>
      </c>
      <c r="J68" s="677">
        <f>SUM(J26:J50)</f>
        <v>19986.517535335588</v>
      </c>
      <c r="K68" s="677">
        <f>SUM(K26:K50)</f>
        <v>21226.994821973545</v>
      </c>
      <c r="L68" s="677">
        <f>SUM(L26:L50)</f>
        <v>1257.0169837931253</v>
      </c>
      <c r="M68" s="340"/>
      <c r="N68" s="677">
        <f>SUM(N26:N50)</f>
        <v>78804.891386713818</v>
      </c>
      <c r="O68" s="677">
        <f>SUM(O26:O50)</f>
        <v>1488.1939883809043</v>
      </c>
      <c r="P68" s="340"/>
      <c r="Q68" s="677">
        <f>SUM(Q26:Q50)</f>
        <v>43985.876483960601</v>
      </c>
      <c r="R68" s="340"/>
      <c r="S68" s="677">
        <f>SUM(S26:S50)</f>
        <v>296801.72959554341</v>
      </c>
      <c r="T68" s="343"/>
      <c r="U68" s="350"/>
    </row>
    <row r="69" spans="1:22">
      <c r="F69" s="678" t="s">
        <v>507</v>
      </c>
      <c r="G69" s="342"/>
      <c r="H69" s="679">
        <f>SUM(H52:H62)</f>
        <v>114904.27232567215</v>
      </c>
      <c r="I69" s="679">
        <f>SUM(I52:I62)</f>
        <v>14107.819545897928</v>
      </c>
      <c r="J69" s="679">
        <f>SUM(J52:J62)</f>
        <v>16496.900255125081</v>
      </c>
      <c r="K69" s="679">
        <f>SUM(K52:K62)</f>
        <v>17520.791987651006</v>
      </c>
      <c r="L69" s="679">
        <f>SUM(L52:L62)</f>
        <v>1037.5436222929359</v>
      </c>
      <c r="M69" s="340"/>
      <c r="N69" s="679">
        <f>SUM(N52:N62)</f>
        <v>102965.43293761052</v>
      </c>
      <c r="O69" s="679">
        <f>SUM(O52:O62)</f>
        <v>1944.454660267744</v>
      </c>
      <c r="P69" s="340"/>
      <c r="Q69" s="679">
        <f>SUM(Q52:Q62)</f>
        <v>57471.366759282646</v>
      </c>
      <c r="R69" s="340"/>
      <c r="S69" s="679">
        <f>SUM(S52:S62)</f>
        <v>326448.59755460545</v>
      </c>
      <c r="T69" s="343"/>
      <c r="U69" s="350"/>
    </row>
    <row r="70" spans="1:22" ht="4.1500000000000004" customHeight="1">
      <c r="F70" s="337"/>
      <c r="G70" s="344"/>
      <c r="H70" s="341"/>
      <c r="I70" s="341"/>
      <c r="J70" s="341"/>
      <c r="K70" s="341"/>
      <c r="L70" s="341"/>
      <c r="M70" s="242"/>
      <c r="N70" s="242"/>
      <c r="O70" s="242"/>
      <c r="P70" s="242"/>
      <c r="Q70" s="242"/>
      <c r="R70" s="242"/>
      <c r="S70" s="242"/>
      <c r="T70" s="345"/>
    </row>
    <row r="71" spans="1:22" ht="14.65" thickBot="1">
      <c r="F71" s="676" t="s">
        <v>354</v>
      </c>
      <c r="G71" s="680">
        <f t="shared" ref="G71:S71" si="4">SUM(G67:G70)</f>
        <v>0</v>
      </c>
      <c r="H71" s="889">
        <f t="shared" si="4"/>
        <v>504004</v>
      </c>
      <c r="I71" s="889">
        <f t="shared" si="4"/>
        <v>65104</v>
      </c>
      <c r="J71" s="889">
        <f t="shared" si="4"/>
        <v>76129</v>
      </c>
      <c r="K71" s="889">
        <f t="shared" si="4"/>
        <v>80854</v>
      </c>
      <c r="L71" s="889">
        <f t="shared" si="4"/>
        <v>4788.0000000000009</v>
      </c>
      <c r="M71" s="681">
        <f t="shared" si="4"/>
        <v>0</v>
      </c>
      <c r="N71" s="889">
        <f t="shared" si="4"/>
        <v>373639</v>
      </c>
      <c r="O71" s="889">
        <f t="shared" si="4"/>
        <v>7056</v>
      </c>
      <c r="P71" s="681">
        <f t="shared" si="4"/>
        <v>0</v>
      </c>
      <c r="Q71" s="889">
        <f t="shared" si="4"/>
        <v>208551</v>
      </c>
      <c r="R71" s="681">
        <f t="shared" si="4"/>
        <v>0</v>
      </c>
      <c r="S71" s="890">
        <f t="shared" si="4"/>
        <v>1320125.0154608055</v>
      </c>
      <c r="T71" s="346"/>
      <c r="U71" s="350"/>
    </row>
    <row r="74" spans="1:22">
      <c r="A74" s="240" t="s">
        <v>540</v>
      </c>
      <c r="H74" s="336" t="s">
        <v>541</v>
      </c>
    </row>
    <row r="75" spans="1:22" ht="15.75">
      <c r="A75" s="682" t="s">
        <v>507</v>
      </c>
      <c r="B75" s="683" t="s">
        <v>542</v>
      </c>
      <c r="C75" s="683" t="s">
        <v>543</v>
      </c>
      <c r="D75" s="683" t="s">
        <v>544</v>
      </c>
      <c r="E75" s="684" t="s">
        <v>375</v>
      </c>
      <c r="F75" s="685">
        <v>34746</v>
      </c>
      <c r="G75" s="446"/>
      <c r="H75" s="686">
        <f>16622.3*105%</f>
        <v>17453.415000000001</v>
      </c>
      <c r="I75" s="687">
        <f>2099.66*105%</f>
        <v>2204.643</v>
      </c>
      <c r="J75" s="687">
        <f>2449.6*105%</f>
        <v>2572.08</v>
      </c>
      <c r="K75" s="687">
        <f>2625.67*105%</f>
        <v>2756.9535000000001</v>
      </c>
      <c r="L75" s="687">
        <v>0</v>
      </c>
      <c r="M75" s="688"/>
      <c r="N75" s="687">
        <f>17469*105%</f>
        <v>18342.45</v>
      </c>
      <c r="O75" s="687">
        <v>0</v>
      </c>
      <c r="P75" s="688"/>
      <c r="Q75" s="686">
        <f>9685*105%</f>
        <v>10169.25</v>
      </c>
      <c r="R75" s="688"/>
      <c r="S75" s="687">
        <f>SUM(H75:Q75)</f>
        <v>53498.791499999999</v>
      </c>
      <c r="V75" s="498" t="s">
        <v>545</v>
      </c>
    </row>
    <row r="76" spans="1:22">
      <c r="D76" s="689" t="s">
        <v>546</v>
      </c>
      <c r="E76" s="689"/>
      <c r="F76" s="689"/>
      <c r="H76" s="690">
        <v>17989.650000000001</v>
      </c>
      <c r="I76" s="691"/>
      <c r="J76" s="691"/>
      <c r="K76" s="691"/>
      <c r="L76" s="692">
        <v>0</v>
      </c>
      <c r="N76" s="693"/>
      <c r="O76" s="692">
        <v>0</v>
      </c>
      <c r="Q76" s="690">
        <v>9976.0499999999993</v>
      </c>
      <c r="S76" s="69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3C845-4FA3-3C44-AC49-C090E3F53400}">
  <sheetPr codeName="Sheet3"/>
  <dimension ref="A1:BB156"/>
  <sheetViews>
    <sheetView tabSelected="1" workbookViewId="0">
      <pane ySplit="3" topLeftCell="A22" activePane="bottomLeft" state="frozen"/>
      <selection pane="bottomLeft" activeCell="J34" sqref="J34"/>
    </sheetView>
  </sheetViews>
  <sheetFormatPr defaultColWidth="8.85546875" defaultRowHeight="14.25"/>
  <cols>
    <col min="1" max="1" width="33" style="5" bestFit="1" customWidth="1"/>
    <col min="2" max="2" width="46.85546875" style="2" bestFit="1" customWidth="1"/>
    <col min="3" max="3" width="22.7109375" bestFit="1" customWidth="1"/>
    <col min="4" max="4" width="16.85546875" bestFit="1" customWidth="1"/>
    <col min="5" max="5" width="3.85546875" bestFit="1" customWidth="1"/>
    <col min="6" max="6" width="7" bestFit="1" customWidth="1"/>
    <col min="7" max="7" width="24.85546875" customWidth="1"/>
    <col min="8" max="8" width="18.28515625" customWidth="1"/>
    <col min="9" max="9" width="11" bestFit="1" customWidth="1"/>
    <col min="10" max="10" width="15.140625" customWidth="1"/>
    <col min="11" max="11" width="6.7109375" bestFit="1" customWidth="1"/>
    <col min="12" max="12" width="9.85546875" customWidth="1"/>
    <col min="13" max="13" width="11" bestFit="1" customWidth="1"/>
    <col min="14" max="14" width="11.28515625" style="3" customWidth="1"/>
    <col min="15" max="15" width="1.28515625" style="3" customWidth="1"/>
    <col min="16" max="16" width="10" style="3" customWidth="1"/>
    <col min="17" max="25" width="8.7109375" style="264" customWidth="1"/>
    <col min="26" max="26" width="1.28515625" style="3" customWidth="1"/>
    <col min="27" max="30" width="8.7109375" style="3" customWidth="1"/>
    <col min="31" max="31" width="1.28515625" style="3" customWidth="1"/>
    <col min="32" max="33" width="8.7109375" style="3" customWidth="1"/>
    <col min="34" max="34" width="1.28515625" style="3" customWidth="1"/>
    <col min="35" max="35" width="10.140625" style="3" bestFit="1" customWidth="1"/>
    <col min="36" max="36" width="1.28515625" style="3" customWidth="1"/>
    <col min="37" max="37" width="5.140625" style="348" customWidth="1"/>
    <col min="38" max="38" width="46.85546875" style="348" bestFit="1" customWidth="1"/>
    <col min="39" max="39" width="5.7109375" style="348" customWidth="1"/>
    <col min="40" max="41" width="8.7109375" customWidth="1"/>
    <col min="42" max="42" width="9.85546875" style="4" customWidth="1"/>
    <col min="43" max="44" width="8.7109375" style="3" customWidth="1"/>
    <col min="45" max="45" width="11.42578125" style="3" customWidth="1"/>
    <col min="46" max="46" width="13.85546875" style="3" customWidth="1"/>
    <col min="47" max="47" width="8.7109375" style="3" customWidth="1"/>
    <col min="48" max="48" width="11.42578125" style="3" customWidth="1"/>
    <col min="49" max="49" width="31.42578125" style="5" customWidth="1"/>
    <col min="50" max="51" width="12.42578125" style="3" customWidth="1"/>
    <col min="52" max="52" width="172.85546875" customWidth="1"/>
  </cols>
  <sheetData>
    <row r="1" spans="1:52" ht="18.399999999999999" thickBot="1">
      <c r="A1" s="1" t="s">
        <v>0</v>
      </c>
      <c r="J1" s="516"/>
      <c r="O1" s="425"/>
      <c r="P1" s="694"/>
      <c r="Q1" s="432"/>
      <c r="R1" s="432"/>
      <c r="S1" s="600" t="s">
        <v>349</v>
      </c>
      <c r="T1" s="432"/>
      <c r="U1" s="432"/>
      <c r="V1" s="432"/>
      <c r="W1" s="416"/>
      <c r="AK1" s="3"/>
      <c r="AL1" s="3"/>
      <c r="AM1" s="347"/>
    </row>
    <row r="2" spans="1:52" ht="18.399999999999999" thickBot="1">
      <c r="A2" s="6">
        <v>45769</v>
      </c>
      <c r="J2" s="516"/>
      <c r="O2" s="420"/>
      <c r="P2" s="607" t="s">
        <v>360</v>
      </c>
      <c r="Q2" s="434"/>
      <c r="R2" s="608" t="s">
        <v>361</v>
      </c>
      <c r="S2" s="434"/>
      <c r="T2" s="608" t="s">
        <v>362</v>
      </c>
      <c r="U2" s="434"/>
      <c r="V2" s="608" t="s">
        <v>363</v>
      </c>
      <c r="W2" s="434"/>
      <c r="X2" s="695" t="s">
        <v>547</v>
      </c>
      <c r="Y2" s="696"/>
      <c r="Z2" s="421"/>
      <c r="AA2" s="697" t="s">
        <v>548</v>
      </c>
      <c r="AB2" s="602"/>
      <c r="AC2" s="698" t="s">
        <v>549</v>
      </c>
      <c r="AD2" s="603"/>
      <c r="AE2" s="422"/>
      <c r="AF2" s="695" t="s">
        <v>550</v>
      </c>
      <c r="AG2" s="423"/>
      <c r="AH2" s="425"/>
      <c r="AI2" s="330" t="s">
        <v>354</v>
      </c>
      <c r="AJ2" s="426"/>
      <c r="AK2" s="347"/>
      <c r="AL2" s="347"/>
      <c r="AM2" s="347"/>
      <c r="AP2" s="7"/>
      <c r="AQ2" s="8"/>
      <c r="AR2" s="8"/>
      <c r="AS2" s="8"/>
      <c r="AT2" s="8"/>
      <c r="AU2" s="8"/>
      <c r="AV2" s="8"/>
      <c r="AW2" s="9"/>
    </row>
    <row r="3" spans="1:52" ht="57">
      <c r="A3" s="605" t="s">
        <v>355</v>
      </c>
      <c r="B3" s="606" t="s">
        <v>4</v>
      </c>
      <c r="C3" s="10" t="s">
        <v>356</v>
      </c>
      <c r="D3" s="606" t="s">
        <v>357</v>
      </c>
      <c r="E3" s="10" t="s">
        <v>358</v>
      </c>
      <c r="F3" s="606" t="s">
        <v>359</v>
      </c>
      <c r="G3" s="606" t="s">
        <v>551</v>
      </c>
      <c r="H3" s="606" t="s">
        <v>552</v>
      </c>
      <c r="I3" s="699" t="s">
        <v>553</v>
      </c>
      <c r="J3" s="699" t="s">
        <v>554</v>
      </c>
      <c r="K3" s="699" t="s">
        <v>555</v>
      </c>
      <c r="L3" s="699" t="s">
        <v>556</v>
      </c>
      <c r="M3" s="699" t="s">
        <v>557</v>
      </c>
      <c r="N3" s="700" t="s">
        <v>558</v>
      </c>
      <c r="O3" s="436"/>
      <c r="P3" s="448" t="s">
        <v>559</v>
      </c>
      <c r="Q3" s="449" t="s">
        <v>366</v>
      </c>
      <c r="R3" s="448" t="s">
        <v>559</v>
      </c>
      <c r="S3" s="449" t="s">
        <v>366</v>
      </c>
      <c r="T3" s="448" t="s">
        <v>559</v>
      </c>
      <c r="U3" s="449" t="s">
        <v>366</v>
      </c>
      <c r="V3" s="448" t="s">
        <v>559</v>
      </c>
      <c r="W3" s="449" t="s">
        <v>366</v>
      </c>
      <c r="X3" s="480" t="s">
        <v>559</v>
      </c>
      <c r="Y3" s="333" t="s">
        <v>366</v>
      </c>
      <c r="Z3" s="415"/>
      <c r="AA3" s="331" t="s">
        <v>560</v>
      </c>
      <c r="AB3" s="332" t="s">
        <v>561</v>
      </c>
      <c r="AC3" s="417" t="s">
        <v>560</v>
      </c>
      <c r="AD3" s="418" t="s">
        <v>561</v>
      </c>
      <c r="AE3" s="415"/>
      <c r="AF3" s="333" t="s">
        <v>562</v>
      </c>
      <c r="AG3" s="334" t="s">
        <v>561</v>
      </c>
      <c r="AH3" s="415"/>
      <c r="AI3" s="424" t="s">
        <v>366</v>
      </c>
      <c r="AJ3" s="415"/>
      <c r="AK3" s="356"/>
      <c r="AL3" s="347"/>
      <c r="AM3" s="357"/>
      <c r="AN3" s="701" t="s">
        <v>563</v>
      </c>
      <c r="AO3" s="701" t="s">
        <v>564</v>
      </c>
      <c r="AP3" s="11" t="s">
        <v>565</v>
      </c>
      <c r="AQ3" s="702" t="s">
        <v>566</v>
      </c>
      <c r="AR3" s="702" t="s">
        <v>567</v>
      </c>
      <c r="AS3" s="702" t="s">
        <v>568</v>
      </c>
      <c r="AT3" s="702" t="s">
        <v>569</v>
      </c>
      <c r="AU3" s="702" t="s">
        <v>570</v>
      </c>
      <c r="AV3" s="702" t="s">
        <v>571</v>
      </c>
      <c r="AW3" s="702" t="s">
        <v>572</v>
      </c>
      <c r="AX3" s="12" t="s">
        <v>573</v>
      </c>
      <c r="AY3" s="12" t="s">
        <v>574</v>
      </c>
      <c r="AZ3" s="13" t="s">
        <v>575</v>
      </c>
    </row>
    <row r="4" spans="1:52" s="22" customFormat="1" ht="18" customHeight="1">
      <c r="A4" s="703" t="s">
        <v>371</v>
      </c>
      <c r="B4" s="14" t="s">
        <v>372</v>
      </c>
      <c r="C4" s="15" t="s">
        <v>373</v>
      </c>
      <c r="D4" s="16" t="s">
        <v>374</v>
      </c>
      <c r="E4" s="17" t="s">
        <v>375</v>
      </c>
      <c r="F4" s="374">
        <v>32920</v>
      </c>
      <c r="G4" s="18" t="s">
        <v>576</v>
      </c>
      <c r="H4" s="704" t="s">
        <v>577</v>
      </c>
      <c r="I4" s="705">
        <v>200000</v>
      </c>
      <c r="J4" s="844">
        <v>685797.45</v>
      </c>
      <c r="K4" s="706"/>
      <c r="L4" s="706"/>
      <c r="M4" s="706">
        <f>SUM(I4:L4)</f>
        <v>885797.45</v>
      </c>
      <c r="N4" s="706">
        <v>100</v>
      </c>
      <c r="O4" s="437"/>
      <c r="P4" s="891">
        <f t="shared" ref="P4:P31" si="0">(M4/$M$131)*$P$131</f>
        <v>10526.743978838665</v>
      </c>
      <c r="Q4" s="450">
        <f>SUM(P4:P5)</f>
        <v>12903.527515264213</v>
      </c>
      <c r="R4" s="891">
        <f t="shared" ref="R4:R31" si="1">(M4/$M$131)*$R$131</f>
        <v>1292.4619899110849</v>
      </c>
      <c r="S4" s="450">
        <f>SUM(R4:R5)</f>
        <v>1584.2808453189627</v>
      </c>
      <c r="T4" s="891">
        <f t="shared" ref="T4:T31" si="2">(M4/$M$131)*$T$131</f>
        <v>1511.3332334409711</v>
      </c>
      <c r="U4" s="450">
        <f>SUM(T4:T5)</f>
        <v>1852.5699876088615</v>
      </c>
      <c r="V4" s="891">
        <f t="shared" ref="V4:V31" si="3">(M4/$M$131)*$V$131</f>
        <v>1605.1351949537795</v>
      </c>
      <c r="W4" s="450">
        <f>SUM(V4:V5)</f>
        <v>1967.5510485902469</v>
      </c>
      <c r="X4" s="268">
        <f t="shared" ref="X4:X31" si="4">(M4/$M$131)*$X$131</f>
        <v>95.052654332979145</v>
      </c>
      <c r="Y4" s="251">
        <f>SUM(X4:X5)</f>
        <v>116.51414179447029</v>
      </c>
      <c r="Z4" s="707"/>
      <c r="AA4" s="706">
        <f t="shared" ref="AA4:AA31" si="5">(N4/$N$131)*$AA$131</f>
        <v>9437.7115433190193</v>
      </c>
      <c r="AB4" s="251">
        <f>SUM(AA4:AA5)</f>
        <v>9437.7115433190193</v>
      </c>
      <c r="AC4" s="706">
        <f t="shared" ref="AC4:AC31" si="6">(N4/$N$131)*$AC$131</f>
        <v>178.2268249557969</v>
      </c>
      <c r="AD4" s="251">
        <f>SUM(AC4:AC5)</f>
        <v>178.2268249557969</v>
      </c>
      <c r="AE4" s="707"/>
      <c r="AF4" s="706">
        <f t="shared" ref="AF4:AF31" si="7">(N4/$N$131)*$AF$131</f>
        <v>5267.7696387976757</v>
      </c>
      <c r="AG4" s="251">
        <f>SUM(AF4:AF5)</f>
        <v>5267.7696387976757</v>
      </c>
      <c r="AH4" s="707"/>
      <c r="AI4" s="251">
        <f>Q4+S4+U4+W4+Y4+AB4+AD4+AG4</f>
        <v>33308.151545649249</v>
      </c>
      <c r="AJ4" s="707"/>
      <c r="AK4" s="358"/>
      <c r="AL4" s="14" t="s">
        <v>372</v>
      </c>
      <c r="AM4" s="359"/>
      <c r="AN4" s="708"/>
      <c r="AO4" s="708"/>
      <c r="AP4" s="19">
        <v>150</v>
      </c>
      <c r="AQ4" s="709">
        <v>1980</v>
      </c>
      <c r="AR4" s="709">
        <v>2020</v>
      </c>
      <c r="AS4" s="709">
        <v>2006</v>
      </c>
      <c r="AT4" s="709" t="s">
        <v>578</v>
      </c>
      <c r="AU4" s="709">
        <v>1</v>
      </c>
      <c r="AV4" s="709" t="s">
        <v>579</v>
      </c>
      <c r="AW4" s="710" t="s">
        <v>579</v>
      </c>
      <c r="AX4" s="20" t="s">
        <v>580</v>
      </c>
      <c r="AY4" s="711"/>
      <c r="AZ4" s="21" t="s">
        <v>581</v>
      </c>
    </row>
    <row r="5" spans="1:52" s="22" customFormat="1" ht="15.75">
      <c r="A5" s="712"/>
      <c r="B5" s="23"/>
      <c r="C5" s="24"/>
      <c r="D5" s="25"/>
      <c r="E5" s="26"/>
      <c r="F5" s="375"/>
      <c r="G5" s="23"/>
      <c r="H5" s="704" t="s">
        <v>582</v>
      </c>
      <c r="I5" s="705">
        <v>200000</v>
      </c>
      <c r="J5" s="705"/>
      <c r="K5" s="706"/>
      <c r="L5" s="706"/>
      <c r="M5" s="706">
        <f>SUM(I5:L5)</f>
        <v>200000</v>
      </c>
      <c r="N5" s="706"/>
      <c r="O5" s="437"/>
      <c r="P5" s="891">
        <f t="shared" si="0"/>
        <v>2376.7835364255488</v>
      </c>
      <c r="Q5" s="451"/>
      <c r="R5" s="891">
        <f t="shared" si="1"/>
        <v>291.818855407878</v>
      </c>
      <c r="S5" s="451"/>
      <c r="T5" s="891">
        <f t="shared" si="2"/>
        <v>341.23675416789052</v>
      </c>
      <c r="U5" s="451"/>
      <c r="V5" s="891">
        <f t="shared" si="3"/>
        <v>362.41585363646726</v>
      </c>
      <c r="W5" s="451"/>
      <c r="X5" s="268">
        <f t="shared" si="4"/>
        <v>21.461487461491149</v>
      </c>
      <c r="Y5" s="265"/>
      <c r="Z5" s="707"/>
      <c r="AA5" s="706">
        <f t="shared" si="5"/>
        <v>0</v>
      </c>
      <c r="AB5" s="265"/>
      <c r="AC5" s="706">
        <f t="shared" si="6"/>
        <v>0</v>
      </c>
      <c r="AD5" s="265"/>
      <c r="AE5" s="707"/>
      <c r="AF5" s="706">
        <f t="shared" si="7"/>
        <v>0</v>
      </c>
      <c r="AG5" s="265"/>
      <c r="AH5" s="707"/>
      <c r="AI5" s="265"/>
      <c r="AJ5" s="707"/>
      <c r="AK5" s="358"/>
      <c r="AL5" s="23"/>
      <c r="AM5" s="359"/>
      <c r="AN5" s="708"/>
      <c r="AO5" s="708"/>
      <c r="AP5" s="19"/>
      <c r="AQ5" s="709"/>
      <c r="AR5" s="709"/>
      <c r="AS5" s="709"/>
      <c r="AT5" s="709"/>
      <c r="AU5" s="709"/>
      <c r="AV5" s="709"/>
      <c r="AW5" s="710"/>
      <c r="AX5" s="27"/>
      <c r="AY5" s="711"/>
      <c r="AZ5" s="28" t="s">
        <v>583</v>
      </c>
    </row>
    <row r="6" spans="1:52" ht="15.75">
      <c r="A6" s="638"/>
      <c r="B6" s="29" t="s">
        <v>437</v>
      </c>
      <c r="C6" s="30" t="s">
        <v>438</v>
      </c>
      <c r="D6" s="31" t="s">
        <v>439</v>
      </c>
      <c r="E6" s="32" t="s">
        <v>375</v>
      </c>
      <c r="F6" s="376">
        <v>34429</v>
      </c>
      <c r="G6" s="33" t="s">
        <v>584</v>
      </c>
      <c r="H6" s="34" t="s">
        <v>585</v>
      </c>
      <c r="I6" s="713">
        <v>59000</v>
      </c>
      <c r="J6" s="713">
        <v>90000</v>
      </c>
      <c r="K6" s="713"/>
      <c r="L6" s="714"/>
      <c r="M6" s="714">
        <f>SUM(I6:L6)</f>
        <v>149000</v>
      </c>
      <c r="N6" s="714">
        <v>25</v>
      </c>
      <c r="O6" s="438"/>
      <c r="P6" s="892">
        <f t="shared" si="0"/>
        <v>1770.7037346370337</v>
      </c>
      <c r="Q6" s="452">
        <f>SUM(P6:P7)</f>
        <v>2020.2660059617162</v>
      </c>
      <c r="R6" s="892">
        <f t="shared" si="1"/>
        <v>217.40504727886909</v>
      </c>
      <c r="S6" s="452">
        <f>SUM(R6:R7)</f>
        <v>248.04602709669626</v>
      </c>
      <c r="T6" s="892">
        <f t="shared" si="2"/>
        <v>254.22138185507839</v>
      </c>
      <c r="U6" s="452">
        <f>SUM(T6:T7)</f>
        <v>290.05124104270692</v>
      </c>
      <c r="V6" s="892">
        <f t="shared" si="3"/>
        <v>269.99981095916809</v>
      </c>
      <c r="W6" s="452">
        <f>SUM(V6:V7)</f>
        <v>308.05347559099715</v>
      </c>
      <c r="X6" s="481">
        <f t="shared" si="4"/>
        <v>15.988808158810905</v>
      </c>
      <c r="Y6" s="266">
        <f>SUM(X6:X7)</f>
        <v>18.242264342267475</v>
      </c>
      <c r="Z6" s="715"/>
      <c r="AA6" s="714">
        <f t="shared" si="5"/>
        <v>2359.4278858297548</v>
      </c>
      <c r="AB6" s="266">
        <f>SUM(AA6:AA7)</f>
        <v>2359.4278858297548</v>
      </c>
      <c r="AC6" s="714">
        <f t="shared" si="6"/>
        <v>44.556706238949225</v>
      </c>
      <c r="AD6" s="266">
        <f>SUM(AC6:AC7)</f>
        <v>44.556706238949225</v>
      </c>
      <c r="AE6" s="715"/>
      <c r="AF6" s="714">
        <f t="shared" si="7"/>
        <v>1316.9424096994189</v>
      </c>
      <c r="AG6" s="266">
        <f>SUM(AF6:AF7)</f>
        <v>1316.9424096994189</v>
      </c>
      <c r="AH6" s="715"/>
      <c r="AI6" s="266">
        <f t="shared" ref="AI6:AI68" si="8">Q6+S6+U6+W6+Y6+AB6+AD6+AG6</f>
        <v>6605.5860158025062</v>
      </c>
      <c r="AJ6" s="715"/>
      <c r="AK6" s="360"/>
      <c r="AL6" s="29" t="s">
        <v>437</v>
      </c>
      <c r="AM6" s="361"/>
      <c r="AN6" s="529"/>
      <c r="AO6" s="529"/>
      <c r="AP6" s="35">
        <v>400</v>
      </c>
      <c r="AQ6" s="632">
        <v>1970</v>
      </c>
      <c r="AR6" s="632">
        <v>210</v>
      </c>
      <c r="AS6" s="632">
        <v>2001</v>
      </c>
      <c r="AT6" s="632" t="s">
        <v>586</v>
      </c>
      <c r="AU6" s="632">
        <v>1</v>
      </c>
      <c r="AV6" s="632" t="s">
        <v>579</v>
      </c>
      <c r="AW6" s="716" t="s">
        <v>579</v>
      </c>
      <c r="AX6" s="36" t="s">
        <v>587</v>
      </c>
      <c r="AY6" s="529" t="s">
        <v>588</v>
      </c>
      <c r="AZ6" s="33"/>
    </row>
    <row r="7" spans="1:52" ht="15.75">
      <c r="A7" s="717"/>
      <c r="B7" s="37"/>
      <c r="C7" s="38"/>
      <c r="D7" s="39"/>
      <c r="E7" s="38"/>
      <c r="F7" s="401"/>
      <c r="G7" s="39"/>
      <c r="H7" s="718" t="s">
        <v>589</v>
      </c>
      <c r="I7" s="713">
        <v>21000</v>
      </c>
      <c r="J7" s="713"/>
      <c r="K7" s="713"/>
      <c r="L7" s="714"/>
      <c r="M7" s="714">
        <f>SUM(I7:L7)</f>
        <v>21000</v>
      </c>
      <c r="N7" s="714"/>
      <c r="O7" s="438"/>
      <c r="P7" s="892">
        <f t="shared" si="0"/>
        <v>249.56227132468263</v>
      </c>
      <c r="Q7" s="453"/>
      <c r="R7" s="892">
        <f t="shared" si="1"/>
        <v>30.640979817827187</v>
      </c>
      <c r="S7" s="453"/>
      <c r="T7" s="892">
        <f t="shared" si="2"/>
        <v>35.8298591876285</v>
      </c>
      <c r="U7" s="453"/>
      <c r="V7" s="892">
        <f t="shared" si="3"/>
        <v>38.053664631829065</v>
      </c>
      <c r="W7" s="453"/>
      <c r="X7" s="481">
        <f t="shared" si="4"/>
        <v>2.2534561834565707</v>
      </c>
      <c r="Y7" s="267"/>
      <c r="Z7" s="715"/>
      <c r="AA7" s="714">
        <f t="shared" si="5"/>
        <v>0</v>
      </c>
      <c r="AB7" s="267"/>
      <c r="AC7" s="714">
        <f t="shared" si="6"/>
        <v>0</v>
      </c>
      <c r="AD7" s="267"/>
      <c r="AE7" s="715"/>
      <c r="AF7" s="714">
        <f t="shared" si="7"/>
        <v>0</v>
      </c>
      <c r="AG7" s="267"/>
      <c r="AH7" s="715"/>
      <c r="AI7" s="267"/>
      <c r="AJ7" s="715"/>
      <c r="AK7" s="360"/>
      <c r="AL7" s="37"/>
      <c r="AM7" s="361"/>
      <c r="AN7" s="529"/>
      <c r="AO7" s="529"/>
      <c r="AP7" s="35">
        <v>140</v>
      </c>
      <c r="AQ7" s="632">
        <v>1970</v>
      </c>
      <c r="AR7" s="632">
        <v>210</v>
      </c>
      <c r="AS7" s="632">
        <v>2001</v>
      </c>
      <c r="AT7" s="632" t="s">
        <v>578</v>
      </c>
      <c r="AU7" s="632">
        <v>1</v>
      </c>
      <c r="AV7" s="632" t="s">
        <v>579</v>
      </c>
      <c r="AW7" s="716" t="s">
        <v>579</v>
      </c>
      <c r="AX7" s="40"/>
      <c r="AY7" s="529"/>
      <c r="AZ7" s="39"/>
    </row>
    <row r="8" spans="1:52" s="22" customFormat="1" ht="15.75">
      <c r="A8" s="703" t="s">
        <v>371</v>
      </c>
      <c r="B8" s="708" t="s">
        <v>377</v>
      </c>
      <c r="C8" s="41" t="s">
        <v>378</v>
      </c>
      <c r="D8" s="719" t="s">
        <v>379</v>
      </c>
      <c r="E8" s="42" t="s">
        <v>375</v>
      </c>
      <c r="F8" s="720">
        <v>33147</v>
      </c>
      <c r="G8" s="708" t="s">
        <v>590</v>
      </c>
      <c r="H8" s="704" t="s">
        <v>585</v>
      </c>
      <c r="I8" s="705">
        <v>182476</v>
      </c>
      <c r="J8" s="844">
        <v>1527608.71</v>
      </c>
      <c r="K8" s="706"/>
      <c r="L8" s="706"/>
      <c r="M8" s="706">
        <f>SUM(I8:L8)</f>
        <v>1710084.71</v>
      </c>
      <c r="N8" s="706">
        <v>97</v>
      </c>
      <c r="O8" s="437"/>
      <c r="P8" s="893">
        <f t="shared" si="0"/>
        <v>20322.505923105295</v>
      </c>
      <c r="Q8" s="450">
        <f>SUM(P8:P9)</f>
        <v>20322.505923105295</v>
      </c>
      <c r="R8" s="893">
        <f t="shared" si="1"/>
        <v>2495.1748136135643</v>
      </c>
      <c r="S8" s="450">
        <f>SUM(R8:R9)</f>
        <v>2495.1748136135643</v>
      </c>
      <c r="T8" s="893">
        <f t="shared" si="2"/>
        <v>2917.7187789626914</v>
      </c>
      <c r="U8" s="450">
        <f>SUM(T8:T9)</f>
        <v>2917.7187789626914</v>
      </c>
      <c r="V8" s="893">
        <f t="shared" si="3"/>
        <v>3098.8090498266029</v>
      </c>
      <c r="W8" s="450">
        <f>SUM(V8:V9)</f>
        <v>3098.8090498266029</v>
      </c>
      <c r="X8" s="283">
        <f t="shared" si="4"/>
        <v>183.50480780876362</v>
      </c>
      <c r="Y8" s="251">
        <f>SUM(X8:X9)</f>
        <v>183.50480780876362</v>
      </c>
      <c r="Z8" s="707"/>
      <c r="AA8" s="706">
        <f t="shared" si="5"/>
        <v>9154.5801970194498</v>
      </c>
      <c r="AB8" s="251">
        <f>SUM(AA8:AA9)</f>
        <v>9154.5801970194498</v>
      </c>
      <c r="AC8" s="706">
        <f t="shared" si="6"/>
        <v>172.88002020712301</v>
      </c>
      <c r="AD8" s="251">
        <f>SUM(AC8:AC9)</f>
        <v>172.88002020712301</v>
      </c>
      <c r="AE8" s="707"/>
      <c r="AF8" s="706">
        <f t="shared" si="7"/>
        <v>5109.7365496337461</v>
      </c>
      <c r="AG8" s="251">
        <f>SUM(AF8:AF9)</f>
        <v>5109.7365496337461</v>
      </c>
      <c r="AH8" s="707"/>
      <c r="AI8" s="251">
        <f t="shared" si="8"/>
        <v>43454.910140177235</v>
      </c>
      <c r="AJ8" s="707"/>
      <c r="AK8" s="358"/>
      <c r="AL8" s="708" t="s">
        <v>377</v>
      </c>
      <c r="AM8" s="359"/>
      <c r="AN8" s="708"/>
      <c r="AO8" s="708"/>
      <c r="AP8" s="19"/>
      <c r="AQ8" s="709">
        <v>1990</v>
      </c>
      <c r="AR8" s="709">
        <v>2015</v>
      </c>
      <c r="AS8" s="709">
        <v>1990</v>
      </c>
      <c r="AT8" s="709" t="s">
        <v>586</v>
      </c>
      <c r="AU8" s="709">
        <v>1</v>
      </c>
      <c r="AV8" s="709" t="s">
        <v>579</v>
      </c>
      <c r="AW8" s="710" t="s">
        <v>579</v>
      </c>
      <c r="AX8" s="709" t="s">
        <v>591</v>
      </c>
      <c r="AY8" s="711"/>
      <c r="AZ8" s="21" t="s">
        <v>581</v>
      </c>
    </row>
    <row r="9" spans="1:52" s="22" customFormat="1" ht="15.75">
      <c r="A9" s="703"/>
      <c r="B9" s="708"/>
      <c r="C9" s="41"/>
      <c r="D9" s="719"/>
      <c r="E9" s="42"/>
      <c r="F9" s="720"/>
      <c r="G9" s="708"/>
      <c r="H9" s="704"/>
      <c r="I9" s="705"/>
      <c r="J9" s="705"/>
      <c r="K9" s="706"/>
      <c r="L9" s="706"/>
      <c r="M9" s="706"/>
      <c r="N9" s="706"/>
      <c r="O9" s="437"/>
      <c r="P9" s="893">
        <f t="shared" si="0"/>
        <v>0</v>
      </c>
      <c r="Q9" s="451"/>
      <c r="R9" s="893">
        <f t="shared" si="1"/>
        <v>0</v>
      </c>
      <c r="S9" s="451"/>
      <c r="T9" s="893">
        <f t="shared" si="2"/>
        <v>0</v>
      </c>
      <c r="U9" s="451"/>
      <c r="V9" s="893">
        <f t="shared" si="3"/>
        <v>0</v>
      </c>
      <c r="W9" s="451"/>
      <c r="X9" s="283">
        <f t="shared" si="4"/>
        <v>0</v>
      </c>
      <c r="Y9" s="265"/>
      <c r="Z9" s="707"/>
      <c r="AA9" s="706">
        <f t="shared" si="5"/>
        <v>0</v>
      </c>
      <c r="AB9" s="265"/>
      <c r="AC9" s="706">
        <f t="shared" si="6"/>
        <v>0</v>
      </c>
      <c r="AD9" s="265"/>
      <c r="AE9" s="707"/>
      <c r="AF9" s="706">
        <f t="shared" si="7"/>
        <v>0</v>
      </c>
      <c r="AG9" s="265"/>
      <c r="AH9" s="707"/>
      <c r="AI9" s="265"/>
      <c r="AJ9" s="707"/>
      <c r="AK9" s="358"/>
      <c r="AL9" s="708"/>
      <c r="AM9" s="359"/>
      <c r="AN9" s="708"/>
      <c r="AO9" s="708"/>
      <c r="AP9" s="19"/>
      <c r="AQ9" s="709"/>
      <c r="AR9" s="709"/>
      <c r="AS9" s="709"/>
      <c r="AT9" s="709"/>
      <c r="AU9" s="709"/>
      <c r="AV9" s="709"/>
      <c r="AW9" s="710"/>
      <c r="AX9" s="709"/>
      <c r="AY9" s="27"/>
      <c r="AZ9" s="28" t="s">
        <v>583</v>
      </c>
    </row>
    <row r="10" spans="1:52" s="22" customFormat="1" ht="15.75">
      <c r="A10" s="614" t="s">
        <v>371</v>
      </c>
      <c r="B10" s="615" t="s">
        <v>380</v>
      </c>
      <c r="C10" s="43" t="s">
        <v>381</v>
      </c>
      <c r="D10" s="616" t="s">
        <v>382</v>
      </c>
      <c r="E10" s="44" t="s">
        <v>375</v>
      </c>
      <c r="F10" s="618">
        <v>33409</v>
      </c>
      <c r="G10" s="615" t="s">
        <v>592</v>
      </c>
      <c r="H10" s="721" t="s">
        <v>593</v>
      </c>
      <c r="I10" s="722">
        <v>150000</v>
      </c>
      <c r="J10" s="845">
        <v>394786.45</v>
      </c>
      <c r="K10" s="723"/>
      <c r="L10" s="723"/>
      <c r="M10" s="723">
        <f>SUM(I10:L10)</f>
        <v>544786.44999999995</v>
      </c>
      <c r="N10" s="723">
        <v>30</v>
      </c>
      <c r="O10" s="437"/>
      <c r="P10" s="894">
        <f t="shared" si="0"/>
        <v>6474.1973261386011</v>
      </c>
      <c r="Q10" s="454">
        <f>SUM(P10:P11)</f>
        <v>6474.1973261386011</v>
      </c>
      <c r="R10" s="894">
        <f t="shared" si="1"/>
        <v>794.89479140360561</v>
      </c>
      <c r="S10" s="454">
        <f>SUM(R10:R11)</f>
        <v>794.89479140360561</v>
      </c>
      <c r="T10" s="894">
        <f t="shared" si="2"/>
        <v>929.50579956323861</v>
      </c>
      <c r="U10" s="454">
        <f>SUM(T10:T11)</f>
        <v>929.50579956323861</v>
      </c>
      <c r="V10" s="894">
        <f t="shared" si="3"/>
        <v>987.19623163165284</v>
      </c>
      <c r="W10" s="454">
        <f>SUM(V10:V11)</f>
        <v>987.19623163165284</v>
      </c>
      <c r="X10" s="270">
        <f t="shared" si="4"/>
        <v>58.459637829326361</v>
      </c>
      <c r="Y10" s="257">
        <f>SUM(X10:X11)</f>
        <v>58.459637829326361</v>
      </c>
      <c r="Z10" s="707"/>
      <c r="AA10" s="723">
        <f t="shared" si="5"/>
        <v>2831.3134629957058</v>
      </c>
      <c r="AB10" s="257">
        <f>SUM(AA10:AA11)</f>
        <v>2831.3134629957058</v>
      </c>
      <c r="AC10" s="723">
        <f t="shared" si="6"/>
        <v>53.468047486739074</v>
      </c>
      <c r="AD10" s="257">
        <f>SUM(AC10:AC11)</f>
        <v>53.468047486739074</v>
      </c>
      <c r="AE10" s="707"/>
      <c r="AF10" s="723">
        <f t="shared" si="7"/>
        <v>1580.3308916393028</v>
      </c>
      <c r="AG10" s="257">
        <f>SUM(AF10:AF11)</f>
        <v>1580.3308916393028</v>
      </c>
      <c r="AH10" s="707"/>
      <c r="AI10" s="257">
        <f t="shared" si="8"/>
        <v>13709.366188688171</v>
      </c>
      <c r="AJ10" s="707"/>
      <c r="AK10" s="358"/>
      <c r="AL10" s="615" t="s">
        <v>380</v>
      </c>
      <c r="AM10" s="359"/>
      <c r="AN10" s="615"/>
      <c r="AO10" s="615"/>
      <c r="AP10" s="45">
        <v>1200</v>
      </c>
      <c r="AQ10" s="628">
        <v>1974</v>
      </c>
      <c r="AR10" s="620"/>
      <c r="AS10" s="620"/>
      <c r="AT10" s="620" t="s">
        <v>594</v>
      </c>
      <c r="AU10" s="620">
        <v>1</v>
      </c>
      <c r="AV10" s="620" t="s">
        <v>579</v>
      </c>
      <c r="AW10" s="724" t="s">
        <v>579</v>
      </c>
      <c r="AX10" s="620" t="s">
        <v>587</v>
      </c>
      <c r="AY10" s="46"/>
      <c r="AZ10" s="47" t="s">
        <v>581</v>
      </c>
    </row>
    <row r="11" spans="1:52" s="22" customFormat="1" ht="15.75">
      <c r="A11" s="725"/>
      <c r="B11" s="615"/>
      <c r="C11" s="43"/>
      <c r="D11" s="616"/>
      <c r="E11" s="44"/>
      <c r="F11" s="618"/>
      <c r="G11" s="615"/>
      <c r="H11" s="721"/>
      <c r="I11" s="722"/>
      <c r="J11" s="722"/>
      <c r="K11" s="723"/>
      <c r="L11" s="723"/>
      <c r="M11" s="723"/>
      <c r="N11" s="723"/>
      <c r="O11" s="437"/>
      <c r="P11" s="894">
        <f t="shared" si="0"/>
        <v>0</v>
      </c>
      <c r="Q11" s="453"/>
      <c r="R11" s="894">
        <f t="shared" si="1"/>
        <v>0</v>
      </c>
      <c r="S11" s="453"/>
      <c r="T11" s="894">
        <f t="shared" si="2"/>
        <v>0</v>
      </c>
      <c r="U11" s="453"/>
      <c r="V11" s="894">
        <f t="shared" si="3"/>
        <v>0</v>
      </c>
      <c r="W11" s="453"/>
      <c r="X11" s="270">
        <f t="shared" si="4"/>
        <v>0</v>
      </c>
      <c r="Y11" s="267"/>
      <c r="Z11" s="707"/>
      <c r="AA11" s="723">
        <f t="shared" si="5"/>
        <v>0</v>
      </c>
      <c r="AB11" s="267"/>
      <c r="AC11" s="723">
        <f t="shared" si="6"/>
        <v>0</v>
      </c>
      <c r="AD11" s="267"/>
      <c r="AE11" s="707"/>
      <c r="AF11" s="723">
        <f t="shared" si="7"/>
        <v>0</v>
      </c>
      <c r="AG11" s="267"/>
      <c r="AH11" s="707"/>
      <c r="AI11" s="267"/>
      <c r="AJ11" s="707"/>
      <c r="AK11" s="358"/>
      <c r="AL11" s="615"/>
      <c r="AM11" s="359"/>
      <c r="AN11" s="615"/>
      <c r="AO11" s="615"/>
      <c r="AP11" s="45"/>
      <c r="AQ11" s="628"/>
      <c r="AR11" s="620"/>
      <c r="AS11" s="620"/>
      <c r="AT11" s="620"/>
      <c r="AU11" s="620"/>
      <c r="AV11" s="620"/>
      <c r="AW11" s="724"/>
      <c r="AX11" s="620"/>
      <c r="AY11" s="48"/>
      <c r="AZ11" s="39" t="s">
        <v>583</v>
      </c>
    </row>
    <row r="12" spans="1:52" s="22" customFormat="1" ht="15.75">
      <c r="A12" s="703" t="s">
        <v>371</v>
      </c>
      <c r="B12" s="708" t="s">
        <v>383</v>
      </c>
      <c r="C12" s="49" t="s">
        <v>384</v>
      </c>
      <c r="D12" s="726" t="s">
        <v>379</v>
      </c>
      <c r="E12" s="50" t="s">
        <v>375</v>
      </c>
      <c r="F12" s="727">
        <v>33161</v>
      </c>
      <c r="G12" s="708" t="s">
        <v>590</v>
      </c>
      <c r="H12" s="704" t="s">
        <v>595</v>
      </c>
      <c r="I12" s="706"/>
      <c r="J12" s="844">
        <v>444139.24</v>
      </c>
      <c r="K12" s="706"/>
      <c r="L12" s="706"/>
      <c r="M12" s="706">
        <f>SUM(I12:L12)</f>
        <v>444139.24</v>
      </c>
      <c r="N12" s="706">
        <v>37</v>
      </c>
      <c r="O12" s="437"/>
      <c r="P12" s="893">
        <f t="shared" si="0"/>
        <v>5278.1141675627778</v>
      </c>
      <c r="Q12" s="450">
        <f>SUM(P12:P12)</f>
        <v>5278.1141675627778</v>
      </c>
      <c r="R12" s="893">
        <f t="shared" si="1"/>
        <v>648.041023292624</v>
      </c>
      <c r="S12" s="450">
        <f>SUM(R12:R12)</f>
        <v>648.041023292624</v>
      </c>
      <c r="T12" s="893">
        <f t="shared" si="2"/>
        <v>757.78316328096855</v>
      </c>
      <c r="U12" s="450">
        <f>SUM(T12:T12)</f>
        <v>757.78316328096855</v>
      </c>
      <c r="V12" s="893">
        <f t="shared" si="3"/>
        <v>804.81550899025899</v>
      </c>
      <c r="W12" s="450">
        <f>SUM(V12:V12)</f>
        <v>804.81550899025899</v>
      </c>
      <c r="X12" s="283">
        <f t="shared" si="4"/>
        <v>47.659443652081038</v>
      </c>
      <c r="Y12" s="706">
        <f>X12</f>
        <v>47.659443652081038</v>
      </c>
      <c r="Z12" s="707"/>
      <c r="AA12" s="706">
        <f t="shared" si="5"/>
        <v>3491.9532710280373</v>
      </c>
      <c r="AB12" s="251">
        <f>SUM(AA12:AA12)</f>
        <v>3491.9532710280373</v>
      </c>
      <c r="AC12" s="706">
        <f t="shared" si="6"/>
        <v>65.943925233644862</v>
      </c>
      <c r="AD12" s="251">
        <f>SUM(AC12:AC12)</f>
        <v>65.943925233644862</v>
      </c>
      <c r="AE12" s="707"/>
      <c r="AF12" s="706">
        <f t="shared" si="7"/>
        <v>1949.0747663551401</v>
      </c>
      <c r="AG12" s="251">
        <f>SUM(AF12:AF12)</f>
        <v>1949.0747663551401</v>
      </c>
      <c r="AH12" s="707"/>
      <c r="AI12" s="251">
        <f t="shared" si="8"/>
        <v>13043.385269395534</v>
      </c>
      <c r="AJ12" s="707"/>
      <c r="AK12" s="358"/>
      <c r="AL12" s="708" t="s">
        <v>383</v>
      </c>
      <c r="AM12" s="359"/>
      <c r="AN12" s="708"/>
      <c r="AO12" s="708"/>
      <c r="AP12" s="19"/>
      <c r="AQ12" s="709"/>
      <c r="AR12" s="709"/>
      <c r="AS12" s="709"/>
      <c r="AT12" s="709"/>
      <c r="AU12" s="709"/>
      <c r="AV12" s="709"/>
      <c r="AW12" s="710"/>
      <c r="AX12" s="709" t="s">
        <v>587</v>
      </c>
      <c r="AY12" s="20"/>
      <c r="AZ12" s="21" t="s">
        <v>596</v>
      </c>
    </row>
    <row r="13" spans="1:52" s="22" customFormat="1" ht="15.75">
      <c r="A13" s="725" t="s">
        <v>371</v>
      </c>
      <c r="B13" s="55" t="s">
        <v>385</v>
      </c>
      <c r="C13" s="56" t="s">
        <v>386</v>
      </c>
      <c r="D13" s="57" t="s">
        <v>387</v>
      </c>
      <c r="E13" s="58" t="s">
        <v>375</v>
      </c>
      <c r="F13" s="377">
        <v>32757</v>
      </c>
      <c r="G13" s="55" t="s">
        <v>597</v>
      </c>
      <c r="H13" s="59" t="s">
        <v>598</v>
      </c>
      <c r="I13" s="722">
        <v>151200</v>
      </c>
      <c r="J13" s="845">
        <v>335411.05</v>
      </c>
      <c r="K13" s="723"/>
      <c r="L13" s="723"/>
      <c r="M13" s="723">
        <f>SUM(I13:L13)</f>
        <v>486611.05</v>
      </c>
      <c r="N13" s="723">
        <v>47</v>
      </c>
      <c r="O13" s="437"/>
      <c r="P13" s="895">
        <f t="shared" si="0"/>
        <v>5782.8456614137467</v>
      </c>
      <c r="Q13" s="454">
        <f>SUM(P13:P15)</f>
        <v>7565.4333137329086</v>
      </c>
      <c r="R13" s="895">
        <f t="shared" si="1"/>
        <v>710.01139819912828</v>
      </c>
      <c r="S13" s="454">
        <f>SUM(R13:R15)</f>
        <v>928.8755397550367</v>
      </c>
      <c r="T13" s="895">
        <f t="shared" si="2"/>
        <v>830.24787622114525</v>
      </c>
      <c r="U13" s="454">
        <f>SUM(T13:T15)</f>
        <v>1086.1754418470632</v>
      </c>
      <c r="V13" s="895">
        <f t="shared" si="3"/>
        <v>881.77779537343815</v>
      </c>
      <c r="W13" s="454">
        <f>SUM(V13:V15)</f>
        <v>1153.5896856007885</v>
      </c>
      <c r="X13" s="270">
        <f t="shared" si="4"/>
        <v>52.216984740990206</v>
      </c>
      <c r="Y13" s="257">
        <f>SUM(X13:X15)</f>
        <v>68.313100337108565</v>
      </c>
      <c r="Z13" s="707"/>
      <c r="AA13" s="723">
        <f t="shared" si="5"/>
        <v>4435.7244253599392</v>
      </c>
      <c r="AB13" s="257">
        <f>SUM(AA13:AA15)</f>
        <v>4435.7244253599392</v>
      </c>
      <c r="AC13" s="723">
        <f t="shared" si="6"/>
        <v>83.766607729224546</v>
      </c>
      <c r="AD13" s="257">
        <f>SUM(AC13:AC15)</f>
        <v>83.766607729224546</v>
      </c>
      <c r="AE13" s="707"/>
      <c r="AF13" s="723">
        <f t="shared" si="7"/>
        <v>2475.8517302349078</v>
      </c>
      <c r="AG13" s="257">
        <f>SUM(AF13:AF15)</f>
        <v>2475.8517302349078</v>
      </c>
      <c r="AH13" s="707"/>
      <c r="AI13" s="257">
        <f t="shared" si="8"/>
        <v>17797.729844596979</v>
      </c>
      <c r="AJ13" s="707"/>
      <c r="AK13" s="358"/>
      <c r="AL13" s="55" t="s">
        <v>385</v>
      </c>
      <c r="AM13" s="359"/>
      <c r="AN13" s="615"/>
      <c r="AO13" s="615"/>
      <c r="AP13" s="60">
        <v>1008</v>
      </c>
      <c r="AQ13" s="628">
        <v>1940</v>
      </c>
      <c r="AR13" s="628"/>
      <c r="AS13" s="628"/>
      <c r="AT13" s="628" t="s">
        <v>432</v>
      </c>
      <c r="AU13" s="620">
        <v>1</v>
      </c>
      <c r="AV13" s="620" t="s">
        <v>579</v>
      </c>
      <c r="AW13" s="626" t="s">
        <v>599</v>
      </c>
      <c r="AX13" s="61" t="s">
        <v>587</v>
      </c>
      <c r="AY13" s="529" t="s">
        <v>588</v>
      </c>
      <c r="AZ13" s="47" t="s">
        <v>596</v>
      </c>
    </row>
    <row r="14" spans="1:52" s="22" customFormat="1" ht="15.75">
      <c r="A14" s="728"/>
      <c r="B14" s="55"/>
      <c r="C14" s="62"/>
      <c r="D14" s="55"/>
      <c r="E14" s="62"/>
      <c r="F14" s="402"/>
      <c r="G14" s="55"/>
      <c r="H14" s="721" t="s">
        <v>577</v>
      </c>
      <c r="I14" s="722">
        <v>50000</v>
      </c>
      <c r="J14" s="722"/>
      <c r="K14" s="723"/>
      <c r="L14" s="723"/>
      <c r="M14" s="723">
        <f>SUM(I14:L14)</f>
        <v>50000</v>
      </c>
      <c r="N14" s="723"/>
      <c r="O14" s="437"/>
      <c r="P14" s="895">
        <f t="shared" si="0"/>
        <v>594.19588410638721</v>
      </c>
      <c r="Q14" s="455"/>
      <c r="R14" s="895">
        <f t="shared" si="1"/>
        <v>72.954713851969501</v>
      </c>
      <c r="S14" s="455"/>
      <c r="T14" s="895">
        <f t="shared" si="2"/>
        <v>85.309188541972631</v>
      </c>
      <c r="U14" s="455"/>
      <c r="V14" s="895">
        <f t="shared" si="3"/>
        <v>90.603963409116815</v>
      </c>
      <c r="W14" s="455"/>
      <c r="X14" s="270">
        <f t="shared" si="4"/>
        <v>5.3653718653727873</v>
      </c>
      <c r="Y14" s="271"/>
      <c r="Z14" s="707"/>
      <c r="AA14" s="723">
        <f t="shared" si="5"/>
        <v>0</v>
      </c>
      <c r="AB14" s="271"/>
      <c r="AC14" s="723">
        <f t="shared" si="6"/>
        <v>0</v>
      </c>
      <c r="AD14" s="271"/>
      <c r="AE14" s="707"/>
      <c r="AF14" s="723">
        <f t="shared" si="7"/>
        <v>0</v>
      </c>
      <c r="AG14" s="271"/>
      <c r="AH14" s="707"/>
      <c r="AI14" s="271"/>
      <c r="AJ14" s="707"/>
      <c r="AK14" s="358"/>
      <c r="AL14" s="55"/>
      <c r="AM14" s="359"/>
      <c r="AN14" s="615"/>
      <c r="AO14" s="615"/>
      <c r="AP14" s="60">
        <v>396</v>
      </c>
      <c r="AQ14" s="628">
        <v>1955</v>
      </c>
      <c r="AR14" s="628"/>
      <c r="AS14" s="628"/>
      <c r="AT14" s="628" t="s">
        <v>594</v>
      </c>
      <c r="AU14" s="620">
        <v>1</v>
      </c>
      <c r="AV14" s="620" t="s">
        <v>579</v>
      </c>
      <c r="AW14" s="626" t="s">
        <v>599</v>
      </c>
      <c r="AX14" s="61"/>
      <c r="AY14" s="529"/>
      <c r="AZ14" s="33" t="s">
        <v>583</v>
      </c>
    </row>
    <row r="15" spans="1:52" s="22" customFormat="1" ht="15.75">
      <c r="A15" s="83"/>
      <c r="B15" s="55"/>
      <c r="C15" s="62"/>
      <c r="D15" s="55"/>
      <c r="E15" s="62"/>
      <c r="F15" s="402"/>
      <c r="G15" s="55"/>
      <c r="H15" s="63" t="s">
        <v>600</v>
      </c>
      <c r="I15" s="722">
        <v>100000</v>
      </c>
      <c r="J15" s="722"/>
      <c r="K15" s="723"/>
      <c r="L15" s="723"/>
      <c r="M15" s="723">
        <f>SUM(I15:L15)</f>
        <v>100000</v>
      </c>
      <c r="N15" s="723"/>
      <c r="O15" s="437"/>
      <c r="P15" s="895">
        <f t="shared" si="0"/>
        <v>1188.3917682127744</v>
      </c>
      <c r="Q15" s="456"/>
      <c r="R15" s="895">
        <f t="shared" si="1"/>
        <v>145.909427703939</v>
      </c>
      <c r="S15" s="456"/>
      <c r="T15" s="895">
        <f t="shared" si="2"/>
        <v>170.61837708394526</v>
      </c>
      <c r="U15" s="456"/>
      <c r="V15" s="895">
        <f t="shared" si="3"/>
        <v>181.20792681823363</v>
      </c>
      <c r="W15" s="456"/>
      <c r="X15" s="270">
        <f t="shared" si="4"/>
        <v>10.730743730745575</v>
      </c>
      <c r="Y15" s="255"/>
      <c r="Z15" s="707"/>
      <c r="AA15" s="723">
        <f t="shared" si="5"/>
        <v>0</v>
      </c>
      <c r="AB15" s="255"/>
      <c r="AC15" s="723">
        <f t="shared" si="6"/>
        <v>0</v>
      </c>
      <c r="AD15" s="255"/>
      <c r="AE15" s="707"/>
      <c r="AF15" s="723">
        <f t="shared" si="7"/>
        <v>0</v>
      </c>
      <c r="AG15" s="255"/>
      <c r="AH15" s="707"/>
      <c r="AI15" s="255"/>
      <c r="AJ15" s="707"/>
      <c r="AK15" s="358"/>
      <c r="AL15" s="55"/>
      <c r="AM15" s="359"/>
      <c r="AN15" s="615"/>
      <c r="AO15" s="615"/>
      <c r="AP15" s="60">
        <v>392</v>
      </c>
      <c r="AQ15" s="628">
        <v>1980</v>
      </c>
      <c r="AR15" s="628"/>
      <c r="AS15" s="628"/>
      <c r="AT15" s="628" t="s">
        <v>594</v>
      </c>
      <c r="AU15" s="620">
        <v>1</v>
      </c>
      <c r="AV15" s="620" t="s">
        <v>579</v>
      </c>
      <c r="AW15" s="626" t="s">
        <v>599</v>
      </c>
      <c r="AX15" s="61"/>
      <c r="AY15" s="529"/>
      <c r="AZ15" s="64"/>
    </row>
    <row r="16" spans="1:52" s="22" customFormat="1" ht="15.75">
      <c r="A16" s="703" t="s">
        <v>371</v>
      </c>
      <c r="B16" s="14" t="s">
        <v>388</v>
      </c>
      <c r="C16" s="65" t="s">
        <v>389</v>
      </c>
      <c r="D16" s="66" t="s">
        <v>390</v>
      </c>
      <c r="E16" s="67" t="s">
        <v>375</v>
      </c>
      <c r="F16" s="378">
        <v>32724</v>
      </c>
      <c r="G16" s="14" t="s">
        <v>601</v>
      </c>
      <c r="H16" s="68" t="s">
        <v>598</v>
      </c>
      <c r="I16" s="250">
        <v>150000</v>
      </c>
      <c r="J16" s="843">
        <v>714693.62</v>
      </c>
      <c r="K16" s="250"/>
      <c r="L16" s="251"/>
      <c r="M16" s="251">
        <f>SUM(I16:L16)</f>
        <v>864693.62</v>
      </c>
      <c r="N16" s="251">
        <v>87</v>
      </c>
      <c r="O16" s="439"/>
      <c r="P16" s="457">
        <f t="shared" si="0"/>
        <v>10275.947800341048</v>
      </c>
      <c r="Q16" s="450">
        <f>SUM(P16:P17)</f>
        <v>10275.947800341048</v>
      </c>
      <c r="R16" s="457">
        <f t="shared" si="1"/>
        <v>1261.6695123344728</v>
      </c>
      <c r="S16" s="450">
        <f>SUM(R16:R17)</f>
        <v>1261.6695123344728</v>
      </c>
      <c r="T16" s="457">
        <f t="shared" si="2"/>
        <v>1475.3262211924164</v>
      </c>
      <c r="U16" s="450">
        <f>SUM(T16:T17)</f>
        <v>1475.3262211924164</v>
      </c>
      <c r="V16" s="457">
        <f t="shared" si="3"/>
        <v>1566.8933821315352</v>
      </c>
      <c r="W16" s="450">
        <f>SUM(V16:V17)</f>
        <v>1566.8933821315352</v>
      </c>
      <c r="X16" s="482">
        <f t="shared" si="4"/>
        <v>92.788056418306951</v>
      </c>
      <c r="Y16" s="251">
        <f>SUM(X16:X17)</f>
        <v>92.788056418306951</v>
      </c>
      <c r="Z16" s="243"/>
      <c r="AA16" s="251">
        <f t="shared" si="5"/>
        <v>8210.8090426875478</v>
      </c>
      <c r="AB16" s="251">
        <f>SUM(AA16:AA17)</f>
        <v>8210.8090426875478</v>
      </c>
      <c r="AC16" s="251">
        <f t="shared" si="6"/>
        <v>155.05733771154331</v>
      </c>
      <c r="AD16" s="251">
        <f>SUM(AC16:AC17)</f>
        <v>155.05733771154331</v>
      </c>
      <c r="AE16" s="243"/>
      <c r="AF16" s="251">
        <f t="shared" si="7"/>
        <v>4582.959585753978</v>
      </c>
      <c r="AG16" s="251">
        <f>SUM(AF16:AF17)</f>
        <v>4582.959585753978</v>
      </c>
      <c r="AH16" s="243"/>
      <c r="AI16" s="251">
        <f t="shared" si="8"/>
        <v>27621.450938570848</v>
      </c>
      <c r="AJ16" s="243"/>
      <c r="AK16" s="358"/>
      <c r="AL16" s="14" t="s">
        <v>388</v>
      </c>
      <c r="AM16" s="359"/>
      <c r="AN16" s="14"/>
      <c r="AO16" s="14"/>
      <c r="AP16" s="69">
        <v>1400</v>
      </c>
      <c r="AQ16" s="70">
        <v>1988</v>
      </c>
      <c r="AR16" s="70">
        <v>2020</v>
      </c>
      <c r="AS16" s="70">
        <v>2011</v>
      </c>
      <c r="AT16" s="70" t="s">
        <v>594</v>
      </c>
      <c r="AU16" s="70">
        <v>1</v>
      </c>
      <c r="AV16" s="70" t="s">
        <v>579</v>
      </c>
      <c r="AW16" s="71" t="s">
        <v>602</v>
      </c>
      <c r="AX16" s="70" t="s">
        <v>580</v>
      </c>
      <c r="AY16" s="711" t="s">
        <v>588</v>
      </c>
      <c r="AZ16" s="21" t="s">
        <v>581</v>
      </c>
    </row>
    <row r="17" spans="1:52" s="22" customFormat="1" ht="15.75">
      <c r="A17" s="712"/>
      <c r="B17" s="23"/>
      <c r="C17" s="72"/>
      <c r="D17" s="73"/>
      <c r="E17" s="74"/>
      <c r="F17" s="379"/>
      <c r="G17" s="23"/>
      <c r="H17" s="54"/>
      <c r="I17" s="252"/>
      <c r="J17" s="252"/>
      <c r="K17" s="252"/>
      <c r="L17" s="253"/>
      <c r="M17" s="253"/>
      <c r="N17" s="253"/>
      <c r="O17" s="440"/>
      <c r="P17" s="458">
        <f t="shared" si="0"/>
        <v>0</v>
      </c>
      <c r="Q17" s="459"/>
      <c r="R17" s="458">
        <f t="shared" si="1"/>
        <v>0</v>
      </c>
      <c r="S17" s="459"/>
      <c r="T17" s="458">
        <f t="shared" si="2"/>
        <v>0</v>
      </c>
      <c r="U17" s="459"/>
      <c r="V17" s="458">
        <f t="shared" si="3"/>
        <v>0</v>
      </c>
      <c r="W17" s="459"/>
      <c r="X17" s="483">
        <f t="shared" si="4"/>
        <v>0</v>
      </c>
      <c r="Y17" s="253"/>
      <c r="Z17" s="244"/>
      <c r="AA17" s="253">
        <f t="shared" si="5"/>
        <v>0</v>
      </c>
      <c r="AB17" s="253"/>
      <c r="AC17" s="253">
        <f t="shared" si="6"/>
        <v>0</v>
      </c>
      <c r="AD17" s="253"/>
      <c r="AE17" s="244"/>
      <c r="AF17" s="253">
        <f t="shared" si="7"/>
        <v>0</v>
      </c>
      <c r="AG17" s="253"/>
      <c r="AH17" s="244"/>
      <c r="AI17" s="253"/>
      <c r="AJ17" s="244"/>
      <c r="AK17" s="358"/>
      <c r="AL17" s="23"/>
      <c r="AM17" s="359"/>
      <c r="AN17" s="23"/>
      <c r="AO17" s="23"/>
      <c r="AP17" s="75"/>
      <c r="AQ17" s="76"/>
      <c r="AR17" s="76"/>
      <c r="AS17" s="76"/>
      <c r="AT17" s="76"/>
      <c r="AU17" s="76"/>
      <c r="AV17" s="76"/>
      <c r="AW17" s="77"/>
      <c r="AX17" s="76"/>
      <c r="AY17" s="76"/>
      <c r="AZ17" s="28" t="s">
        <v>583</v>
      </c>
    </row>
    <row r="18" spans="1:52" s="22" customFormat="1" ht="15.75">
      <c r="A18" s="725" t="s">
        <v>371</v>
      </c>
      <c r="B18" s="55" t="s">
        <v>391</v>
      </c>
      <c r="C18" s="78" t="s">
        <v>392</v>
      </c>
      <c r="D18" s="79" t="s">
        <v>393</v>
      </c>
      <c r="E18" s="80" t="s">
        <v>375</v>
      </c>
      <c r="F18" s="380">
        <v>32922</v>
      </c>
      <c r="G18" s="55" t="s">
        <v>603</v>
      </c>
      <c r="H18" s="59" t="s">
        <v>604</v>
      </c>
      <c r="I18" s="254">
        <v>47250</v>
      </c>
      <c r="J18" s="846">
        <v>533957.35</v>
      </c>
      <c r="K18" s="255"/>
      <c r="L18" s="255"/>
      <c r="M18" s="255">
        <f>SUM(I18:L18)</f>
        <v>581207.35</v>
      </c>
      <c r="N18" s="255">
        <v>64</v>
      </c>
      <c r="O18" s="440"/>
      <c r="P18" s="460">
        <f t="shared" si="0"/>
        <v>6907.0203036476078</v>
      </c>
      <c r="Q18" s="454">
        <f>SUM(P18:P19)</f>
        <v>7798.3141298071887</v>
      </c>
      <c r="R18" s="460">
        <f t="shared" si="1"/>
        <v>848.03631815822962</v>
      </c>
      <c r="S18" s="454">
        <f>SUM(R18:R19)</f>
        <v>957.46838893618383</v>
      </c>
      <c r="T18" s="460">
        <f t="shared" si="2"/>
        <v>991.64654806260535</v>
      </c>
      <c r="U18" s="454">
        <f>SUM(T18:T19)</f>
        <v>1119.6103308755642</v>
      </c>
      <c r="V18" s="460">
        <f t="shared" si="3"/>
        <v>1053.193789450195</v>
      </c>
      <c r="W18" s="454">
        <f>SUM(V18:V19)</f>
        <v>1189.0997345638702</v>
      </c>
      <c r="X18" s="484">
        <f t="shared" si="4"/>
        <v>62.367871272757483</v>
      </c>
      <c r="Y18" s="257">
        <f>SUM(X18:X19)</f>
        <v>70.415929070816659</v>
      </c>
      <c r="Z18" s="244"/>
      <c r="AA18" s="255">
        <f t="shared" si="5"/>
        <v>6040.1353877241736</v>
      </c>
      <c r="AB18" s="257">
        <f>SUM(AA18:AA19)</f>
        <v>6040.1353877241736</v>
      </c>
      <c r="AC18" s="255">
        <f t="shared" si="6"/>
        <v>114.06516797171004</v>
      </c>
      <c r="AD18" s="257">
        <f>SUM(AC18:AC19)</f>
        <v>114.06516797171004</v>
      </c>
      <c r="AE18" s="244"/>
      <c r="AF18" s="255">
        <f t="shared" si="7"/>
        <v>3371.372568830513</v>
      </c>
      <c r="AG18" s="257">
        <f>SUM(AF18:AF19)</f>
        <v>3371.372568830513</v>
      </c>
      <c r="AH18" s="244"/>
      <c r="AI18" s="257">
        <f t="shared" si="8"/>
        <v>20660.481637780016</v>
      </c>
      <c r="AJ18" s="244"/>
      <c r="AK18" s="358"/>
      <c r="AL18" s="55" t="s">
        <v>391</v>
      </c>
      <c r="AM18" s="359"/>
      <c r="AN18" s="64"/>
      <c r="AO18" s="64"/>
      <c r="AP18" s="81">
        <v>315</v>
      </c>
      <c r="AQ18" s="82">
        <v>1951</v>
      </c>
      <c r="AR18" s="82"/>
      <c r="AS18" s="82"/>
      <c r="AT18" s="82" t="s">
        <v>594</v>
      </c>
      <c r="AU18" s="82">
        <v>1</v>
      </c>
      <c r="AV18" s="82" t="s">
        <v>579</v>
      </c>
      <c r="AW18" s="83" t="s">
        <v>599</v>
      </c>
      <c r="AX18" s="61" t="s">
        <v>580</v>
      </c>
      <c r="AY18" s="529" t="s">
        <v>588</v>
      </c>
      <c r="AZ18" s="47" t="s">
        <v>581</v>
      </c>
    </row>
    <row r="19" spans="1:52" s="22" customFormat="1" ht="15.75">
      <c r="A19" s="83"/>
      <c r="B19" s="55"/>
      <c r="C19" s="62"/>
      <c r="D19" s="55"/>
      <c r="E19" s="62"/>
      <c r="F19" s="402"/>
      <c r="G19" s="55"/>
      <c r="H19" s="63" t="s">
        <v>605</v>
      </c>
      <c r="I19" s="722">
        <v>75000</v>
      </c>
      <c r="J19" s="722"/>
      <c r="K19" s="723"/>
      <c r="L19" s="723"/>
      <c r="M19" s="723">
        <f>SUM(I19:L19)</f>
        <v>75000</v>
      </c>
      <c r="N19" s="723"/>
      <c r="O19" s="437"/>
      <c r="P19" s="894">
        <f t="shared" si="0"/>
        <v>891.2938261595807</v>
      </c>
      <c r="Q19" s="453"/>
      <c r="R19" s="894">
        <f t="shared" si="1"/>
        <v>109.43207077795422</v>
      </c>
      <c r="S19" s="453"/>
      <c r="T19" s="894">
        <f t="shared" si="2"/>
        <v>127.96378281295893</v>
      </c>
      <c r="U19" s="453"/>
      <c r="V19" s="894">
        <f t="shared" si="3"/>
        <v>135.90594511367522</v>
      </c>
      <c r="W19" s="453"/>
      <c r="X19" s="270">
        <f t="shared" si="4"/>
        <v>8.0480577980591796</v>
      </c>
      <c r="Y19" s="267"/>
      <c r="Z19" s="707"/>
      <c r="AA19" s="723">
        <f t="shared" si="5"/>
        <v>0</v>
      </c>
      <c r="AB19" s="267"/>
      <c r="AC19" s="723">
        <f t="shared" si="6"/>
        <v>0</v>
      </c>
      <c r="AD19" s="267"/>
      <c r="AE19" s="707"/>
      <c r="AF19" s="723">
        <f t="shared" si="7"/>
        <v>0</v>
      </c>
      <c r="AG19" s="267"/>
      <c r="AH19" s="707"/>
      <c r="AI19" s="267"/>
      <c r="AJ19" s="707"/>
      <c r="AK19" s="358"/>
      <c r="AL19" s="55"/>
      <c r="AM19" s="359"/>
      <c r="AN19" s="615"/>
      <c r="AO19" s="615"/>
      <c r="AP19" s="84"/>
      <c r="AQ19" s="628">
        <v>1951</v>
      </c>
      <c r="AR19" s="628"/>
      <c r="AS19" s="628"/>
      <c r="AT19" s="628" t="s">
        <v>594</v>
      </c>
      <c r="AU19" s="628">
        <v>1</v>
      </c>
      <c r="AV19" s="628" t="s">
        <v>579</v>
      </c>
      <c r="AW19" s="626" t="s">
        <v>599</v>
      </c>
      <c r="AX19" s="61"/>
      <c r="AY19" s="529"/>
      <c r="AZ19" s="39" t="s">
        <v>583</v>
      </c>
    </row>
    <row r="20" spans="1:52" s="22" customFormat="1" ht="15.75">
      <c r="A20" s="703" t="s">
        <v>371</v>
      </c>
      <c r="B20" s="16" t="s">
        <v>394</v>
      </c>
      <c r="C20" s="65" t="s">
        <v>395</v>
      </c>
      <c r="D20" s="66" t="s">
        <v>396</v>
      </c>
      <c r="E20" s="67" t="s">
        <v>375</v>
      </c>
      <c r="F20" s="378">
        <v>32922</v>
      </c>
      <c r="G20" s="14" t="s">
        <v>603</v>
      </c>
      <c r="H20" s="68" t="s">
        <v>606</v>
      </c>
      <c r="I20" s="250">
        <v>54000</v>
      </c>
      <c r="J20" s="843">
        <v>316410.96999999997</v>
      </c>
      <c r="K20" s="251"/>
      <c r="L20" s="251"/>
      <c r="M20" s="251">
        <f>SUM(I20:L20)</f>
        <v>370410.97</v>
      </c>
      <c r="N20" s="251">
        <v>46</v>
      </c>
      <c r="O20" s="439"/>
      <c r="P20" s="457">
        <f t="shared" si="0"/>
        <v>4401.9334760370884</v>
      </c>
      <c r="Q20" s="450">
        <f>SUM(P20:P21)</f>
        <v>4401.9334760370884</v>
      </c>
      <c r="R20" s="457">
        <f t="shared" si="1"/>
        <v>540.46452647960905</v>
      </c>
      <c r="S20" s="450">
        <f>SUM(R20:R21)</f>
        <v>540.46452647960905</v>
      </c>
      <c r="T20" s="457">
        <f t="shared" si="2"/>
        <v>631.98918555489922</v>
      </c>
      <c r="U20" s="450">
        <f>SUM(T20:T21)</f>
        <v>631.98918555489922</v>
      </c>
      <c r="V20" s="457">
        <f t="shared" si="3"/>
        <v>671.21403944430926</v>
      </c>
      <c r="W20" s="450">
        <f>SUM(V20:V21)</f>
        <v>671.21403944430926</v>
      </c>
      <c r="X20" s="482">
        <f t="shared" si="4"/>
        <v>39.747851941268863</v>
      </c>
      <c r="Y20" s="251">
        <f>SUM(X20:X21)</f>
        <v>39.747851941268863</v>
      </c>
      <c r="Z20" s="243"/>
      <c r="AA20" s="251">
        <f t="shared" si="5"/>
        <v>4341.3473099267494</v>
      </c>
      <c r="AB20" s="251">
        <f>SUM(AA20:AA21)</f>
        <v>4341.3473099267494</v>
      </c>
      <c r="AC20" s="251">
        <f t="shared" si="6"/>
        <v>81.984339479666573</v>
      </c>
      <c r="AD20" s="251">
        <f>SUM(AC20:AC21)</f>
        <v>81.984339479666573</v>
      </c>
      <c r="AE20" s="243"/>
      <c r="AF20" s="251">
        <f t="shared" si="7"/>
        <v>2423.1740338469308</v>
      </c>
      <c r="AG20" s="251">
        <f>SUM(AF20:AF21)</f>
        <v>2423.1740338469308</v>
      </c>
      <c r="AH20" s="243"/>
      <c r="AI20" s="251">
        <f t="shared" si="8"/>
        <v>13131.854762710522</v>
      </c>
      <c r="AJ20" s="243"/>
      <c r="AK20" s="358"/>
      <c r="AL20" s="16" t="s">
        <v>394</v>
      </c>
      <c r="AM20" s="359"/>
      <c r="AN20" s="14"/>
      <c r="AO20" s="14"/>
      <c r="AP20" s="69">
        <v>360</v>
      </c>
      <c r="AQ20" s="70">
        <v>1960</v>
      </c>
      <c r="AR20" s="70"/>
      <c r="AS20" s="70"/>
      <c r="AT20" s="70" t="s">
        <v>594</v>
      </c>
      <c r="AU20" s="70">
        <v>1</v>
      </c>
      <c r="AV20" s="70" t="s">
        <v>579</v>
      </c>
      <c r="AW20" s="71" t="s">
        <v>579</v>
      </c>
      <c r="AX20" s="70"/>
      <c r="AY20" s="711" t="s">
        <v>588</v>
      </c>
      <c r="AZ20" s="21" t="s">
        <v>581</v>
      </c>
    </row>
    <row r="21" spans="1:52" s="22" customFormat="1" ht="15.75">
      <c r="A21" s="712"/>
      <c r="B21" s="25"/>
      <c r="C21" s="72"/>
      <c r="D21" s="73"/>
      <c r="E21" s="74"/>
      <c r="F21" s="379"/>
      <c r="G21" s="23"/>
      <c r="H21" s="54"/>
      <c r="I21" s="252"/>
      <c r="J21" s="252"/>
      <c r="K21" s="253"/>
      <c r="L21" s="253"/>
      <c r="M21" s="253"/>
      <c r="N21" s="253"/>
      <c r="O21" s="440"/>
      <c r="P21" s="458">
        <f t="shared" si="0"/>
        <v>0</v>
      </c>
      <c r="Q21" s="459"/>
      <c r="R21" s="458">
        <f t="shared" si="1"/>
        <v>0</v>
      </c>
      <c r="S21" s="459"/>
      <c r="T21" s="458">
        <f t="shared" si="2"/>
        <v>0</v>
      </c>
      <c r="U21" s="459"/>
      <c r="V21" s="458">
        <f t="shared" si="3"/>
        <v>0</v>
      </c>
      <c r="W21" s="459"/>
      <c r="X21" s="483">
        <f t="shared" si="4"/>
        <v>0</v>
      </c>
      <c r="Y21" s="253"/>
      <c r="Z21" s="244"/>
      <c r="AA21" s="706">
        <f t="shared" si="5"/>
        <v>0</v>
      </c>
      <c r="AB21" s="253"/>
      <c r="AC21" s="706">
        <f t="shared" si="6"/>
        <v>0</v>
      </c>
      <c r="AD21" s="253"/>
      <c r="AE21" s="244"/>
      <c r="AF21" s="706">
        <f t="shared" si="7"/>
        <v>0</v>
      </c>
      <c r="AG21" s="253"/>
      <c r="AH21" s="244"/>
      <c r="AI21" s="253"/>
      <c r="AJ21" s="244"/>
      <c r="AK21" s="358"/>
      <c r="AL21" s="25"/>
      <c r="AM21" s="359"/>
      <c r="AN21" s="23"/>
      <c r="AO21" s="23"/>
      <c r="AP21" s="75"/>
      <c r="AQ21" s="76"/>
      <c r="AR21" s="76"/>
      <c r="AS21" s="76"/>
      <c r="AT21" s="76"/>
      <c r="AU21" s="76"/>
      <c r="AV21" s="76"/>
      <c r="AW21" s="77"/>
      <c r="AX21" s="76"/>
      <c r="AY21" s="529"/>
      <c r="AZ21" s="28" t="s">
        <v>583</v>
      </c>
    </row>
    <row r="22" spans="1:52" s="22" customFormat="1" ht="15.75">
      <c r="A22" s="725" t="s">
        <v>371</v>
      </c>
      <c r="B22" s="85" t="s">
        <v>397</v>
      </c>
      <c r="C22" s="86" t="s">
        <v>398</v>
      </c>
      <c r="D22" s="87" t="s">
        <v>399</v>
      </c>
      <c r="E22" s="88" t="s">
        <v>375</v>
      </c>
      <c r="F22" s="381">
        <v>23920</v>
      </c>
      <c r="G22" s="89" t="s">
        <v>576</v>
      </c>
      <c r="H22" s="63" t="s">
        <v>607</v>
      </c>
      <c r="I22" s="256">
        <v>117000</v>
      </c>
      <c r="J22" s="848">
        <v>910215.7</v>
      </c>
      <c r="K22" s="257"/>
      <c r="L22" s="257"/>
      <c r="M22" s="257">
        <f>SUM(I22:L22)</f>
        <v>1027215.7</v>
      </c>
      <c r="N22" s="257">
        <v>100</v>
      </c>
      <c r="O22" s="439"/>
      <c r="P22" s="461">
        <f t="shared" si="0"/>
        <v>12207.346820589228</v>
      </c>
      <c r="Q22" s="454">
        <f>SUM(P22:P23)</f>
        <v>12207.346820589228</v>
      </c>
      <c r="R22" s="461">
        <f t="shared" si="1"/>
        <v>1498.8045491550108</v>
      </c>
      <c r="S22" s="454">
        <f>SUM(R22:R23)</f>
        <v>1498.8045491550108</v>
      </c>
      <c r="T22" s="461">
        <f t="shared" si="2"/>
        <v>1752.6187564914876</v>
      </c>
      <c r="U22" s="454">
        <f>SUM(T22:T23)</f>
        <v>1752.6187564914876</v>
      </c>
      <c r="V22" s="461">
        <f t="shared" si="3"/>
        <v>1861.3962739214064</v>
      </c>
      <c r="W22" s="454">
        <f>SUM(V22:V23)</f>
        <v>1861.3962739214064</v>
      </c>
      <c r="X22" s="485">
        <f t="shared" si="4"/>
        <v>110.22788432898426</v>
      </c>
      <c r="Y22" s="257">
        <f>SUM(X22:X23)</f>
        <v>110.22788432898426</v>
      </c>
      <c r="Z22" s="243"/>
      <c r="AA22" s="257">
        <f t="shared" si="5"/>
        <v>9437.7115433190193</v>
      </c>
      <c r="AB22" s="257">
        <f>SUM(AA22:AA23)</f>
        <v>9437.7115433190193</v>
      </c>
      <c r="AC22" s="257">
        <f t="shared" si="6"/>
        <v>178.2268249557969</v>
      </c>
      <c r="AD22" s="257">
        <f>SUM(AC22:AC23)</f>
        <v>178.2268249557969</v>
      </c>
      <c r="AE22" s="243"/>
      <c r="AF22" s="257">
        <f t="shared" si="7"/>
        <v>5267.7696387976757</v>
      </c>
      <c r="AG22" s="257">
        <f>SUM(AF22:AF23)</f>
        <v>5267.7696387976757</v>
      </c>
      <c r="AH22" s="243"/>
      <c r="AI22" s="257">
        <f t="shared" si="8"/>
        <v>32314.102291558611</v>
      </c>
      <c r="AJ22" s="243"/>
      <c r="AK22" s="358"/>
      <c r="AL22" s="85" t="s">
        <v>397</v>
      </c>
      <c r="AM22" s="359"/>
      <c r="AN22" s="89"/>
      <c r="AO22" s="89"/>
      <c r="AP22" s="90">
        <v>780</v>
      </c>
      <c r="AQ22" s="91">
        <v>1987</v>
      </c>
      <c r="AR22" s="91"/>
      <c r="AS22" s="91">
        <v>2016</v>
      </c>
      <c r="AT22" s="91" t="s">
        <v>594</v>
      </c>
      <c r="AU22" s="91">
        <v>1</v>
      </c>
      <c r="AV22" s="91" t="s">
        <v>579</v>
      </c>
      <c r="AW22" s="92" t="s">
        <v>599</v>
      </c>
      <c r="AX22" s="91" t="s">
        <v>587</v>
      </c>
      <c r="AY22" s="529" t="s">
        <v>588</v>
      </c>
      <c r="AZ22" s="47" t="s">
        <v>581</v>
      </c>
    </row>
    <row r="23" spans="1:52" s="22" customFormat="1" ht="15.75">
      <c r="A23" s="729"/>
      <c r="B23" s="93"/>
      <c r="C23" s="94"/>
      <c r="D23" s="95"/>
      <c r="E23" s="96"/>
      <c r="F23" s="382"/>
      <c r="G23" s="64"/>
      <c r="H23" s="59"/>
      <c r="I23" s="254"/>
      <c r="J23" s="254"/>
      <c r="K23" s="255"/>
      <c r="L23" s="255"/>
      <c r="M23" s="255"/>
      <c r="N23" s="255"/>
      <c r="O23" s="440"/>
      <c r="P23" s="460">
        <f t="shared" si="0"/>
        <v>0</v>
      </c>
      <c r="Q23" s="453"/>
      <c r="R23" s="460">
        <f t="shared" si="1"/>
        <v>0</v>
      </c>
      <c r="S23" s="453"/>
      <c r="T23" s="460">
        <f t="shared" si="2"/>
        <v>0</v>
      </c>
      <c r="U23" s="453"/>
      <c r="V23" s="460">
        <f t="shared" si="3"/>
        <v>0</v>
      </c>
      <c r="W23" s="453"/>
      <c r="X23" s="484">
        <f t="shared" si="4"/>
        <v>0</v>
      </c>
      <c r="Y23" s="267"/>
      <c r="Z23" s="244"/>
      <c r="AA23" s="255">
        <f t="shared" si="5"/>
        <v>0</v>
      </c>
      <c r="AB23" s="267"/>
      <c r="AC23" s="255">
        <f t="shared" si="6"/>
        <v>0</v>
      </c>
      <c r="AD23" s="267"/>
      <c r="AE23" s="244"/>
      <c r="AF23" s="255">
        <f t="shared" si="7"/>
        <v>0</v>
      </c>
      <c r="AG23" s="267"/>
      <c r="AH23" s="244"/>
      <c r="AI23" s="267"/>
      <c r="AJ23" s="244"/>
      <c r="AK23" s="358"/>
      <c r="AL23" s="93"/>
      <c r="AM23" s="359"/>
      <c r="AN23" s="64"/>
      <c r="AO23" s="64"/>
      <c r="AP23" s="97"/>
      <c r="AQ23" s="82"/>
      <c r="AR23" s="82"/>
      <c r="AS23" s="82"/>
      <c r="AT23" s="82"/>
      <c r="AU23" s="82"/>
      <c r="AV23" s="82"/>
      <c r="AW23" s="83"/>
      <c r="AX23" s="82"/>
      <c r="AY23" s="82"/>
      <c r="AZ23" s="39" t="s">
        <v>583</v>
      </c>
    </row>
    <row r="24" spans="1:52" ht="15.75">
      <c r="A24" s="730"/>
      <c r="B24" s="731" t="s">
        <v>441</v>
      </c>
      <c r="C24" s="98" t="s">
        <v>442</v>
      </c>
      <c r="D24" s="732" t="s">
        <v>439</v>
      </c>
      <c r="E24" s="99" t="s">
        <v>375</v>
      </c>
      <c r="F24" s="733">
        <v>34428</v>
      </c>
      <c r="G24" s="711" t="s">
        <v>584</v>
      </c>
      <c r="H24" s="734" t="s">
        <v>595</v>
      </c>
      <c r="I24" s="735"/>
      <c r="J24" s="736">
        <v>153720</v>
      </c>
      <c r="K24" s="735"/>
      <c r="L24" s="735"/>
      <c r="M24" s="735">
        <f>SUM(I24:L24)</f>
        <v>153720</v>
      </c>
      <c r="N24" s="735">
        <v>34</v>
      </c>
      <c r="O24" s="438"/>
      <c r="P24" s="896">
        <f t="shared" si="0"/>
        <v>1826.7958260966768</v>
      </c>
      <c r="Q24" s="897">
        <f>P24</f>
        <v>1826.7958260966768</v>
      </c>
      <c r="R24" s="896">
        <f t="shared" si="1"/>
        <v>224.29197226649501</v>
      </c>
      <c r="S24" s="897">
        <f>R24</f>
        <v>224.29197226649501</v>
      </c>
      <c r="T24" s="896">
        <f t="shared" si="2"/>
        <v>262.27456925344063</v>
      </c>
      <c r="U24" s="897">
        <f>T24</f>
        <v>262.27456925344063</v>
      </c>
      <c r="V24" s="896">
        <f t="shared" si="3"/>
        <v>278.55282510498876</v>
      </c>
      <c r="W24" s="897">
        <f>V24</f>
        <v>278.55282510498876</v>
      </c>
      <c r="X24" s="272">
        <f t="shared" si="4"/>
        <v>16.495299262902098</v>
      </c>
      <c r="Y24" s="735">
        <f>X24</f>
        <v>16.495299262902098</v>
      </c>
      <c r="Z24" s="715"/>
      <c r="AA24" s="735">
        <f t="shared" si="5"/>
        <v>3208.8219247284669</v>
      </c>
      <c r="AB24" s="735">
        <f>AA24</f>
        <v>3208.8219247284669</v>
      </c>
      <c r="AC24" s="735">
        <f t="shared" si="6"/>
        <v>60.597120484970951</v>
      </c>
      <c r="AD24" s="735">
        <f>AC24</f>
        <v>60.597120484970951</v>
      </c>
      <c r="AE24" s="715"/>
      <c r="AF24" s="735">
        <f t="shared" si="7"/>
        <v>1791.0416771912098</v>
      </c>
      <c r="AG24" s="735">
        <f>AF24</f>
        <v>1791.0416771912098</v>
      </c>
      <c r="AH24" s="715"/>
      <c r="AI24" s="735">
        <f t="shared" si="8"/>
        <v>7668.8712143891507</v>
      </c>
      <c r="AJ24" s="715"/>
      <c r="AK24" s="360"/>
      <c r="AL24" s="731" t="s">
        <v>441</v>
      </c>
      <c r="AM24" s="361"/>
      <c r="AN24" s="711"/>
      <c r="AO24" s="711"/>
      <c r="AP24" s="100"/>
      <c r="AQ24" s="737">
        <v>1991</v>
      </c>
      <c r="AR24" s="738"/>
      <c r="AS24" s="738"/>
      <c r="AT24" s="738"/>
      <c r="AU24" s="738"/>
      <c r="AV24" s="738"/>
      <c r="AW24" s="739"/>
      <c r="AX24" s="738" t="s">
        <v>587</v>
      </c>
      <c r="AY24" s="738"/>
      <c r="AZ24" s="711"/>
    </row>
    <row r="25" spans="1:52" s="22" customFormat="1" ht="15.75">
      <c r="A25" s="725" t="s">
        <v>371</v>
      </c>
      <c r="B25" s="89" t="s">
        <v>400</v>
      </c>
      <c r="C25" s="101" t="s">
        <v>401</v>
      </c>
      <c r="D25" s="85" t="s">
        <v>402</v>
      </c>
      <c r="E25" s="102" t="s">
        <v>375</v>
      </c>
      <c r="F25" s="383">
        <v>32927</v>
      </c>
      <c r="G25" s="89" t="s">
        <v>603</v>
      </c>
      <c r="H25" s="63" t="s">
        <v>608</v>
      </c>
      <c r="I25" s="256">
        <v>300000</v>
      </c>
      <c r="J25" s="848">
        <v>506698.48</v>
      </c>
      <c r="K25" s="257"/>
      <c r="L25" s="257"/>
      <c r="M25" s="257">
        <f>SUM(I25:L25)</f>
        <v>806698.48</v>
      </c>
      <c r="N25" s="257">
        <v>19</v>
      </c>
      <c r="O25" s="439"/>
      <c r="P25" s="461">
        <f t="shared" si="0"/>
        <v>9586.7383306175743</v>
      </c>
      <c r="Q25" s="454">
        <f>SUM(P25:P26)</f>
        <v>9586.7383306175743</v>
      </c>
      <c r="R25" s="461">
        <f t="shared" si="1"/>
        <v>1177.0491354643748</v>
      </c>
      <c r="S25" s="454">
        <f>SUM(R25:R26)</f>
        <v>1177.0491354643748</v>
      </c>
      <c r="T25" s="461">
        <f t="shared" si="2"/>
        <v>1376.3758545368546</v>
      </c>
      <c r="U25" s="454">
        <f>SUM(T25:T26)</f>
        <v>1376.3758545368546</v>
      </c>
      <c r="V25" s="461">
        <f t="shared" si="3"/>
        <v>1461.8015912822032</v>
      </c>
      <c r="W25" s="454">
        <f>SUM(V25:V26)</f>
        <v>1461.8015912822032</v>
      </c>
      <c r="X25" s="485">
        <f t="shared" si="4"/>
        <v>86.564746568619839</v>
      </c>
      <c r="Y25" s="257">
        <f>SUM(X25:X26)</f>
        <v>86.564746568619839</v>
      </c>
      <c r="Z25" s="243"/>
      <c r="AA25" s="257">
        <f t="shared" si="5"/>
        <v>1793.1651932306138</v>
      </c>
      <c r="AB25" s="257">
        <f>SUM(AA25:AA26)</f>
        <v>1793.1651932306138</v>
      </c>
      <c r="AC25" s="257">
        <f t="shared" si="6"/>
        <v>33.86309674160141</v>
      </c>
      <c r="AD25" s="257">
        <f>SUM(AC25:AC26)</f>
        <v>33.86309674160141</v>
      </c>
      <c r="AE25" s="243"/>
      <c r="AF25" s="257">
        <f t="shared" si="7"/>
        <v>1000.8762313715584</v>
      </c>
      <c r="AG25" s="257">
        <f>SUM(AF25:AF26)</f>
        <v>1000.8762313715584</v>
      </c>
      <c r="AH25" s="243"/>
      <c r="AI25" s="257">
        <f t="shared" si="8"/>
        <v>16516.434179813401</v>
      </c>
      <c r="AJ25" s="243"/>
      <c r="AK25" s="358"/>
      <c r="AL25" s="89" t="s">
        <v>400</v>
      </c>
      <c r="AM25" s="359"/>
      <c r="AN25" s="89"/>
      <c r="AO25" s="89"/>
      <c r="AP25" s="103">
        <v>2662</v>
      </c>
      <c r="AQ25" s="91">
        <v>1957</v>
      </c>
      <c r="AR25" s="91"/>
      <c r="AS25" s="91"/>
      <c r="AT25" s="91" t="s">
        <v>578</v>
      </c>
      <c r="AU25" s="91">
        <v>2</v>
      </c>
      <c r="AV25" s="91" t="s">
        <v>579</v>
      </c>
      <c r="AW25" s="92" t="s">
        <v>599</v>
      </c>
      <c r="AX25" s="91" t="s">
        <v>580</v>
      </c>
      <c r="AY25" s="529" t="s">
        <v>588</v>
      </c>
      <c r="AZ25" s="47" t="s">
        <v>581</v>
      </c>
    </row>
    <row r="26" spans="1:52" s="22" customFormat="1" ht="15.75">
      <c r="A26" s="729"/>
      <c r="B26" s="64"/>
      <c r="C26" s="104"/>
      <c r="D26" s="93"/>
      <c r="E26" s="105"/>
      <c r="F26" s="384"/>
      <c r="G26" s="64"/>
      <c r="H26" s="59"/>
      <c r="I26" s="254"/>
      <c r="J26" s="254"/>
      <c r="K26" s="255"/>
      <c r="L26" s="255"/>
      <c r="M26" s="255"/>
      <c r="N26" s="255"/>
      <c r="O26" s="440"/>
      <c r="P26" s="460">
        <f t="shared" si="0"/>
        <v>0</v>
      </c>
      <c r="Q26" s="453"/>
      <c r="R26" s="460">
        <f t="shared" si="1"/>
        <v>0</v>
      </c>
      <c r="S26" s="453"/>
      <c r="T26" s="460">
        <f t="shared" si="2"/>
        <v>0</v>
      </c>
      <c r="U26" s="453"/>
      <c r="V26" s="460">
        <f t="shared" si="3"/>
        <v>0</v>
      </c>
      <c r="W26" s="453"/>
      <c r="X26" s="484">
        <f t="shared" si="4"/>
        <v>0</v>
      </c>
      <c r="Y26" s="267"/>
      <c r="Z26" s="244"/>
      <c r="AA26" s="255">
        <f t="shared" si="5"/>
        <v>0</v>
      </c>
      <c r="AB26" s="267"/>
      <c r="AC26" s="255">
        <f t="shared" si="6"/>
        <v>0</v>
      </c>
      <c r="AD26" s="267"/>
      <c r="AE26" s="244"/>
      <c r="AF26" s="255">
        <f t="shared" si="7"/>
        <v>0</v>
      </c>
      <c r="AG26" s="267"/>
      <c r="AH26" s="244"/>
      <c r="AI26" s="267"/>
      <c r="AJ26" s="244"/>
      <c r="AK26" s="358"/>
      <c r="AL26" s="64"/>
      <c r="AM26" s="359"/>
      <c r="AN26" s="64"/>
      <c r="AO26" s="64"/>
      <c r="AP26" s="106"/>
      <c r="AQ26" s="82"/>
      <c r="AR26" s="82"/>
      <c r="AS26" s="82"/>
      <c r="AT26" s="82"/>
      <c r="AU26" s="82"/>
      <c r="AV26" s="82"/>
      <c r="AW26" s="83"/>
      <c r="AX26" s="82"/>
      <c r="AY26" s="82"/>
      <c r="AZ26" s="39" t="s">
        <v>583</v>
      </c>
    </row>
    <row r="27" spans="1:52" s="22" customFormat="1" ht="15.75">
      <c r="A27" s="703" t="s">
        <v>371</v>
      </c>
      <c r="B27" s="16" t="s">
        <v>403</v>
      </c>
      <c r="C27" s="15" t="s">
        <v>404</v>
      </c>
      <c r="D27" s="16" t="s">
        <v>405</v>
      </c>
      <c r="E27" s="17" t="s">
        <v>375</v>
      </c>
      <c r="F27" s="374">
        <v>32404</v>
      </c>
      <c r="G27" s="16" t="s">
        <v>609</v>
      </c>
      <c r="H27" s="68" t="s">
        <v>610</v>
      </c>
      <c r="I27" s="250">
        <v>405000</v>
      </c>
      <c r="J27" s="843">
        <v>290267.09999999998</v>
      </c>
      <c r="K27" s="251"/>
      <c r="L27" s="251"/>
      <c r="M27" s="251">
        <f>SUM(I27:L27)</f>
        <v>695267.1</v>
      </c>
      <c r="N27" s="251">
        <v>46</v>
      </c>
      <c r="O27" s="439"/>
      <c r="P27" s="457">
        <f t="shared" si="0"/>
        <v>8262.4969834916774</v>
      </c>
      <c r="Q27" s="450">
        <f>SUM(P27:P28)</f>
        <v>8262.4969834916774</v>
      </c>
      <c r="R27" s="457">
        <f t="shared" si="1"/>
        <v>1014.4602466237732</v>
      </c>
      <c r="S27" s="450">
        <f>SUM(R27:R28)</f>
        <v>1014.4602466237732</v>
      </c>
      <c r="T27" s="457">
        <f t="shared" si="2"/>
        <v>1186.2534424186106</v>
      </c>
      <c r="U27" s="450">
        <f>SUM(T27:T28)</f>
        <v>1186.2534424186106</v>
      </c>
      <c r="V27" s="457">
        <f t="shared" si="3"/>
        <v>1259.8790977592553</v>
      </c>
      <c r="W27" s="450">
        <f>SUM(V27:V28)</f>
        <v>1259.8790977592553</v>
      </c>
      <c r="X27" s="482">
        <f t="shared" si="4"/>
        <v>74.607330745186559</v>
      </c>
      <c r="Y27" s="251">
        <f>SUM(X27:X28)</f>
        <v>74.607330745186559</v>
      </c>
      <c r="Z27" s="243"/>
      <c r="AA27" s="251">
        <f t="shared" si="5"/>
        <v>4341.3473099267494</v>
      </c>
      <c r="AB27" s="251">
        <f>SUM(AA27:AA28)</f>
        <v>4341.3473099267494</v>
      </c>
      <c r="AC27" s="251">
        <f t="shared" si="6"/>
        <v>81.984339479666573</v>
      </c>
      <c r="AD27" s="251">
        <f>SUM(AC27:AC28)</f>
        <v>81.984339479666573</v>
      </c>
      <c r="AE27" s="243"/>
      <c r="AF27" s="251">
        <f t="shared" si="7"/>
        <v>2423.1740338469308</v>
      </c>
      <c r="AG27" s="251">
        <f>SUM(AF27:AF28)</f>
        <v>2423.1740338469308</v>
      </c>
      <c r="AH27" s="243"/>
      <c r="AI27" s="251">
        <f t="shared" si="8"/>
        <v>18644.202784291851</v>
      </c>
      <c r="AJ27" s="243"/>
      <c r="AK27" s="358"/>
      <c r="AL27" s="16" t="s">
        <v>403</v>
      </c>
      <c r="AM27" s="359"/>
      <c r="AN27" s="14"/>
      <c r="AO27" s="14"/>
      <c r="AP27" s="107">
        <v>9000</v>
      </c>
      <c r="AQ27" s="70" t="s">
        <v>611</v>
      </c>
      <c r="AR27" s="70" t="s">
        <v>611</v>
      </c>
      <c r="AS27" s="70" t="s">
        <v>611</v>
      </c>
      <c r="AT27" s="70" t="s">
        <v>612</v>
      </c>
      <c r="AU27" s="70">
        <v>1</v>
      </c>
      <c r="AV27" s="70" t="s">
        <v>579</v>
      </c>
      <c r="AW27" s="71" t="s">
        <v>579</v>
      </c>
      <c r="AX27" s="70" t="s">
        <v>587</v>
      </c>
      <c r="AY27" s="70"/>
      <c r="AZ27" s="21" t="s">
        <v>581</v>
      </c>
    </row>
    <row r="28" spans="1:52" s="22" customFormat="1" ht="15.75">
      <c r="A28" s="712"/>
      <c r="B28" s="25"/>
      <c r="C28" s="24"/>
      <c r="D28" s="25"/>
      <c r="E28" s="26"/>
      <c r="F28" s="375"/>
      <c r="G28" s="25"/>
      <c r="H28" s="54"/>
      <c r="I28" s="252"/>
      <c r="J28" s="252"/>
      <c r="K28" s="253"/>
      <c r="L28" s="253"/>
      <c r="M28" s="253"/>
      <c r="N28" s="253"/>
      <c r="O28" s="440"/>
      <c r="P28" s="458">
        <f t="shared" si="0"/>
        <v>0</v>
      </c>
      <c r="Q28" s="459"/>
      <c r="R28" s="458">
        <f t="shared" si="1"/>
        <v>0</v>
      </c>
      <c r="S28" s="459"/>
      <c r="T28" s="458">
        <f t="shared" si="2"/>
        <v>0</v>
      </c>
      <c r="U28" s="459"/>
      <c r="V28" s="458">
        <f t="shared" si="3"/>
        <v>0</v>
      </c>
      <c r="W28" s="459"/>
      <c r="X28" s="483">
        <f t="shared" si="4"/>
        <v>0</v>
      </c>
      <c r="Y28" s="253"/>
      <c r="Z28" s="244"/>
      <c r="AA28" s="253">
        <f t="shared" si="5"/>
        <v>0</v>
      </c>
      <c r="AB28" s="253"/>
      <c r="AC28" s="253">
        <f t="shared" si="6"/>
        <v>0</v>
      </c>
      <c r="AD28" s="253"/>
      <c r="AE28" s="244"/>
      <c r="AF28" s="253">
        <f t="shared" si="7"/>
        <v>0</v>
      </c>
      <c r="AG28" s="253"/>
      <c r="AH28" s="244"/>
      <c r="AI28" s="253"/>
      <c r="AJ28" s="244"/>
      <c r="AK28" s="358"/>
      <c r="AL28" s="25"/>
      <c r="AM28" s="359"/>
      <c r="AN28" s="23"/>
      <c r="AO28" s="23"/>
      <c r="AP28" s="108"/>
      <c r="AQ28" s="76"/>
      <c r="AR28" s="76"/>
      <c r="AS28" s="76"/>
      <c r="AT28" s="76"/>
      <c r="AU28" s="76"/>
      <c r="AV28" s="76"/>
      <c r="AW28" s="77"/>
      <c r="AX28" s="109"/>
      <c r="AY28" s="109"/>
      <c r="AZ28" s="28" t="s">
        <v>583</v>
      </c>
    </row>
    <row r="29" spans="1:52" s="22" customFormat="1" ht="15.75">
      <c r="A29" s="725" t="s">
        <v>371</v>
      </c>
      <c r="B29" s="89" t="s">
        <v>406</v>
      </c>
      <c r="C29" s="101" t="s">
        <v>407</v>
      </c>
      <c r="D29" s="85" t="s">
        <v>408</v>
      </c>
      <c r="E29" s="102" t="s">
        <v>375</v>
      </c>
      <c r="F29" s="383">
        <v>33570</v>
      </c>
      <c r="G29" s="89" t="s">
        <v>613</v>
      </c>
      <c r="H29" s="721" t="s">
        <v>614</v>
      </c>
      <c r="I29" s="722">
        <v>50000</v>
      </c>
      <c r="J29" s="845">
        <v>504452.12</v>
      </c>
      <c r="K29" s="723"/>
      <c r="L29" s="723"/>
      <c r="M29" s="723">
        <f>SUM(I29:L29)</f>
        <v>554452.12</v>
      </c>
      <c r="N29" s="723">
        <v>70</v>
      </c>
      <c r="O29" s="437"/>
      <c r="P29" s="894">
        <f t="shared" si="0"/>
        <v>6589.0633527612135</v>
      </c>
      <c r="Q29" s="454">
        <f>SUM(P29:P31)</f>
        <v>11936.826309718699</v>
      </c>
      <c r="R29" s="894">
        <f t="shared" si="1"/>
        <v>808.997915184357</v>
      </c>
      <c r="S29" s="454">
        <f>SUM(R29:R31)</f>
        <v>1465.5903398520827</v>
      </c>
      <c r="T29" s="894">
        <f t="shared" si="2"/>
        <v>945.99720885152863</v>
      </c>
      <c r="U29" s="454">
        <f>SUM(T29:T31)</f>
        <v>1713.7799057292823</v>
      </c>
      <c r="V29" s="894">
        <f t="shared" si="3"/>
        <v>1004.711191851745</v>
      </c>
      <c r="W29" s="454">
        <f>SUM(V29:V31)</f>
        <v>1820.1468625337961</v>
      </c>
      <c r="X29" s="270">
        <f t="shared" si="4"/>
        <v>59.496836106885929</v>
      </c>
      <c r="Y29" s="257">
        <f>SUM(X29:X31)</f>
        <v>107.78518289524102</v>
      </c>
      <c r="Z29" s="707"/>
      <c r="AA29" s="723">
        <f t="shared" si="5"/>
        <v>6606.3980803233144</v>
      </c>
      <c r="AB29" s="257">
        <f>SUM(AA29:AA31)</f>
        <v>6606.3980803233144</v>
      </c>
      <c r="AC29" s="723">
        <f t="shared" si="6"/>
        <v>124.75877746905785</v>
      </c>
      <c r="AD29" s="257">
        <f>SUM(AC29:AC31)</f>
        <v>124.75877746905785</v>
      </c>
      <c r="AE29" s="707"/>
      <c r="AF29" s="723">
        <f t="shared" si="7"/>
        <v>3687.4387471583736</v>
      </c>
      <c r="AG29" s="257">
        <f>SUM(AF29:AF31)</f>
        <v>3687.4387471583736</v>
      </c>
      <c r="AH29" s="707"/>
      <c r="AI29" s="257">
        <f t="shared" si="8"/>
        <v>27462.724205679842</v>
      </c>
      <c r="AJ29" s="707"/>
      <c r="AK29" s="358"/>
      <c r="AL29" s="89" t="s">
        <v>406</v>
      </c>
      <c r="AM29" s="359"/>
      <c r="AN29" s="615"/>
      <c r="AO29" s="615"/>
      <c r="AP29" s="60">
        <v>200</v>
      </c>
      <c r="AQ29" s="628">
        <v>1982</v>
      </c>
      <c r="AR29" s="628"/>
      <c r="AS29" s="628"/>
      <c r="AT29" s="628" t="s">
        <v>594</v>
      </c>
      <c r="AU29" s="628">
        <v>1</v>
      </c>
      <c r="AV29" s="628"/>
      <c r="AW29" s="626"/>
      <c r="AX29" s="110" t="s">
        <v>587</v>
      </c>
      <c r="AY29" s="529" t="s">
        <v>588</v>
      </c>
      <c r="AZ29" s="47" t="s">
        <v>581</v>
      </c>
    </row>
    <row r="30" spans="1:52" s="22" customFormat="1" ht="15.75">
      <c r="A30" s="728"/>
      <c r="B30" s="55"/>
      <c r="C30" s="62"/>
      <c r="D30" s="55"/>
      <c r="E30" s="62"/>
      <c r="F30" s="402"/>
      <c r="G30" s="55"/>
      <c r="H30" s="721" t="s">
        <v>615</v>
      </c>
      <c r="I30" s="722">
        <v>200000</v>
      </c>
      <c r="J30" s="722"/>
      <c r="K30" s="723"/>
      <c r="L30" s="723"/>
      <c r="M30" s="723">
        <f>SUM(I30:L30)</f>
        <v>200000</v>
      </c>
      <c r="N30" s="723"/>
      <c r="O30" s="437"/>
      <c r="P30" s="894">
        <f t="shared" si="0"/>
        <v>2376.7835364255488</v>
      </c>
      <c r="Q30" s="455"/>
      <c r="R30" s="894">
        <f t="shared" si="1"/>
        <v>291.818855407878</v>
      </c>
      <c r="S30" s="455"/>
      <c r="T30" s="894">
        <f t="shared" si="2"/>
        <v>341.23675416789052</v>
      </c>
      <c r="U30" s="455"/>
      <c r="V30" s="894">
        <f t="shared" si="3"/>
        <v>362.41585363646726</v>
      </c>
      <c r="W30" s="455"/>
      <c r="X30" s="270">
        <f t="shared" si="4"/>
        <v>21.461487461491149</v>
      </c>
      <c r="Y30" s="271"/>
      <c r="Z30" s="707"/>
      <c r="AA30" s="723">
        <f t="shared" si="5"/>
        <v>0</v>
      </c>
      <c r="AB30" s="271"/>
      <c r="AC30" s="723">
        <f t="shared" si="6"/>
        <v>0</v>
      </c>
      <c r="AD30" s="271"/>
      <c r="AE30" s="707"/>
      <c r="AF30" s="723">
        <f t="shared" si="7"/>
        <v>0</v>
      </c>
      <c r="AG30" s="271"/>
      <c r="AH30" s="707"/>
      <c r="AI30" s="271"/>
      <c r="AJ30" s="707"/>
      <c r="AK30" s="358"/>
      <c r="AL30" s="55"/>
      <c r="AM30" s="359"/>
      <c r="AN30" s="615"/>
      <c r="AO30" s="615"/>
      <c r="AP30" s="60">
        <v>1834</v>
      </c>
      <c r="AQ30" s="628">
        <v>1982</v>
      </c>
      <c r="AR30" s="628">
        <v>2016</v>
      </c>
      <c r="AS30" s="628">
        <v>2004</v>
      </c>
      <c r="AT30" s="628" t="s">
        <v>594</v>
      </c>
      <c r="AU30" s="628">
        <v>1</v>
      </c>
      <c r="AV30" s="628" t="s">
        <v>579</v>
      </c>
      <c r="AW30" s="626" t="s">
        <v>616</v>
      </c>
      <c r="AX30" s="111"/>
      <c r="AY30" s="111"/>
      <c r="AZ30" s="39" t="s">
        <v>583</v>
      </c>
    </row>
    <row r="31" spans="1:52" s="22" customFormat="1" ht="15.75">
      <c r="A31" s="83"/>
      <c r="B31" s="64"/>
      <c r="C31" s="112"/>
      <c r="D31" s="64"/>
      <c r="E31" s="112"/>
      <c r="F31" s="403"/>
      <c r="G31" s="64"/>
      <c r="H31" s="721" t="s">
        <v>617</v>
      </c>
      <c r="I31" s="722">
        <v>250000</v>
      </c>
      <c r="J31" s="722"/>
      <c r="K31" s="723"/>
      <c r="L31" s="723"/>
      <c r="M31" s="723">
        <f>SUM(I31:L31)</f>
        <v>250000</v>
      </c>
      <c r="N31" s="723"/>
      <c r="O31" s="437"/>
      <c r="P31" s="894">
        <f t="shared" si="0"/>
        <v>2970.9794205319358</v>
      </c>
      <c r="Q31" s="455"/>
      <c r="R31" s="894">
        <f t="shared" si="1"/>
        <v>364.77356925984748</v>
      </c>
      <c r="S31" s="455"/>
      <c r="T31" s="894">
        <f t="shared" si="2"/>
        <v>426.54594270986314</v>
      </c>
      <c r="U31" s="455"/>
      <c r="V31" s="894">
        <f t="shared" si="3"/>
        <v>453.01981704558409</v>
      </c>
      <c r="W31" s="455"/>
      <c r="X31" s="270">
        <f t="shared" si="4"/>
        <v>26.826859326863936</v>
      </c>
      <c r="Y31" s="255"/>
      <c r="Z31" s="707"/>
      <c r="AA31" s="723">
        <f t="shared" si="5"/>
        <v>0</v>
      </c>
      <c r="AB31" s="271"/>
      <c r="AC31" s="723">
        <f t="shared" si="6"/>
        <v>0</v>
      </c>
      <c r="AD31" s="271"/>
      <c r="AE31" s="707"/>
      <c r="AF31" s="723">
        <f t="shared" si="7"/>
        <v>0</v>
      </c>
      <c r="AG31" s="271"/>
      <c r="AH31" s="707"/>
      <c r="AI31" s="271"/>
      <c r="AJ31" s="707"/>
      <c r="AK31" s="358"/>
      <c r="AL31" s="64"/>
      <c r="AM31" s="359"/>
      <c r="AN31" s="615"/>
      <c r="AO31" s="615"/>
      <c r="AP31" s="60">
        <v>2000</v>
      </c>
      <c r="AQ31" s="628">
        <v>1982</v>
      </c>
      <c r="AR31" s="628">
        <v>2013</v>
      </c>
      <c r="AS31" s="628">
        <v>2006</v>
      </c>
      <c r="AT31" s="628" t="s">
        <v>594</v>
      </c>
      <c r="AU31" s="628">
        <v>1</v>
      </c>
      <c r="AV31" s="628" t="s">
        <v>579</v>
      </c>
      <c r="AW31" s="626" t="s">
        <v>579</v>
      </c>
      <c r="AX31" s="113"/>
      <c r="AY31" s="113"/>
      <c r="AZ31" s="114"/>
    </row>
    <row r="32" spans="1:52" ht="15.75">
      <c r="A32" s="740"/>
      <c r="B32" s="115" t="s">
        <v>443</v>
      </c>
      <c r="C32" s="116"/>
      <c r="D32" s="21"/>
      <c r="E32" s="116"/>
      <c r="F32" s="404"/>
      <c r="G32" s="21"/>
      <c r="H32" s="21"/>
      <c r="I32" s="735"/>
      <c r="J32" s="915"/>
      <c r="K32" s="735"/>
      <c r="L32" s="735"/>
      <c r="M32" s="735"/>
      <c r="N32" s="735"/>
      <c r="O32" s="438"/>
      <c r="P32" s="898"/>
      <c r="Q32" s="462"/>
      <c r="R32" s="898"/>
      <c r="S32" s="462"/>
      <c r="T32" s="898"/>
      <c r="U32" s="462"/>
      <c r="V32" s="898"/>
      <c r="W32" s="462"/>
      <c r="X32" s="272"/>
      <c r="Y32" s="258"/>
      <c r="Z32" s="715"/>
      <c r="AA32" s="735"/>
      <c r="AB32" s="258"/>
      <c r="AC32" s="735"/>
      <c r="AD32" s="258"/>
      <c r="AE32" s="715"/>
      <c r="AF32" s="735"/>
      <c r="AG32" s="258"/>
      <c r="AH32" s="715"/>
      <c r="AI32" s="258"/>
      <c r="AJ32" s="715"/>
      <c r="AK32" s="360"/>
      <c r="AL32" s="115" t="s">
        <v>443</v>
      </c>
      <c r="AM32" s="361"/>
      <c r="AN32" s="711"/>
      <c r="AO32" s="711"/>
      <c r="AP32" s="100"/>
      <c r="AQ32" s="738"/>
      <c r="AR32" s="738"/>
      <c r="AS32" s="738"/>
      <c r="AT32" s="738"/>
      <c r="AU32" s="738"/>
      <c r="AV32" s="738"/>
      <c r="AW32" s="739"/>
      <c r="AX32" s="117"/>
      <c r="AY32" s="117"/>
      <c r="AZ32" s="118"/>
    </row>
    <row r="33" spans="1:52" ht="15.75">
      <c r="A33" s="741"/>
      <c r="B33" s="119" t="s">
        <v>444</v>
      </c>
      <c r="C33" s="120" t="s">
        <v>445</v>
      </c>
      <c r="D33" s="121" t="s">
        <v>446</v>
      </c>
      <c r="E33" s="122" t="s">
        <v>375</v>
      </c>
      <c r="F33" s="385">
        <v>34689</v>
      </c>
      <c r="G33" s="123" t="s">
        <v>618</v>
      </c>
      <c r="H33" s="734" t="s">
        <v>619</v>
      </c>
      <c r="I33" s="736">
        <v>70000</v>
      </c>
      <c r="J33" s="853">
        <v>309521.67</v>
      </c>
      <c r="K33" s="735"/>
      <c r="L33" s="735"/>
      <c r="M33" s="735">
        <f t="shared" ref="M33:M38" si="9">SUM(I33:L33)</f>
        <v>379521.67</v>
      </c>
      <c r="N33" s="735">
        <v>44</v>
      </c>
      <c r="O33" s="438"/>
      <c r="P33" s="898">
        <f t="shared" ref="P33:P38" si="10">(M33/$M$131)*$P$131</f>
        <v>4510.2042848636502</v>
      </c>
      <c r="Q33" s="463"/>
      <c r="R33" s="898">
        <f t="shared" ref="R33:R38" si="11">(M33/$M$131)*$R$131</f>
        <v>553.75789670943186</v>
      </c>
      <c r="S33" s="463"/>
      <c r="T33" s="898">
        <f t="shared" ref="T33:T38" si="12">(M33/$M$131)*$T$131</f>
        <v>647.53371403588619</v>
      </c>
      <c r="U33" s="463"/>
      <c r="V33" s="898">
        <f t="shared" ref="V33:V38" si="13">(M33/$M$131)*$V$131</f>
        <v>687.72335003293813</v>
      </c>
      <c r="W33" s="463"/>
      <c r="X33" s="272">
        <f t="shared" ref="X33:X38" si="14">(M33/$M$131)*$X$131</f>
        <v>40.7254978103459</v>
      </c>
      <c r="Y33" s="273"/>
      <c r="Z33" s="715"/>
      <c r="AA33" s="735">
        <f t="shared" ref="AA33:AA38" si="15">(N33/$N$131)*$AA$131</f>
        <v>4152.5930790603688</v>
      </c>
      <c r="AB33" s="273"/>
      <c r="AC33" s="735">
        <f t="shared" ref="AC33:AC38" si="16">(N33/$N$131)*$AC$131</f>
        <v>78.419802980550642</v>
      </c>
      <c r="AD33" s="273"/>
      <c r="AE33" s="715"/>
      <c r="AF33" s="735">
        <f t="shared" ref="AF33:AF38" si="17">(N33/$N$131)*$AF$131</f>
        <v>2317.8186410709777</v>
      </c>
      <c r="AG33" s="273"/>
      <c r="AH33" s="715"/>
      <c r="AI33" s="273">
        <f>P33+R33+T33+V33+X33+AA33+AC33+AF33</f>
        <v>12988.776266564149</v>
      </c>
      <c r="AJ33" s="715"/>
      <c r="AK33" s="360"/>
      <c r="AL33" s="119" t="s">
        <v>444</v>
      </c>
      <c r="AM33" s="361"/>
      <c r="AN33" s="711"/>
      <c r="AO33" s="711"/>
      <c r="AP33" s="124">
        <v>386</v>
      </c>
      <c r="AQ33" s="737">
        <v>1986</v>
      </c>
      <c r="AR33" s="737">
        <v>2013</v>
      </c>
      <c r="AS33" s="737">
        <v>2005</v>
      </c>
      <c r="AT33" s="737" t="s">
        <v>586</v>
      </c>
      <c r="AU33" s="737">
        <v>1</v>
      </c>
      <c r="AV33" s="737" t="s">
        <v>579</v>
      </c>
      <c r="AW33" s="742" t="s">
        <v>616</v>
      </c>
      <c r="AX33" s="737" t="s">
        <v>580</v>
      </c>
      <c r="AY33" s="711" t="s">
        <v>588</v>
      </c>
      <c r="AZ33" s="125"/>
    </row>
    <row r="34" spans="1:52" ht="15.75">
      <c r="A34" s="741"/>
      <c r="B34" s="119" t="s">
        <v>448</v>
      </c>
      <c r="C34" s="120" t="s">
        <v>449</v>
      </c>
      <c r="D34" s="121" t="s">
        <v>450</v>
      </c>
      <c r="E34" s="122" t="s">
        <v>451</v>
      </c>
      <c r="F34" s="385">
        <v>32174</v>
      </c>
      <c r="G34" s="123" t="s">
        <v>620</v>
      </c>
      <c r="H34" s="734" t="s">
        <v>619</v>
      </c>
      <c r="I34" s="736">
        <v>242000</v>
      </c>
      <c r="J34" s="853">
        <v>327724.26</v>
      </c>
      <c r="K34" s="735"/>
      <c r="L34" s="735"/>
      <c r="M34" s="735">
        <f t="shared" si="9"/>
        <v>569724.26</v>
      </c>
      <c r="N34" s="735"/>
      <c r="O34" s="438"/>
      <c r="P34" s="898">
        <f t="shared" si="10"/>
        <v>6770.5562073511446</v>
      </c>
      <c r="Q34" s="463"/>
      <c r="R34" s="898">
        <f t="shared" si="11"/>
        <v>831.28140725650144</v>
      </c>
      <c r="S34" s="463"/>
      <c r="T34" s="898">
        <f t="shared" si="12"/>
        <v>972.05428626551668</v>
      </c>
      <c r="U34" s="463"/>
      <c r="V34" s="898">
        <f t="shared" si="13"/>
        <v>1032.3855201265233</v>
      </c>
      <c r="W34" s="463"/>
      <c r="X34" s="272">
        <f t="shared" si="14"/>
        <v>61.135650312486618</v>
      </c>
      <c r="Y34" s="273"/>
      <c r="Z34" s="715"/>
      <c r="AA34" s="735">
        <f t="shared" si="15"/>
        <v>0</v>
      </c>
      <c r="AB34" s="273"/>
      <c r="AC34" s="735">
        <f t="shared" si="16"/>
        <v>0</v>
      </c>
      <c r="AD34" s="273"/>
      <c r="AE34" s="715"/>
      <c r="AF34" s="735">
        <f t="shared" si="17"/>
        <v>0</v>
      </c>
      <c r="AG34" s="273"/>
      <c r="AH34" s="715"/>
      <c r="AI34" s="273">
        <f t="shared" ref="AI34:AI45" si="18">P34+R34+T34+V34+X34+AA34+AC34+AF34</f>
        <v>9667.4130713121722</v>
      </c>
      <c r="AJ34" s="715"/>
      <c r="AK34" s="360"/>
      <c r="AL34" s="119" t="s">
        <v>448</v>
      </c>
      <c r="AM34" s="361"/>
      <c r="AN34" s="711"/>
      <c r="AO34" s="711"/>
      <c r="AP34" s="124">
        <v>1380</v>
      </c>
      <c r="AQ34" s="737">
        <v>1990</v>
      </c>
      <c r="AR34" s="737">
        <v>2013</v>
      </c>
      <c r="AS34" s="737">
        <v>1990</v>
      </c>
      <c r="AT34" s="737" t="s">
        <v>586</v>
      </c>
      <c r="AU34" s="737">
        <v>1</v>
      </c>
      <c r="AV34" s="737" t="s">
        <v>579</v>
      </c>
      <c r="AW34" s="742" t="s">
        <v>616</v>
      </c>
      <c r="AX34" s="737" t="s">
        <v>580</v>
      </c>
      <c r="AY34" s="711" t="s">
        <v>588</v>
      </c>
      <c r="AZ34" s="125"/>
    </row>
    <row r="35" spans="1:52" ht="15.75">
      <c r="A35" s="741"/>
      <c r="B35" s="119" t="s">
        <v>452</v>
      </c>
      <c r="C35" s="120" t="s">
        <v>453</v>
      </c>
      <c r="D35" s="121" t="s">
        <v>450</v>
      </c>
      <c r="E35" s="122" t="s">
        <v>451</v>
      </c>
      <c r="F35" s="385">
        <v>32174</v>
      </c>
      <c r="G35" s="123" t="s">
        <v>620</v>
      </c>
      <c r="H35" s="734" t="s">
        <v>585</v>
      </c>
      <c r="I35" s="736">
        <v>175000</v>
      </c>
      <c r="J35" s="736">
        <v>0</v>
      </c>
      <c r="K35" s="735"/>
      <c r="L35" s="735"/>
      <c r="M35" s="735">
        <f t="shared" si="9"/>
        <v>175000</v>
      </c>
      <c r="N35" s="735">
        <v>61</v>
      </c>
      <c r="O35" s="438"/>
      <c r="P35" s="898">
        <f t="shared" si="10"/>
        <v>2079.6855943723554</v>
      </c>
      <c r="Q35" s="463"/>
      <c r="R35" s="898">
        <f t="shared" si="11"/>
        <v>255.34149848189324</v>
      </c>
      <c r="S35" s="463"/>
      <c r="T35" s="898">
        <f t="shared" si="12"/>
        <v>298.58215989690416</v>
      </c>
      <c r="U35" s="463"/>
      <c r="V35" s="898">
        <f t="shared" si="13"/>
        <v>317.11387193190888</v>
      </c>
      <c r="W35" s="463"/>
      <c r="X35" s="272">
        <f t="shared" si="14"/>
        <v>18.778801528804756</v>
      </c>
      <c r="Y35" s="273"/>
      <c r="Z35" s="715"/>
      <c r="AA35" s="735">
        <f t="shared" si="15"/>
        <v>5757.0040414246023</v>
      </c>
      <c r="AB35" s="273"/>
      <c r="AC35" s="735">
        <f t="shared" si="16"/>
        <v>108.71836322303612</v>
      </c>
      <c r="AD35" s="273"/>
      <c r="AE35" s="715"/>
      <c r="AF35" s="735">
        <f t="shared" si="17"/>
        <v>3213.3394796665825</v>
      </c>
      <c r="AG35" s="273"/>
      <c r="AH35" s="715"/>
      <c r="AI35" s="273">
        <f t="shared" si="18"/>
        <v>12048.563810526088</v>
      </c>
      <c r="AJ35" s="715"/>
      <c r="AK35" s="360"/>
      <c r="AL35" s="119" t="s">
        <v>452</v>
      </c>
      <c r="AM35" s="361"/>
      <c r="AN35" s="711"/>
      <c r="AO35" s="711"/>
      <c r="AP35" s="124">
        <v>989</v>
      </c>
      <c r="AQ35" s="737">
        <v>1991</v>
      </c>
      <c r="AR35" s="737">
        <v>2014</v>
      </c>
      <c r="AS35" s="737">
        <v>1991</v>
      </c>
      <c r="AT35" s="737" t="s">
        <v>578</v>
      </c>
      <c r="AU35" s="737">
        <v>1</v>
      </c>
      <c r="AV35" s="737" t="s">
        <v>621</v>
      </c>
      <c r="AW35" s="742" t="s">
        <v>616</v>
      </c>
      <c r="AX35" s="737" t="s">
        <v>580</v>
      </c>
      <c r="AY35" s="711" t="s">
        <v>588</v>
      </c>
      <c r="AZ35" s="125"/>
    </row>
    <row r="36" spans="1:52" ht="15.75">
      <c r="A36" s="741"/>
      <c r="B36" s="119" t="s">
        <v>452</v>
      </c>
      <c r="C36" s="120" t="s">
        <v>454</v>
      </c>
      <c r="D36" s="121" t="s">
        <v>450</v>
      </c>
      <c r="E36" s="122" t="s">
        <v>451</v>
      </c>
      <c r="F36" s="385">
        <v>32174</v>
      </c>
      <c r="G36" s="123" t="s">
        <v>620</v>
      </c>
      <c r="H36" s="734" t="s">
        <v>577</v>
      </c>
      <c r="I36" s="736">
        <v>50000</v>
      </c>
      <c r="J36" s="736">
        <v>0</v>
      </c>
      <c r="K36" s="735"/>
      <c r="L36" s="735"/>
      <c r="M36" s="735">
        <f t="shared" si="9"/>
        <v>50000</v>
      </c>
      <c r="N36" s="735"/>
      <c r="O36" s="438"/>
      <c r="P36" s="898">
        <f t="shared" si="10"/>
        <v>594.19588410638721</v>
      </c>
      <c r="Q36" s="463"/>
      <c r="R36" s="898">
        <f t="shared" si="11"/>
        <v>72.954713851969501</v>
      </c>
      <c r="S36" s="463"/>
      <c r="T36" s="898">
        <f t="shared" si="12"/>
        <v>85.309188541972631</v>
      </c>
      <c r="U36" s="463"/>
      <c r="V36" s="898">
        <f t="shared" si="13"/>
        <v>90.603963409116815</v>
      </c>
      <c r="W36" s="463"/>
      <c r="X36" s="272">
        <f t="shared" si="14"/>
        <v>5.3653718653727873</v>
      </c>
      <c r="Y36" s="273"/>
      <c r="Z36" s="715"/>
      <c r="AA36" s="735">
        <f t="shared" si="15"/>
        <v>0</v>
      </c>
      <c r="AB36" s="273"/>
      <c r="AC36" s="735">
        <f t="shared" si="16"/>
        <v>0</v>
      </c>
      <c r="AD36" s="273"/>
      <c r="AE36" s="715"/>
      <c r="AF36" s="735">
        <f t="shared" si="17"/>
        <v>0</v>
      </c>
      <c r="AG36" s="273"/>
      <c r="AH36" s="715"/>
      <c r="AI36" s="273">
        <f t="shared" si="18"/>
        <v>848.4291217748189</v>
      </c>
      <c r="AJ36" s="715"/>
      <c r="AK36" s="360"/>
      <c r="AL36" s="119" t="s">
        <v>452</v>
      </c>
      <c r="AM36" s="361"/>
      <c r="AN36" s="711"/>
      <c r="AO36" s="711"/>
      <c r="AP36" s="124">
        <v>288</v>
      </c>
      <c r="AQ36" s="737">
        <v>1991</v>
      </c>
      <c r="AR36" s="737">
        <v>2013</v>
      </c>
      <c r="AS36" s="737">
        <v>1991</v>
      </c>
      <c r="AT36" s="737" t="s">
        <v>228</v>
      </c>
      <c r="AU36" s="737">
        <v>1</v>
      </c>
      <c r="AV36" s="737" t="s">
        <v>579</v>
      </c>
      <c r="AW36" s="742" t="s">
        <v>579</v>
      </c>
      <c r="AX36" s="737" t="s">
        <v>580</v>
      </c>
      <c r="AY36" s="711" t="s">
        <v>588</v>
      </c>
      <c r="AZ36" s="125"/>
    </row>
    <row r="37" spans="1:52" ht="15.75">
      <c r="A37" s="741"/>
      <c r="B37" s="119" t="s">
        <v>455</v>
      </c>
      <c r="C37" s="120" t="s">
        <v>456</v>
      </c>
      <c r="D37" s="121" t="s">
        <v>450</v>
      </c>
      <c r="E37" s="122" t="s">
        <v>451</v>
      </c>
      <c r="F37" s="385">
        <v>32174</v>
      </c>
      <c r="G37" s="123" t="s">
        <v>620</v>
      </c>
      <c r="H37" s="734" t="s">
        <v>585</v>
      </c>
      <c r="I37" s="736">
        <v>80000</v>
      </c>
      <c r="J37" s="853">
        <v>286269.11</v>
      </c>
      <c r="K37" s="735"/>
      <c r="L37" s="735"/>
      <c r="M37" s="735">
        <f t="shared" si="9"/>
        <v>366269.11</v>
      </c>
      <c r="N37" s="735"/>
      <c r="O37" s="438"/>
      <c r="P37" s="898">
        <f t="shared" si="10"/>
        <v>4352.7119527461909</v>
      </c>
      <c r="Q37" s="463"/>
      <c r="R37" s="898">
        <f t="shared" si="11"/>
        <v>534.4211622573107</v>
      </c>
      <c r="S37" s="463"/>
      <c r="T37" s="898">
        <f t="shared" si="12"/>
        <v>624.9224112418101</v>
      </c>
      <c r="U37" s="463"/>
      <c r="V37" s="898">
        <f t="shared" si="13"/>
        <v>663.70866080659562</v>
      </c>
      <c r="W37" s="463"/>
      <c r="X37" s="272">
        <f t="shared" si="14"/>
        <v>39.303399558982605</v>
      </c>
      <c r="Y37" s="273"/>
      <c r="Z37" s="715"/>
      <c r="AA37" s="735">
        <f t="shared" si="15"/>
        <v>0</v>
      </c>
      <c r="AB37" s="273"/>
      <c r="AC37" s="735">
        <f t="shared" si="16"/>
        <v>0</v>
      </c>
      <c r="AD37" s="273"/>
      <c r="AE37" s="715"/>
      <c r="AF37" s="735">
        <f t="shared" si="17"/>
        <v>0</v>
      </c>
      <c r="AG37" s="273"/>
      <c r="AH37" s="715"/>
      <c r="AI37" s="273">
        <f t="shared" si="18"/>
        <v>6215.0675866108904</v>
      </c>
      <c r="AJ37" s="715"/>
      <c r="AK37" s="360"/>
      <c r="AL37" s="119" t="s">
        <v>455</v>
      </c>
      <c r="AM37" s="361"/>
      <c r="AN37" s="711"/>
      <c r="AO37" s="711"/>
      <c r="AP37" s="124">
        <v>400</v>
      </c>
      <c r="AQ37" s="737">
        <v>1979</v>
      </c>
      <c r="AR37" s="737">
        <v>2020</v>
      </c>
      <c r="AS37" s="737">
        <v>2012</v>
      </c>
      <c r="AT37" s="737" t="s">
        <v>586</v>
      </c>
      <c r="AU37" s="737">
        <v>1</v>
      </c>
      <c r="AV37" s="737" t="s">
        <v>579</v>
      </c>
      <c r="AW37" s="742" t="s">
        <v>616</v>
      </c>
      <c r="AX37" s="737" t="s">
        <v>580</v>
      </c>
      <c r="AY37" s="711" t="s">
        <v>588</v>
      </c>
      <c r="AZ37" s="125"/>
    </row>
    <row r="38" spans="1:52" ht="15.75">
      <c r="A38" s="741"/>
      <c r="B38" s="119" t="s">
        <v>458</v>
      </c>
      <c r="C38" s="120" t="s">
        <v>459</v>
      </c>
      <c r="D38" s="121" t="s">
        <v>460</v>
      </c>
      <c r="E38" s="122" t="s">
        <v>375</v>
      </c>
      <c r="F38" s="385">
        <v>32244</v>
      </c>
      <c r="G38" s="123" t="s">
        <v>622</v>
      </c>
      <c r="H38" s="734" t="s">
        <v>623</v>
      </c>
      <c r="I38" s="736">
        <v>36000</v>
      </c>
      <c r="J38" s="853">
        <v>329010.42</v>
      </c>
      <c r="K38" s="735"/>
      <c r="L38" s="735"/>
      <c r="M38" s="735">
        <f t="shared" si="9"/>
        <v>365010.42</v>
      </c>
      <c r="N38" s="735">
        <v>36</v>
      </c>
      <c r="O38" s="438"/>
      <c r="P38" s="898">
        <f t="shared" si="10"/>
        <v>4337.7537843988739</v>
      </c>
      <c r="Q38" s="463"/>
      <c r="R38" s="898">
        <f t="shared" si="11"/>
        <v>532.58461488174396</v>
      </c>
      <c r="S38" s="463"/>
      <c r="T38" s="898">
        <f t="shared" si="12"/>
        <v>622.77485479129223</v>
      </c>
      <c r="U38" s="463"/>
      <c r="V38" s="898">
        <f t="shared" si="13"/>
        <v>661.42781475252718</v>
      </c>
      <c r="W38" s="463"/>
      <c r="X38" s="272">
        <f t="shared" si="14"/>
        <v>39.168332760718087</v>
      </c>
      <c r="Y38" s="273"/>
      <c r="Z38" s="715"/>
      <c r="AA38" s="735">
        <f t="shared" si="15"/>
        <v>3397.5761555948475</v>
      </c>
      <c r="AB38" s="273"/>
      <c r="AC38" s="735">
        <f t="shared" si="16"/>
        <v>64.161656984086889</v>
      </c>
      <c r="AD38" s="273"/>
      <c r="AE38" s="715"/>
      <c r="AF38" s="735">
        <f t="shared" si="17"/>
        <v>1896.3970699671636</v>
      </c>
      <c r="AG38" s="273"/>
      <c r="AH38" s="715"/>
      <c r="AI38" s="273">
        <f t="shared" si="18"/>
        <v>11551.844284131254</v>
      </c>
      <c r="AJ38" s="715"/>
      <c r="AK38" s="360"/>
      <c r="AL38" s="119" t="s">
        <v>458</v>
      </c>
      <c r="AM38" s="361"/>
      <c r="AN38" s="711"/>
      <c r="AO38" s="711"/>
      <c r="AP38" s="124">
        <v>200</v>
      </c>
      <c r="AQ38" s="737">
        <v>1985</v>
      </c>
      <c r="AR38" s="737">
        <v>2017</v>
      </c>
      <c r="AS38" s="737">
        <v>1985</v>
      </c>
      <c r="AT38" s="737" t="s">
        <v>228</v>
      </c>
      <c r="AU38" s="737">
        <v>1</v>
      </c>
      <c r="AV38" s="737" t="s">
        <v>579</v>
      </c>
      <c r="AW38" s="742" t="s">
        <v>579</v>
      </c>
      <c r="AX38" s="737" t="s">
        <v>580</v>
      </c>
      <c r="AY38" s="711" t="s">
        <v>588</v>
      </c>
      <c r="AZ38" s="125"/>
    </row>
    <row r="39" spans="1:52" ht="15.75">
      <c r="A39" s="743"/>
      <c r="B39" s="115" t="s">
        <v>624</v>
      </c>
      <c r="C39" s="127"/>
      <c r="D39" s="128"/>
      <c r="E39" s="129"/>
      <c r="F39" s="386"/>
      <c r="G39" s="21"/>
      <c r="H39" s="734"/>
      <c r="I39" s="736"/>
      <c r="J39" s="853"/>
      <c r="K39" s="735"/>
      <c r="L39" s="735"/>
      <c r="M39" s="735"/>
      <c r="N39" s="735"/>
      <c r="O39" s="438"/>
      <c r="P39" s="898"/>
      <c r="Q39" s="463"/>
      <c r="R39" s="898">
        <f t="shared" ref="R39" si="19">(M39/$M$131)*$R$131</f>
        <v>0</v>
      </c>
      <c r="S39" s="463"/>
      <c r="T39" s="898">
        <f t="shared" ref="T39" si="20">(M39/$M$131)*$T$131</f>
        <v>0</v>
      </c>
      <c r="U39" s="463"/>
      <c r="V39" s="898">
        <f t="shared" ref="V39" si="21">(M39/$M$131)*$V$131</f>
        <v>0</v>
      </c>
      <c r="W39" s="463"/>
      <c r="X39" s="272"/>
      <c r="Y39" s="273"/>
      <c r="Z39" s="715"/>
      <c r="AA39" s="735">
        <f t="shared" ref="AA39" si="22">(N39/$N$131)*$AA$131</f>
        <v>0</v>
      </c>
      <c r="AB39" s="273"/>
      <c r="AC39" s="735">
        <f t="shared" ref="AC39" si="23">(N39/$N$131)*$AC$131</f>
        <v>0</v>
      </c>
      <c r="AD39" s="273"/>
      <c r="AE39" s="715"/>
      <c r="AF39" s="735">
        <f t="shared" ref="AF39" si="24">(N39/$N$131)*$AF$131</f>
        <v>0</v>
      </c>
      <c r="AG39" s="273"/>
      <c r="AH39" s="715"/>
      <c r="AI39" s="273">
        <f t="shared" si="18"/>
        <v>0</v>
      </c>
      <c r="AJ39" s="715"/>
      <c r="AK39" s="360"/>
      <c r="AL39" s="115" t="s">
        <v>624</v>
      </c>
      <c r="AM39" s="361"/>
      <c r="AN39" s="711"/>
      <c r="AO39" s="711"/>
      <c r="AP39" s="124"/>
      <c r="AQ39" s="737"/>
      <c r="AR39" s="737"/>
      <c r="AS39" s="737"/>
      <c r="AT39" s="737"/>
      <c r="AU39" s="737"/>
      <c r="AV39" s="737"/>
      <c r="AW39" s="742"/>
      <c r="AX39" s="130"/>
      <c r="AY39" s="130"/>
      <c r="AZ39" s="125"/>
    </row>
    <row r="40" spans="1:52" ht="15.75">
      <c r="A40" s="744"/>
      <c r="B40" s="119" t="s">
        <v>461</v>
      </c>
      <c r="C40" s="120" t="s">
        <v>462</v>
      </c>
      <c r="D40" s="121" t="s">
        <v>463</v>
      </c>
      <c r="E40" s="122" t="s">
        <v>375</v>
      </c>
      <c r="F40" s="385">
        <v>33853</v>
      </c>
      <c r="G40" s="121" t="s">
        <v>625</v>
      </c>
      <c r="H40" s="734" t="s">
        <v>585</v>
      </c>
      <c r="I40" s="736">
        <v>60000</v>
      </c>
      <c r="J40" s="853">
        <v>199680.61</v>
      </c>
      <c r="K40" s="735"/>
      <c r="L40" s="735"/>
      <c r="M40" s="735">
        <f t="shared" ref="M40:M71" si="25">SUM(I40:L40)</f>
        <v>259680.61</v>
      </c>
      <c r="N40" s="745">
        <v>46</v>
      </c>
      <c r="O40" s="441"/>
      <c r="P40" s="898">
        <f t="shared" ref="P40:P103" si="26">(M40/$M$131)*$P$131</f>
        <v>3086.0229928847184</v>
      </c>
      <c r="Q40" s="464"/>
      <c r="R40" s="898">
        <f t="shared" ref="R40:R68" si="27">(M40/$M$131)*$R$131</f>
        <v>378.89849190909774</v>
      </c>
      <c r="S40" s="464"/>
      <c r="T40" s="898">
        <f t="shared" ref="T40:T68" si="28">(M40/$M$131)*$T$131</f>
        <v>443.0628423836892</v>
      </c>
      <c r="U40" s="464"/>
      <c r="V40" s="898">
        <f t="shared" ref="V40:V68" si="29">(M40/$M$131)*$V$131</f>
        <v>470.56184972994265</v>
      </c>
      <c r="W40" s="464"/>
      <c r="X40" s="272">
        <f t="shared" ref="X40:X71" si="30">(M40/$M$131)*$X$131</f>
        <v>27.865660777536863</v>
      </c>
      <c r="Y40" s="274"/>
      <c r="Z40" s="746"/>
      <c r="AA40" s="745">
        <f t="shared" ref="AA40:AA67" si="31">(N40/$N$131)*$AA$131</f>
        <v>4341.3473099267494</v>
      </c>
      <c r="AB40" s="274"/>
      <c r="AC40" s="745">
        <f t="shared" ref="AC40:AC46" si="32">(N40/$N$131)*$AC$131</f>
        <v>81.984339479666573</v>
      </c>
      <c r="AD40" s="274"/>
      <c r="AE40" s="746"/>
      <c r="AF40" s="745">
        <f t="shared" ref="AF40:AF67" si="33">(N40/$N$131)*$AF$131</f>
        <v>2423.1740338469308</v>
      </c>
      <c r="AG40" s="274"/>
      <c r="AH40" s="746"/>
      <c r="AI40" s="273">
        <f t="shared" si="18"/>
        <v>11252.917520938332</v>
      </c>
      <c r="AJ40" s="746"/>
      <c r="AK40" s="362"/>
      <c r="AL40" s="119" t="s">
        <v>461</v>
      </c>
      <c r="AM40" s="363"/>
      <c r="AN40" s="711"/>
      <c r="AO40" s="711"/>
      <c r="AP40" s="124">
        <v>400</v>
      </c>
      <c r="AQ40" s="737">
        <v>1992</v>
      </c>
      <c r="AR40" s="737">
        <v>2014</v>
      </c>
      <c r="AS40" s="737">
        <v>1992</v>
      </c>
      <c r="AT40" s="737" t="s">
        <v>586</v>
      </c>
      <c r="AU40" s="737">
        <v>1</v>
      </c>
      <c r="AV40" s="737" t="s">
        <v>579</v>
      </c>
      <c r="AW40" s="742" t="s">
        <v>616</v>
      </c>
      <c r="AX40" s="737" t="s">
        <v>580</v>
      </c>
      <c r="AY40" s="711" t="s">
        <v>588</v>
      </c>
      <c r="AZ40" s="125"/>
    </row>
    <row r="41" spans="1:52" ht="15.75">
      <c r="A41" s="741"/>
      <c r="B41" s="121" t="s">
        <v>464</v>
      </c>
      <c r="C41" s="120" t="s">
        <v>465</v>
      </c>
      <c r="D41" s="121" t="s">
        <v>466</v>
      </c>
      <c r="E41" s="122" t="s">
        <v>467</v>
      </c>
      <c r="F41" s="385">
        <v>36530</v>
      </c>
      <c r="G41" s="121" t="s">
        <v>626</v>
      </c>
      <c r="H41" s="734" t="s">
        <v>585</v>
      </c>
      <c r="I41" s="736">
        <v>290000</v>
      </c>
      <c r="J41" s="853">
        <v>247705.8</v>
      </c>
      <c r="K41" s="735"/>
      <c r="L41" s="735"/>
      <c r="M41" s="735">
        <f t="shared" si="25"/>
        <v>537705.80000000005</v>
      </c>
      <c r="N41" s="745">
        <v>45</v>
      </c>
      <c r="O41" s="441"/>
      <c r="P41" s="898">
        <f t="shared" si="26"/>
        <v>6390.0514644026443</v>
      </c>
      <c r="Q41" s="464"/>
      <c r="R41" s="898">
        <f t="shared" si="27"/>
        <v>784.5634555108868</v>
      </c>
      <c r="S41" s="464"/>
      <c r="T41" s="898">
        <f t="shared" si="28"/>
        <v>917.42490944624444</v>
      </c>
      <c r="U41" s="464"/>
      <c r="V41" s="898">
        <f t="shared" si="29"/>
        <v>974.36553256139769</v>
      </c>
      <c r="W41" s="464"/>
      <c r="X41" s="272">
        <f t="shared" si="30"/>
        <v>57.699831423355334</v>
      </c>
      <c r="Y41" s="274"/>
      <c r="Z41" s="746"/>
      <c r="AA41" s="745">
        <f t="shared" si="31"/>
        <v>4246.9701944935596</v>
      </c>
      <c r="AB41" s="274"/>
      <c r="AC41" s="745">
        <f t="shared" si="32"/>
        <v>80.202071230108615</v>
      </c>
      <c r="AD41" s="274"/>
      <c r="AE41" s="746"/>
      <c r="AF41" s="745">
        <f t="shared" si="33"/>
        <v>2370.4963374589543</v>
      </c>
      <c r="AG41" s="274"/>
      <c r="AH41" s="746"/>
      <c r="AI41" s="273">
        <f t="shared" si="18"/>
        <v>15821.773796527152</v>
      </c>
      <c r="AJ41" s="746"/>
      <c r="AK41" s="362"/>
      <c r="AL41" s="121" t="s">
        <v>464</v>
      </c>
      <c r="AM41" s="363"/>
      <c r="AN41" s="711"/>
      <c r="AO41" s="711"/>
      <c r="AP41" s="124">
        <v>1650</v>
      </c>
      <c r="AQ41" s="737">
        <v>1997</v>
      </c>
      <c r="AR41" s="737">
        <v>2021</v>
      </c>
      <c r="AS41" s="737">
        <v>1997</v>
      </c>
      <c r="AT41" s="737" t="s">
        <v>586</v>
      </c>
      <c r="AU41" s="737">
        <v>1</v>
      </c>
      <c r="AV41" s="737" t="s">
        <v>579</v>
      </c>
      <c r="AW41" s="742" t="s">
        <v>616</v>
      </c>
      <c r="AX41" s="737" t="s">
        <v>580</v>
      </c>
      <c r="AY41" s="711" t="s">
        <v>588</v>
      </c>
      <c r="AZ41" s="125"/>
    </row>
    <row r="42" spans="1:52" ht="15.75">
      <c r="A42" s="741"/>
      <c r="B42" s="121" t="s">
        <v>464</v>
      </c>
      <c r="C42" s="120" t="s">
        <v>468</v>
      </c>
      <c r="D42" s="121" t="s">
        <v>466</v>
      </c>
      <c r="E42" s="122" t="s">
        <v>467</v>
      </c>
      <c r="F42" s="385">
        <v>36530</v>
      </c>
      <c r="G42" s="121" t="s">
        <v>626</v>
      </c>
      <c r="H42" s="734" t="s">
        <v>623</v>
      </c>
      <c r="I42" s="736">
        <v>70000</v>
      </c>
      <c r="J42" s="736">
        <v>0</v>
      </c>
      <c r="K42" s="735"/>
      <c r="L42" s="735"/>
      <c r="M42" s="735">
        <f t="shared" si="25"/>
        <v>70000</v>
      </c>
      <c r="N42" s="745"/>
      <c r="O42" s="441"/>
      <c r="P42" s="898">
        <f t="shared" si="26"/>
        <v>831.87423774894205</v>
      </c>
      <c r="Q42" s="464"/>
      <c r="R42" s="898">
        <f t="shared" si="27"/>
        <v>102.13659939275728</v>
      </c>
      <c r="S42" s="464"/>
      <c r="T42" s="898">
        <f t="shared" si="28"/>
        <v>119.43286395876166</v>
      </c>
      <c r="U42" s="464"/>
      <c r="V42" s="898">
        <f t="shared" si="29"/>
        <v>126.84554877276354</v>
      </c>
      <c r="W42" s="464"/>
      <c r="X42" s="272">
        <f t="shared" si="30"/>
        <v>7.5115206115219015</v>
      </c>
      <c r="Y42" s="274"/>
      <c r="Z42" s="746"/>
      <c r="AA42" s="745">
        <f t="shared" si="31"/>
        <v>0</v>
      </c>
      <c r="AB42" s="274"/>
      <c r="AC42" s="745">
        <f t="shared" si="32"/>
        <v>0</v>
      </c>
      <c r="AD42" s="274"/>
      <c r="AE42" s="746"/>
      <c r="AF42" s="745">
        <f t="shared" si="33"/>
        <v>0</v>
      </c>
      <c r="AG42" s="274"/>
      <c r="AH42" s="746"/>
      <c r="AI42" s="273">
        <f t="shared" si="18"/>
        <v>1187.8007704847464</v>
      </c>
      <c r="AJ42" s="746"/>
      <c r="AK42" s="362"/>
      <c r="AL42" s="121" t="s">
        <v>464</v>
      </c>
      <c r="AM42" s="363"/>
      <c r="AN42" s="711"/>
      <c r="AO42" s="711"/>
      <c r="AP42" s="124">
        <v>400</v>
      </c>
      <c r="AQ42" s="737">
        <v>1998</v>
      </c>
      <c r="AR42" s="737">
        <v>2019</v>
      </c>
      <c r="AS42" s="737">
        <v>1998</v>
      </c>
      <c r="AT42" s="737" t="s">
        <v>586</v>
      </c>
      <c r="AU42" s="737">
        <v>1</v>
      </c>
      <c r="AV42" s="737" t="s">
        <v>579</v>
      </c>
      <c r="AW42" s="742" t="s">
        <v>579</v>
      </c>
      <c r="AX42" s="737" t="s">
        <v>580</v>
      </c>
      <c r="AY42" s="711" t="s">
        <v>588</v>
      </c>
      <c r="AZ42" s="125"/>
    </row>
    <row r="43" spans="1:52" ht="15.75">
      <c r="A43" s="741"/>
      <c r="B43" s="121" t="s">
        <v>469</v>
      </c>
      <c r="C43" s="120" t="s">
        <v>470</v>
      </c>
      <c r="D43" s="121" t="s">
        <v>471</v>
      </c>
      <c r="E43" s="122" t="s">
        <v>375</v>
      </c>
      <c r="F43" s="385">
        <v>32401</v>
      </c>
      <c r="G43" s="121" t="s">
        <v>609</v>
      </c>
      <c r="H43" s="734" t="s">
        <v>589</v>
      </c>
      <c r="I43" s="736">
        <v>80000</v>
      </c>
      <c r="J43" s="853">
        <v>353227.46</v>
      </c>
      <c r="K43" s="735"/>
      <c r="L43" s="735"/>
      <c r="M43" s="735">
        <f t="shared" si="25"/>
        <v>433227.46</v>
      </c>
      <c r="N43" s="745">
        <v>76</v>
      </c>
      <c r="O43" s="441"/>
      <c r="P43" s="898">
        <f t="shared" si="26"/>
        <v>5148.4394722772895</v>
      </c>
      <c r="Q43" s="464"/>
      <c r="R43" s="898">
        <f t="shared" si="27"/>
        <v>632.11970754231118</v>
      </c>
      <c r="S43" s="464"/>
      <c r="T43" s="898">
        <f t="shared" si="28"/>
        <v>739.16566133399795</v>
      </c>
      <c r="U43" s="464"/>
      <c r="V43" s="898">
        <f t="shared" si="29"/>
        <v>785.04249867329236</v>
      </c>
      <c r="W43" s="464"/>
      <c r="X43" s="272">
        <f t="shared" si="30"/>
        <v>46.488528503818287</v>
      </c>
      <c r="Y43" s="274"/>
      <c r="Z43" s="746"/>
      <c r="AA43" s="745">
        <f t="shared" si="31"/>
        <v>7172.6607729224552</v>
      </c>
      <c r="AB43" s="274"/>
      <c r="AC43" s="745">
        <f t="shared" si="32"/>
        <v>135.45238696640564</v>
      </c>
      <c r="AD43" s="274"/>
      <c r="AE43" s="746"/>
      <c r="AF43" s="745">
        <f t="shared" si="33"/>
        <v>4003.5049254862338</v>
      </c>
      <c r="AG43" s="274"/>
      <c r="AH43" s="746"/>
      <c r="AI43" s="273">
        <f t="shared" si="18"/>
        <v>18662.873953705806</v>
      </c>
      <c r="AJ43" s="746"/>
      <c r="AK43" s="362"/>
      <c r="AL43" s="121" t="s">
        <v>469</v>
      </c>
      <c r="AM43" s="363"/>
      <c r="AN43" s="711"/>
      <c r="AO43" s="711"/>
      <c r="AP43" s="124">
        <v>365</v>
      </c>
      <c r="AQ43" s="737">
        <v>2023</v>
      </c>
      <c r="AR43" s="737">
        <v>2023</v>
      </c>
      <c r="AS43" s="737">
        <v>2023</v>
      </c>
      <c r="AT43" s="737" t="s">
        <v>578</v>
      </c>
      <c r="AU43" s="737">
        <v>1</v>
      </c>
      <c r="AV43" s="737" t="s">
        <v>579</v>
      </c>
      <c r="AW43" s="742" t="s">
        <v>579</v>
      </c>
      <c r="AX43" s="737" t="s">
        <v>580</v>
      </c>
      <c r="AY43" s="711" t="s">
        <v>588</v>
      </c>
      <c r="AZ43" s="125"/>
    </row>
    <row r="44" spans="1:52" ht="15.75">
      <c r="A44" s="741"/>
      <c r="B44" s="121" t="s">
        <v>472</v>
      </c>
      <c r="C44" s="120"/>
      <c r="D44" s="121"/>
      <c r="E44" s="122"/>
      <c r="F44" s="385"/>
      <c r="G44" s="121"/>
      <c r="H44" s="734" t="s">
        <v>589</v>
      </c>
      <c r="I44" s="736">
        <v>50000</v>
      </c>
      <c r="J44" s="853">
        <v>158289</v>
      </c>
      <c r="K44" s="735"/>
      <c r="L44" s="735"/>
      <c r="M44" s="735">
        <f t="shared" si="25"/>
        <v>208289</v>
      </c>
      <c r="N44" s="745">
        <v>34</v>
      </c>
      <c r="O44" s="441"/>
      <c r="P44" s="898">
        <f t="shared" si="26"/>
        <v>2475.2893300927058</v>
      </c>
      <c r="Q44" s="464"/>
      <c r="R44" s="898">
        <f t="shared" si="27"/>
        <v>303.91328787025748</v>
      </c>
      <c r="S44" s="464"/>
      <c r="T44" s="898">
        <f t="shared" si="28"/>
        <v>355.37931144437874</v>
      </c>
      <c r="U44" s="464"/>
      <c r="V44" s="898">
        <f t="shared" si="29"/>
        <v>377.43617869043067</v>
      </c>
      <c r="W44" s="464"/>
      <c r="X44" s="272">
        <f t="shared" si="30"/>
        <v>22.350958809332649</v>
      </c>
      <c r="Y44" s="274"/>
      <c r="Z44" s="746"/>
      <c r="AA44" s="745">
        <f t="shared" si="31"/>
        <v>3208.8219247284669</v>
      </c>
      <c r="AB44" s="274"/>
      <c r="AC44" s="745">
        <f t="shared" si="32"/>
        <v>60.597120484970951</v>
      </c>
      <c r="AD44" s="274"/>
      <c r="AE44" s="746"/>
      <c r="AF44" s="745">
        <f t="shared" si="33"/>
        <v>1791.0416771912098</v>
      </c>
      <c r="AG44" s="274"/>
      <c r="AH44" s="746"/>
      <c r="AI44" s="273">
        <f t="shared" si="18"/>
        <v>8594.8297893117542</v>
      </c>
      <c r="AJ44" s="746"/>
      <c r="AK44" s="362"/>
      <c r="AL44" s="121" t="s">
        <v>472</v>
      </c>
      <c r="AM44" s="363"/>
      <c r="AN44" s="711"/>
      <c r="AO44" s="711"/>
      <c r="AP44" s="124">
        <v>365</v>
      </c>
      <c r="AQ44" s="737">
        <v>2023</v>
      </c>
      <c r="AR44" s="737">
        <v>2023</v>
      </c>
      <c r="AS44" s="737">
        <v>2023</v>
      </c>
      <c r="AT44" s="737" t="s">
        <v>578</v>
      </c>
      <c r="AU44" s="737">
        <v>1</v>
      </c>
      <c r="AV44" s="737" t="s">
        <v>579</v>
      </c>
      <c r="AW44" s="742" t="s">
        <v>579</v>
      </c>
      <c r="AX44" s="737" t="s">
        <v>580</v>
      </c>
      <c r="AY44" s="131" t="s">
        <v>588</v>
      </c>
      <c r="AZ44" s="125"/>
    </row>
    <row r="45" spans="1:52" s="135" customFormat="1" ht="15.75">
      <c r="A45" s="747"/>
      <c r="B45" s="276" t="s">
        <v>473</v>
      </c>
      <c r="C45" s="277" t="s">
        <v>474</v>
      </c>
      <c r="D45" s="276" t="s">
        <v>475</v>
      </c>
      <c r="E45" s="278" t="s">
        <v>375</v>
      </c>
      <c r="F45" s="387">
        <v>34667</v>
      </c>
      <c r="G45" s="276" t="s">
        <v>627</v>
      </c>
      <c r="H45" s="748" t="s">
        <v>628</v>
      </c>
      <c r="I45" s="749"/>
      <c r="J45" s="854">
        <v>192223.08</v>
      </c>
      <c r="K45" s="750"/>
      <c r="L45" s="750"/>
      <c r="M45" s="750">
        <f t="shared" si="25"/>
        <v>192223.08</v>
      </c>
      <c r="N45" s="751">
        <v>36</v>
      </c>
      <c r="O45" s="442"/>
      <c r="P45" s="899">
        <f t="shared" si="26"/>
        <v>2284.3632593250559</v>
      </c>
      <c r="Q45" s="465"/>
      <c r="R45" s="899">
        <f t="shared" si="27"/>
        <v>280.47159594288479</v>
      </c>
      <c r="S45" s="465"/>
      <c r="T45" s="899">
        <f t="shared" si="28"/>
        <v>327.96789947677371</v>
      </c>
      <c r="U45" s="465"/>
      <c r="V45" s="899">
        <f t="shared" si="29"/>
        <v>348.32345813415469</v>
      </c>
      <c r="W45" s="465"/>
      <c r="X45" s="275">
        <f t="shared" si="30"/>
        <v>20.62696610614605</v>
      </c>
      <c r="Y45" s="279"/>
      <c r="Z45" s="752"/>
      <c r="AA45" s="751">
        <f t="shared" si="31"/>
        <v>3397.5761555948475</v>
      </c>
      <c r="AB45" s="279"/>
      <c r="AC45" s="751">
        <f t="shared" si="32"/>
        <v>64.161656984086889</v>
      </c>
      <c r="AD45" s="279"/>
      <c r="AE45" s="752"/>
      <c r="AF45" s="751">
        <f t="shared" si="33"/>
        <v>1896.3970699671636</v>
      </c>
      <c r="AG45" s="279"/>
      <c r="AH45" s="752"/>
      <c r="AI45" s="273">
        <f t="shared" si="18"/>
        <v>8619.8880615311136</v>
      </c>
      <c r="AJ45" s="752"/>
      <c r="AK45" s="364"/>
      <c r="AL45" s="276" t="s">
        <v>473</v>
      </c>
      <c r="AM45" s="365"/>
      <c r="AN45" s="753"/>
      <c r="AO45" s="753"/>
      <c r="AP45" s="132"/>
      <c r="AQ45" s="754"/>
      <c r="AR45" s="754"/>
      <c r="AS45" s="754"/>
      <c r="AT45" s="754"/>
      <c r="AU45" s="754"/>
      <c r="AV45" s="754"/>
      <c r="AW45" s="755"/>
      <c r="AX45" s="754" t="s">
        <v>587</v>
      </c>
      <c r="AY45" s="133"/>
      <c r="AZ45" s="134"/>
    </row>
    <row r="46" spans="1:52" ht="30.75">
      <c r="A46" s="630"/>
      <c r="B46" s="136" t="s">
        <v>476</v>
      </c>
      <c r="C46" s="137" t="s">
        <v>477</v>
      </c>
      <c r="D46" s="136" t="s">
        <v>478</v>
      </c>
      <c r="E46" s="138" t="s">
        <v>479</v>
      </c>
      <c r="F46" s="388">
        <v>1057</v>
      </c>
      <c r="G46" s="139" t="s">
        <v>629</v>
      </c>
      <c r="H46" s="718" t="s">
        <v>630</v>
      </c>
      <c r="I46" s="713">
        <v>375000</v>
      </c>
      <c r="J46" s="855">
        <v>444045</v>
      </c>
      <c r="K46" s="713">
        <v>16500</v>
      </c>
      <c r="L46" s="714"/>
      <c r="M46" s="714">
        <f t="shared" si="25"/>
        <v>835545</v>
      </c>
      <c r="N46" s="756">
        <v>61</v>
      </c>
      <c r="O46" s="441"/>
      <c r="P46" s="900">
        <f t="shared" si="26"/>
        <v>9929.5479997134244</v>
      </c>
      <c r="Q46" s="452">
        <f>SUM(P46:P47)</f>
        <v>11016.926467628113</v>
      </c>
      <c r="R46" s="900">
        <f t="shared" si="27"/>
        <v>1219.138927708877</v>
      </c>
      <c r="S46" s="452">
        <f>SUM(R46:R47)</f>
        <v>1352.646054057981</v>
      </c>
      <c r="T46" s="900">
        <f t="shared" si="28"/>
        <v>1425.5933188060501</v>
      </c>
      <c r="U46" s="452">
        <f>SUM(T46:T47)</f>
        <v>1581.70913383786</v>
      </c>
      <c r="V46" s="900">
        <f t="shared" si="29"/>
        <v>1514.0737721334101</v>
      </c>
      <c r="W46" s="452">
        <f>SUM(V46:V47)</f>
        <v>1679.8790251720939</v>
      </c>
      <c r="X46" s="280">
        <f t="shared" si="30"/>
        <v>89.660192705058094</v>
      </c>
      <c r="Y46" s="266">
        <f>SUM(X46:X47)</f>
        <v>99.478823218690295</v>
      </c>
      <c r="Z46" s="746"/>
      <c r="AA46" s="756">
        <f t="shared" si="31"/>
        <v>5757.0040414246023</v>
      </c>
      <c r="AB46" s="266">
        <f>SUM(AA46:AA47)</f>
        <v>5757.0040414246023</v>
      </c>
      <c r="AC46" s="756">
        <f t="shared" si="32"/>
        <v>108.71836322303612</v>
      </c>
      <c r="AD46" s="266">
        <f>SUM(AC46:AC47)</f>
        <v>108.71836322303612</v>
      </c>
      <c r="AE46" s="746"/>
      <c r="AF46" s="756">
        <f t="shared" si="33"/>
        <v>3213.3394796665825</v>
      </c>
      <c r="AG46" s="266">
        <f>SUM(AF46:AF47)</f>
        <v>3213.3394796665825</v>
      </c>
      <c r="AH46" s="746"/>
      <c r="AI46" s="266">
        <f t="shared" si="8"/>
        <v>24809.701388228961</v>
      </c>
      <c r="AJ46" s="746"/>
      <c r="AK46" s="362"/>
      <c r="AL46" s="136" t="s">
        <v>476</v>
      </c>
      <c r="AM46" s="363"/>
      <c r="AN46" s="529"/>
      <c r="AO46" s="529"/>
      <c r="AP46" s="140">
        <v>2500</v>
      </c>
      <c r="AQ46" s="641">
        <v>1977</v>
      </c>
      <c r="AR46" s="641">
        <v>2017</v>
      </c>
      <c r="AS46" s="641">
        <v>2009</v>
      </c>
      <c r="AT46" s="641" t="s">
        <v>578</v>
      </c>
      <c r="AU46" s="641">
        <v>1</v>
      </c>
      <c r="AV46" s="641" t="s">
        <v>579</v>
      </c>
      <c r="AW46" s="757" t="s">
        <v>579</v>
      </c>
      <c r="AX46" s="141" t="s">
        <v>587</v>
      </c>
      <c r="AY46" s="141"/>
      <c r="AZ46" s="142" t="s">
        <v>631</v>
      </c>
    </row>
    <row r="47" spans="1:52" ht="15.75">
      <c r="A47" s="717"/>
      <c r="B47" s="143"/>
      <c r="C47" s="144"/>
      <c r="D47" s="143"/>
      <c r="E47" s="145"/>
      <c r="F47" s="389"/>
      <c r="G47" s="146"/>
      <c r="H47" s="718" t="s">
        <v>632</v>
      </c>
      <c r="I47" s="713">
        <v>91500</v>
      </c>
      <c r="J47" s="713"/>
      <c r="K47" s="713"/>
      <c r="L47" s="714"/>
      <c r="M47" s="714">
        <f t="shared" si="25"/>
        <v>91500</v>
      </c>
      <c r="N47" s="756"/>
      <c r="O47" s="441"/>
      <c r="P47" s="900">
        <f t="shared" si="26"/>
        <v>1087.3784679146886</v>
      </c>
      <c r="Q47" s="453"/>
      <c r="R47" s="900">
        <f t="shared" si="27"/>
        <v>133.50712634910417</v>
      </c>
      <c r="S47" s="453"/>
      <c r="T47" s="900">
        <f t="shared" si="28"/>
        <v>156.11581503180989</v>
      </c>
      <c r="U47" s="453"/>
      <c r="V47" s="900">
        <f t="shared" si="29"/>
        <v>165.80525303868379</v>
      </c>
      <c r="W47" s="453"/>
      <c r="X47" s="280">
        <f t="shared" si="30"/>
        <v>9.8186305136322005</v>
      </c>
      <c r="Y47" s="267"/>
      <c r="Z47" s="746"/>
      <c r="AA47" s="756">
        <f t="shared" si="31"/>
        <v>0</v>
      </c>
      <c r="AB47" s="267"/>
      <c r="AC47" s="756"/>
      <c r="AD47" s="267"/>
      <c r="AE47" s="746"/>
      <c r="AF47" s="756">
        <f t="shared" si="33"/>
        <v>0</v>
      </c>
      <c r="AG47" s="267"/>
      <c r="AH47" s="746"/>
      <c r="AI47" s="267"/>
      <c r="AJ47" s="746"/>
      <c r="AK47" s="362"/>
      <c r="AL47" s="143"/>
      <c r="AM47" s="363"/>
      <c r="AN47" s="529"/>
      <c r="AO47" s="529"/>
      <c r="AP47" s="140">
        <v>1000</v>
      </c>
      <c r="AQ47" s="641">
        <v>1977</v>
      </c>
      <c r="AR47" s="641">
        <v>2017</v>
      </c>
      <c r="AS47" s="641">
        <v>2009</v>
      </c>
      <c r="AT47" s="641" t="s">
        <v>578</v>
      </c>
      <c r="AU47" s="641">
        <v>1</v>
      </c>
      <c r="AV47" s="641" t="s">
        <v>579</v>
      </c>
      <c r="AW47" s="757" t="s">
        <v>579</v>
      </c>
      <c r="AX47" s="147"/>
      <c r="AY47" s="147"/>
      <c r="AZ47" s="148"/>
    </row>
    <row r="48" spans="1:52" ht="30.75">
      <c r="A48" s="740"/>
      <c r="B48" s="128" t="s">
        <v>481</v>
      </c>
      <c r="C48" s="149" t="s">
        <v>482</v>
      </c>
      <c r="D48" s="150" t="s">
        <v>483</v>
      </c>
      <c r="E48" s="151" t="s">
        <v>479</v>
      </c>
      <c r="F48" s="390">
        <v>1501</v>
      </c>
      <c r="G48" s="128" t="s">
        <v>633</v>
      </c>
      <c r="H48" s="21" t="s">
        <v>634</v>
      </c>
      <c r="I48" s="258"/>
      <c r="J48" s="856">
        <v>392410</v>
      </c>
      <c r="K48" s="258"/>
      <c r="L48" s="259">
        <v>24000</v>
      </c>
      <c r="M48" s="258">
        <f t="shared" si="25"/>
        <v>416410</v>
      </c>
      <c r="N48" s="260">
        <v>53</v>
      </c>
      <c r="O48" s="443"/>
      <c r="P48" s="466">
        <f t="shared" si="26"/>
        <v>4948.5821620148135</v>
      </c>
      <c r="Q48" s="467">
        <f>P48</f>
        <v>4948.5821620148135</v>
      </c>
      <c r="R48" s="466">
        <f t="shared" si="27"/>
        <v>607.5814479019723</v>
      </c>
      <c r="S48" s="467">
        <f>R48</f>
        <v>607.5814479019723</v>
      </c>
      <c r="T48" s="466">
        <f t="shared" si="28"/>
        <v>710.47198401525645</v>
      </c>
      <c r="U48" s="467">
        <f>T48</f>
        <v>710.47198401525645</v>
      </c>
      <c r="V48" s="466">
        <f t="shared" si="29"/>
        <v>754.56792806380668</v>
      </c>
      <c r="W48" s="467">
        <f>V48</f>
        <v>754.56792806380668</v>
      </c>
      <c r="X48" s="486">
        <f t="shared" si="30"/>
        <v>44.683889969197644</v>
      </c>
      <c r="Y48" s="260">
        <f>X48</f>
        <v>44.683889969197644</v>
      </c>
      <c r="Z48" s="245"/>
      <c r="AA48" s="260">
        <f t="shared" si="31"/>
        <v>5001.9871179590809</v>
      </c>
      <c r="AB48" s="260">
        <f>AA48</f>
        <v>5001.9871179590809</v>
      </c>
      <c r="AC48" s="260">
        <f>(N48/$N$131)*$AC$131</f>
        <v>94.460217226572368</v>
      </c>
      <c r="AD48" s="260">
        <f>AC48</f>
        <v>94.460217226572368</v>
      </c>
      <c r="AE48" s="245"/>
      <c r="AF48" s="260">
        <f t="shared" si="33"/>
        <v>2791.9179085627684</v>
      </c>
      <c r="AG48" s="260">
        <f>AF48</f>
        <v>2791.9179085627684</v>
      </c>
      <c r="AH48" s="245"/>
      <c r="AI48" s="260">
        <f t="shared" si="8"/>
        <v>14954.25265571347</v>
      </c>
      <c r="AJ48" s="245"/>
      <c r="AK48" s="362"/>
      <c r="AL48" s="128" t="s">
        <v>481</v>
      </c>
      <c r="AM48" s="363"/>
      <c r="AN48" s="21"/>
      <c r="AO48" s="21"/>
      <c r="AP48" s="152"/>
      <c r="AQ48" s="153"/>
      <c r="AR48" s="153"/>
      <c r="AS48" s="153"/>
      <c r="AT48" s="153"/>
      <c r="AU48" s="153"/>
      <c r="AV48" s="153"/>
      <c r="AW48" s="126"/>
      <c r="AX48" s="117"/>
      <c r="AY48" s="117"/>
      <c r="AZ48" s="21" t="s">
        <v>596</v>
      </c>
    </row>
    <row r="49" spans="1:52" ht="30.75">
      <c r="A49" s="630"/>
      <c r="B49" s="136" t="s">
        <v>484</v>
      </c>
      <c r="C49" s="137" t="s">
        <v>485</v>
      </c>
      <c r="D49" s="136" t="s">
        <v>483</v>
      </c>
      <c r="E49" s="138" t="s">
        <v>479</v>
      </c>
      <c r="F49" s="388">
        <v>1501</v>
      </c>
      <c r="G49" s="139" t="s">
        <v>633</v>
      </c>
      <c r="H49" s="718" t="s">
        <v>585</v>
      </c>
      <c r="I49" s="713">
        <v>222000</v>
      </c>
      <c r="J49" s="855">
        <v>370555.73</v>
      </c>
      <c r="K49" s="714"/>
      <c r="L49" s="714"/>
      <c r="M49" s="714">
        <f t="shared" si="25"/>
        <v>592555.73</v>
      </c>
      <c r="N49" s="756">
        <v>38</v>
      </c>
      <c r="O49" s="441"/>
      <c r="P49" s="892">
        <f t="shared" si="26"/>
        <v>7041.8835173931129</v>
      </c>
      <c r="Q49" s="468">
        <f>SUM(P49:P51)</f>
        <v>10078.224485176752</v>
      </c>
      <c r="R49" s="892">
        <f t="shared" si="27"/>
        <v>864.59467446989788</v>
      </c>
      <c r="S49" s="468">
        <f>SUM(R49:R51)</f>
        <v>1237.3932622534621</v>
      </c>
      <c r="T49" s="892">
        <f t="shared" si="28"/>
        <v>1011.0089698439244</v>
      </c>
      <c r="U49" s="468">
        <f>SUM(T49:T51)</f>
        <v>1446.9389232934045</v>
      </c>
      <c r="V49" s="892">
        <f t="shared" si="29"/>
        <v>1073.7579535756502</v>
      </c>
      <c r="W49" s="468">
        <f>SUM(V49:V51)</f>
        <v>1536.7442065962371</v>
      </c>
      <c r="X49" s="280">
        <f t="shared" si="30"/>
        <v>63.585636848148667</v>
      </c>
      <c r="Y49" s="281">
        <f>SUM(X49:X51)</f>
        <v>91.0026870802036</v>
      </c>
      <c r="Z49" s="746"/>
      <c r="AA49" s="756">
        <f t="shared" si="31"/>
        <v>3586.3303864612276</v>
      </c>
      <c r="AB49" s="281">
        <f>SUM(AA49:AA51)</f>
        <v>3586.3303864612276</v>
      </c>
      <c r="AC49" s="756">
        <f>(N49/$N$131)*$AC$131</f>
        <v>67.72619348320282</v>
      </c>
      <c r="AD49" s="281">
        <f>SUM(AC49:AC51)</f>
        <v>67.72619348320282</v>
      </c>
      <c r="AE49" s="746"/>
      <c r="AF49" s="756">
        <f t="shared" si="33"/>
        <v>2001.7524627431169</v>
      </c>
      <c r="AG49" s="281">
        <f>SUM(AF49:AF51)</f>
        <v>2001.7524627431169</v>
      </c>
      <c r="AH49" s="746"/>
      <c r="AI49" s="281">
        <f t="shared" si="8"/>
        <v>20046.112607087602</v>
      </c>
      <c r="AJ49" s="746"/>
      <c r="AK49" s="362"/>
      <c r="AL49" s="136" t="s">
        <v>484</v>
      </c>
      <c r="AM49" s="363"/>
      <c r="AN49" s="529"/>
      <c r="AO49" s="529"/>
      <c r="AP49" s="140">
        <v>1480</v>
      </c>
      <c r="AQ49" s="641">
        <v>1984</v>
      </c>
      <c r="AR49" s="641">
        <v>2008</v>
      </c>
      <c r="AS49" s="641">
        <v>2005</v>
      </c>
      <c r="AT49" s="641" t="s">
        <v>578</v>
      </c>
      <c r="AU49" s="641">
        <v>1</v>
      </c>
      <c r="AV49" s="641" t="s">
        <v>579</v>
      </c>
      <c r="AW49" s="757" t="s">
        <v>616</v>
      </c>
      <c r="AX49" s="141"/>
      <c r="AY49" s="141"/>
      <c r="AZ49" s="142" t="s">
        <v>631</v>
      </c>
    </row>
    <row r="50" spans="1:52" ht="15.75">
      <c r="A50" s="635"/>
      <c r="B50" s="155"/>
      <c r="C50" s="156"/>
      <c r="D50" s="33"/>
      <c r="E50" s="156"/>
      <c r="F50" s="405"/>
      <c r="G50" s="33"/>
      <c r="H50" s="718" t="s">
        <v>635</v>
      </c>
      <c r="I50" s="713">
        <v>200000</v>
      </c>
      <c r="J50" s="713"/>
      <c r="K50" s="714"/>
      <c r="L50" s="714"/>
      <c r="M50" s="714">
        <f t="shared" si="25"/>
        <v>200000</v>
      </c>
      <c r="N50" s="714"/>
      <c r="O50" s="438"/>
      <c r="P50" s="892">
        <f t="shared" si="26"/>
        <v>2376.7835364255488</v>
      </c>
      <c r="Q50" s="469"/>
      <c r="R50" s="892">
        <f t="shared" si="27"/>
        <v>291.818855407878</v>
      </c>
      <c r="S50" s="469"/>
      <c r="T50" s="892">
        <f t="shared" si="28"/>
        <v>341.23675416789052</v>
      </c>
      <c r="U50" s="469"/>
      <c r="V50" s="892">
        <f t="shared" si="29"/>
        <v>362.41585363646726</v>
      </c>
      <c r="W50" s="469"/>
      <c r="X50" s="280">
        <f t="shared" si="30"/>
        <v>21.461487461491149</v>
      </c>
      <c r="Y50" s="282"/>
      <c r="Z50" s="715"/>
      <c r="AA50" s="714">
        <f t="shared" si="31"/>
        <v>0</v>
      </c>
      <c r="AB50" s="282"/>
      <c r="AC50" s="714"/>
      <c r="AD50" s="282"/>
      <c r="AE50" s="715"/>
      <c r="AF50" s="714">
        <f t="shared" si="33"/>
        <v>0</v>
      </c>
      <c r="AG50" s="282"/>
      <c r="AH50" s="715"/>
      <c r="AI50" s="282"/>
      <c r="AJ50" s="715"/>
      <c r="AK50" s="360"/>
      <c r="AL50" s="155"/>
      <c r="AM50" s="361"/>
      <c r="AN50" s="529"/>
      <c r="AO50" s="529"/>
      <c r="AP50" s="140">
        <v>1333</v>
      </c>
      <c r="AQ50" s="641">
        <v>1984</v>
      </c>
      <c r="AR50" s="641">
        <v>2014</v>
      </c>
      <c r="AS50" s="641">
        <v>2005</v>
      </c>
      <c r="AT50" s="641" t="s">
        <v>578</v>
      </c>
      <c r="AU50" s="641">
        <v>1</v>
      </c>
      <c r="AV50" s="641" t="s">
        <v>579</v>
      </c>
      <c r="AW50" s="757" t="s">
        <v>579</v>
      </c>
      <c r="AX50" s="157"/>
      <c r="AY50" s="157"/>
      <c r="AZ50" s="158"/>
    </row>
    <row r="51" spans="1:52" ht="15.75">
      <c r="A51" s="635"/>
      <c r="B51" s="155"/>
      <c r="C51" s="38"/>
      <c r="D51" s="39"/>
      <c r="E51" s="38"/>
      <c r="F51" s="401"/>
      <c r="G51" s="39"/>
      <c r="H51" s="718" t="s">
        <v>636</v>
      </c>
      <c r="I51" s="713">
        <v>55500</v>
      </c>
      <c r="J51" s="713"/>
      <c r="K51" s="714"/>
      <c r="L51" s="714"/>
      <c r="M51" s="714">
        <f t="shared" si="25"/>
        <v>55500</v>
      </c>
      <c r="N51" s="714"/>
      <c r="O51" s="438"/>
      <c r="P51" s="892">
        <f t="shared" si="26"/>
        <v>659.55743135808973</v>
      </c>
      <c r="Q51" s="469"/>
      <c r="R51" s="892">
        <f t="shared" si="27"/>
        <v>80.979732375686126</v>
      </c>
      <c r="S51" s="469"/>
      <c r="T51" s="892">
        <f t="shared" si="28"/>
        <v>94.6931992815896</v>
      </c>
      <c r="U51" s="469"/>
      <c r="V51" s="892">
        <f t="shared" si="29"/>
        <v>100.57039938411965</v>
      </c>
      <c r="W51" s="469"/>
      <c r="X51" s="280">
        <f t="shared" si="30"/>
        <v>5.9555627705637928</v>
      </c>
      <c r="Y51" s="267"/>
      <c r="Z51" s="715"/>
      <c r="AA51" s="714">
        <f t="shared" si="31"/>
        <v>0</v>
      </c>
      <c r="AB51" s="282"/>
      <c r="AC51" s="714"/>
      <c r="AD51" s="282"/>
      <c r="AE51" s="715"/>
      <c r="AF51" s="714">
        <f t="shared" si="33"/>
        <v>0</v>
      </c>
      <c r="AG51" s="282"/>
      <c r="AH51" s="715"/>
      <c r="AI51" s="282"/>
      <c r="AJ51" s="715"/>
      <c r="AK51" s="360"/>
      <c r="AL51" s="155"/>
      <c r="AM51" s="361"/>
      <c r="AN51" s="529"/>
      <c r="AO51" s="529"/>
      <c r="AP51" s="140">
        <v>370</v>
      </c>
      <c r="AQ51" s="641">
        <v>1984</v>
      </c>
      <c r="AR51" s="641">
        <v>2008</v>
      </c>
      <c r="AS51" s="641">
        <v>2008</v>
      </c>
      <c r="AT51" s="641" t="s">
        <v>578</v>
      </c>
      <c r="AU51" s="641">
        <v>1</v>
      </c>
      <c r="AV51" s="641" t="s">
        <v>579</v>
      </c>
      <c r="AW51" s="757" t="s">
        <v>579</v>
      </c>
      <c r="AX51" s="147"/>
      <c r="AY51" s="147"/>
      <c r="AZ51" s="148"/>
    </row>
    <row r="52" spans="1:52" s="22" customFormat="1" ht="15.75">
      <c r="A52" s="758" t="s">
        <v>371</v>
      </c>
      <c r="B52" s="66" t="s">
        <v>409</v>
      </c>
      <c r="C52" s="353" t="s">
        <v>410</v>
      </c>
      <c r="D52" s="66" t="s">
        <v>411</v>
      </c>
      <c r="E52" s="67" t="s">
        <v>375</v>
      </c>
      <c r="F52" s="378">
        <v>32780</v>
      </c>
      <c r="G52" s="66" t="s">
        <v>603</v>
      </c>
      <c r="H52" s="704" t="s">
        <v>585</v>
      </c>
      <c r="I52" s="705">
        <v>173022</v>
      </c>
      <c r="J52" s="844">
        <v>1429940.04</v>
      </c>
      <c r="K52" s="706"/>
      <c r="L52" s="706"/>
      <c r="M52" s="706">
        <f t="shared" si="25"/>
        <v>1602962.04</v>
      </c>
      <c r="N52" s="706">
        <v>206</v>
      </c>
      <c r="O52" s="437"/>
      <c r="P52" s="901">
        <f t="shared" si="26"/>
        <v>19049.46893093556</v>
      </c>
      <c r="Q52" s="450">
        <f>SUM(P52:P55)</f>
        <v>25847.069845112626</v>
      </c>
      <c r="R52" s="901">
        <f t="shared" si="27"/>
        <v>2338.8727388753859</v>
      </c>
      <c r="S52" s="450">
        <f>SUM(R52:R55)</f>
        <v>3173.474665341917</v>
      </c>
      <c r="T52" s="901">
        <f t="shared" si="28"/>
        <v>2734.9478179197013</v>
      </c>
      <c r="U52" s="450">
        <f>SUM(T52:T55)</f>
        <v>3710.884934839868</v>
      </c>
      <c r="V52" s="901">
        <f t="shared" si="29"/>
        <v>2904.694280367265</v>
      </c>
      <c r="W52" s="450">
        <f>SUM(V52:V55)</f>
        <v>3941.2036217675618</v>
      </c>
      <c r="X52" s="283">
        <f t="shared" si="30"/>
        <v>172.00974861353137</v>
      </c>
      <c r="Y52" s="251">
        <f>SUM(X52:X55)</f>
        <v>233.38960275339605</v>
      </c>
      <c r="Z52" s="707"/>
      <c r="AA52" s="706">
        <f t="shared" si="31"/>
        <v>19441.685779237181</v>
      </c>
      <c r="AB52" s="251">
        <f>SUM(AA52:AA55)</f>
        <v>19441.685779237181</v>
      </c>
      <c r="AC52" s="706">
        <f>(N52/$N$131)*$AC$131</f>
        <v>367.14725940894164</v>
      </c>
      <c r="AD52" s="251">
        <f>SUM(AC52:AC55)</f>
        <v>367.14725940894164</v>
      </c>
      <c r="AE52" s="707"/>
      <c r="AF52" s="706">
        <f t="shared" si="33"/>
        <v>10851.605455923213</v>
      </c>
      <c r="AG52" s="251">
        <f>SUM(AF52:AF55)</f>
        <v>10851.605455923213</v>
      </c>
      <c r="AH52" s="707"/>
      <c r="AI52" s="251">
        <f t="shared" si="8"/>
        <v>67566.461164384702</v>
      </c>
      <c r="AJ52" s="707"/>
      <c r="AK52" s="358"/>
      <c r="AL52" s="66" t="s">
        <v>409</v>
      </c>
      <c r="AM52" s="359"/>
      <c r="AN52" s="708"/>
      <c r="AO52" s="708"/>
      <c r="AP52" s="159">
        <v>288</v>
      </c>
      <c r="AQ52" s="759">
        <v>1990</v>
      </c>
      <c r="AR52" s="759">
        <v>2016</v>
      </c>
      <c r="AS52" s="759">
        <v>1990</v>
      </c>
      <c r="AT52" s="759" t="s">
        <v>586</v>
      </c>
      <c r="AU52" s="759">
        <v>1</v>
      </c>
      <c r="AV52" s="759" t="s">
        <v>579</v>
      </c>
      <c r="AW52" s="760" t="s">
        <v>616</v>
      </c>
      <c r="AX52" s="160" t="s">
        <v>580</v>
      </c>
      <c r="AY52" s="711" t="s">
        <v>588</v>
      </c>
      <c r="AZ52" s="161" t="s">
        <v>637</v>
      </c>
    </row>
    <row r="53" spans="1:52" s="22" customFormat="1" ht="15.75">
      <c r="A53" s="761"/>
      <c r="B53" s="162"/>
      <c r="C53" s="354"/>
      <c r="D53" s="18"/>
      <c r="E53" s="163"/>
      <c r="F53" s="406"/>
      <c r="G53" s="18"/>
      <c r="H53" s="704" t="s">
        <v>638</v>
      </c>
      <c r="I53" s="705">
        <v>337000</v>
      </c>
      <c r="J53" s="705"/>
      <c r="K53" s="706"/>
      <c r="L53" s="706"/>
      <c r="M53" s="706">
        <f t="shared" si="25"/>
        <v>337000</v>
      </c>
      <c r="N53" s="706"/>
      <c r="O53" s="437"/>
      <c r="P53" s="901">
        <f t="shared" si="26"/>
        <v>4004.8802588770495</v>
      </c>
      <c r="Q53" s="451"/>
      <c r="R53" s="901">
        <f t="shared" si="27"/>
        <v>491.7147713622744</v>
      </c>
      <c r="S53" s="451"/>
      <c r="T53" s="901">
        <f t="shared" si="28"/>
        <v>574.98393077289552</v>
      </c>
      <c r="U53" s="451"/>
      <c r="V53" s="901">
        <f t="shared" si="29"/>
        <v>610.67071337744733</v>
      </c>
      <c r="W53" s="451"/>
      <c r="X53" s="283">
        <f t="shared" si="30"/>
        <v>36.162606372612586</v>
      </c>
      <c r="Y53" s="265"/>
      <c r="Z53" s="707"/>
      <c r="AA53" s="706">
        <f t="shared" si="31"/>
        <v>0</v>
      </c>
      <c r="AB53" s="265"/>
      <c r="AC53" s="706"/>
      <c r="AD53" s="265"/>
      <c r="AE53" s="707"/>
      <c r="AF53" s="706">
        <f t="shared" si="33"/>
        <v>0</v>
      </c>
      <c r="AG53" s="265"/>
      <c r="AH53" s="707"/>
      <c r="AI53" s="265"/>
      <c r="AJ53" s="707"/>
      <c r="AK53" s="358"/>
      <c r="AL53" s="162"/>
      <c r="AM53" s="359"/>
      <c r="AN53" s="708"/>
      <c r="AO53" s="708"/>
      <c r="AP53" s="159">
        <v>1925</v>
      </c>
      <c r="AQ53" s="759">
        <v>1990</v>
      </c>
      <c r="AR53" s="759">
        <v>2013</v>
      </c>
      <c r="AS53" s="759">
        <v>1990</v>
      </c>
      <c r="AT53" s="759" t="s">
        <v>586</v>
      </c>
      <c r="AU53" s="759">
        <v>1</v>
      </c>
      <c r="AV53" s="759" t="s">
        <v>579</v>
      </c>
      <c r="AW53" s="760" t="s">
        <v>579</v>
      </c>
      <c r="AX53" s="70"/>
      <c r="AY53" s="70"/>
      <c r="AZ53" s="14"/>
    </row>
    <row r="54" spans="1:52" s="22" customFormat="1" ht="15.75">
      <c r="A54" s="761"/>
      <c r="B54" s="162"/>
      <c r="C54" s="354"/>
      <c r="D54" s="18"/>
      <c r="E54" s="163"/>
      <c r="F54" s="406"/>
      <c r="G54" s="18"/>
      <c r="H54" s="704" t="s">
        <v>639</v>
      </c>
      <c r="I54" s="705">
        <v>110000</v>
      </c>
      <c r="J54" s="705"/>
      <c r="K54" s="706"/>
      <c r="L54" s="706"/>
      <c r="M54" s="706">
        <f t="shared" si="25"/>
        <v>110000</v>
      </c>
      <c r="N54" s="706"/>
      <c r="O54" s="437"/>
      <c r="P54" s="901">
        <f t="shared" si="26"/>
        <v>1307.2309450340517</v>
      </c>
      <c r="Q54" s="451"/>
      <c r="R54" s="901">
        <f t="shared" si="27"/>
        <v>160.5003704743329</v>
      </c>
      <c r="S54" s="451"/>
      <c r="T54" s="901">
        <f t="shared" si="28"/>
        <v>187.68021479233977</v>
      </c>
      <c r="U54" s="451"/>
      <c r="V54" s="901">
        <f t="shared" si="29"/>
        <v>199.32871950005699</v>
      </c>
      <c r="W54" s="451"/>
      <c r="X54" s="283">
        <f t="shared" si="30"/>
        <v>11.803818103820131</v>
      </c>
      <c r="Y54" s="265"/>
      <c r="Z54" s="707"/>
      <c r="AA54" s="706">
        <f t="shared" si="31"/>
        <v>0</v>
      </c>
      <c r="AB54" s="265"/>
      <c r="AC54" s="706"/>
      <c r="AD54" s="265"/>
      <c r="AE54" s="707"/>
      <c r="AF54" s="706">
        <f t="shared" si="33"/>
        <v>0</v>
      </c>
      <c r="AG54" s="265"/>
      <c r="AH54" s="707"/>
      <c r="AI54" s="265"/>
      <c r="AJ54" s="707"/>
      <c r="AK54" s="358"/>
      <c r="AL54" s="162"/>
      <c r="AM54" s="359"/>
      <c r="AN54" s="708"/>
      <c r="AO54" s="708"/>
      <c r="AP54" s="159">
        <v>625</v>
      </c>
      <c r="AQ54" s="759">
        <v>1990</v>
      </c>
      <c r="AR54" s="759">
        <v>2014</v>
      </c>
      <c r="AS54" s="759">
        <v>1990</v>
      </c>
      <c r="AT54" s="759" t="s">
        <v>586</v>
      </c>
      <c r="AU54" s="759">
        <v>1</v>
      </c>
      <c r="AV54" s="759" t="s">
        <v>579</v>
      </c>
      <c r="AW54" s="760" t="s">
        <v>579</v>
      </c>
      <c r="AX54" s="164"/>
      <c r="AY54" s="164"/>
      <c r="AZ54" s="18"/>
    </row>
    <row r="55" spans="1:52" s="22" customFormat="1" ht="15.75">
      <c r="A55" s="762"/>
      <c r="B55" s="73"/>
      <c r="C55" s="355"/>
      <c r="D55" s="23"/>
      <c r="E55" s="165"/>
      <c r="F55" s="407"/>
      <c r="G55" s="23"/>
      <c r="H55" s="704" t="s">
        <v>640</v>
      </c>
      <c r="I55" s="705">
        <v>125000</v>
      </c>
      <c r="J55" s="705"/>
      <c r="K55" s="706"/>
      <c r="L55" s="706"/>
      <c r="M55" s="706">
        <f t="shared" si="25"/>
        <v>125000</v>
      </c>
      <c r="N55" s="706"/>
      <c r="O55" s="437"/>
      <c r="P55" s="901">
        <f t="shared" si="26"/>
        <v>1485.4897102659679</v>
      </c>
      <c r="Q55" s="459"/>
      <c r="R55" s="901">
        <f t="shared" si="27"/>
        <v>182.38678462992374</v>
      </c>
      <c r="S55" s="459"/>
      <c r="T55" s="901">
        <f t="shared" si="28"/>
        <v>213.27297135493157</v>
      </c>
      <c r="U55" s="459"/>
      <c r="V55" s="901">
        <f t="shared" si="29"/>
        <v>226.50990852279205</v>
      </c>
      <c r="W55" s="459"/>
      <c r="X55" s="283">
        <f t="shared" si="30"/>
        <v>13.413429663431968</v>
      </c>
      <c r="Y55" s="253"/>
      <c r="Z55" s="707"/>
      <c r="AA55" s="706">
        <f t="shared" si="31"/>
        <v>0</v>
      </c>
      <c r="AB55" s="253"/>
      <c r="AC55" s="706"/>
      <c r="AD55" s="253"/>
      <c r="AE55" s="707"/>
      <c r="AF55" s="706">
        <f t="shared" si="33"/>
        <v>0</v>
      </c>
      <c r="AG55" s="253"/>
      <c r="AH55" s="707"/>
      <c r="AI55" s="253"/>
      <c r="AJ55" s="707"/>
      <c r="AK55" s="358"/>
      <c r="AL55" s="73"/>
      <c r="AM55" s="359"/>
      <c r="AN55" s="708"/>
      <c r="AO55" s="708"/>
      <c r="AP55" s="159">
        <v>720</v>
      </c>
      <c r="AQ55" s="759">
        <v>1990</v>
      </c>
      <c r="AR55" s="759">
        <v>2019</v>
      </c>
      <c r="AS55" s="759">
        <v>1990</v>
      </c>
      <c r="AT55" s="759" t="s">
        <v>586</v>
      </c>
      <c r="AU55" s="759">
        <v>1</v>
      </c>
      <c r="AV55" s="759" t="s">
        <v>579</v>
      </c>
      <c r="AW55" s="760" t="s">
        <v>579</v>
      </c>
      <c r="AX55" s="76"/>
      <c r="AY55" s="76"/>
      <c r="AZ55" s="23"/>
    </row>
    <row r="56" spans="1:52" s="22" customFormat="1" ht="15.75">
      <c r="A56" s="763" t="s">
        <v>371</v>
      </c>
      <c r="B56" s="87" t="s">
        <v>92</v>
      </c>
      <c r="C56" s="86" t="s">
        <v>412</v>
      </c>
      <c r="D56" s="87" t="s">
        <v>413</v>
      </c>
      <c r="E56" s="88" t="s">
        <v>375</v>
      </c>
      <c r="F56" s="381">
        <v>34974</v>
      </c>
      <c r="G56" s="87" t="s">
        <v>413</v>
      </c>
      <c r="H56" s="721" t="s">
        <v>641</v>
      </c>
      <c r="I56" s="722">
        <v>98325</v>
      </c>
      <c r="J56" s="845">
        <v>1188183.71</v>
      </c>
      <c r="K56" s="723"/>
      <c r="L56" s="723"/>
      <c r="M56" s="723">
        <f t="shared" si="25"/>
        <v>1286508.71</v>
      </c>
      <c r="N56" s="723">
        <v>206</v>
      </c>
      <c r="O56" s="437"/>
      <c r="P56" s="894">
        <f t="shared" si="26"/>
        <v>15288.763606980352</v>
      </c>
      <c r="Q56" s="454">
        <f>SUM(P56:P59)</f>
        <v>23386.881052701072</v>
      </c>
      <c r="R56" s="894">
        <f t="shared" si="27"/>
        <v>1877.1374961223278</v>
      </c>
      <c r="S56" s="454">
        <f>SUM(R56:R59)</f>
        <v>2871.4154047966645</v>
      </c>
      <c r="T56" s="894">
        <f t="shared" si="28"/>
        <v>2195.0202820455993</v>
      </c>
      <c r="U56" s="454">
        <f>SUM(T56:T59)</f>
        <v>3357.6736199275815</v>
      </c>
      <c r="V56" s="894">
        <f t="shared" si="29"/>
        <v>2331.2557617270013</v>
      </c>
      <c r="W56" s="454">
        <f>SUM(V56:V59)</f>
        <v>3566.0699978408315</v>
      </c>
      <c r="X56" s="270">
        <f t="shared" si="30"/>
        <v>138.05195274382075</v>
      </c>
      <c r="Y56" s="257">
        <f>SUM(X56:X59)</f>
        <v>211.17499628542686</v>
      </c>
      <c r="Z56" s="707"/>
      <c r="AA56" s="723">
        <f t="shared" si="31"/>
        <v>19441.685779237181</v>
      </c>
      <c r="AB56" s="257">
        <f>SUM(AA56:AA59)</f>
        <v>19441.685779237181</v>
      </c>
      <c r="AC56" s="723">
        <f>(N56/$N$131)*$AC$131</f>
        <v>367.14725940894164</v>
      </c>
      <c r="AD56" s="257">
        <f>SUM(AC56:AC59)</f>
        <v>367.14725940894164</v>
      </c>
      <c r="AE56" s="707"/>
      <c r="AF56" s="723">
        <f t="shared" si="33"/>
        <v>10851.605455923213</v>
      </c>
      <c r="AG56" s="257">
        <f>SUM(AF56:AF59)</f>
        <v>10851.605455923213</v>
      </c>
      <c r="AH56" s="707"/>
      <c r="AI56" s="257">
        <f t="shared" si="8"/>
        <v>64053.65356612092</v>
      </c>
      <c r="AJ56" s="707"/>
      <c r="AK56" s="358"/>
      <c r="AL56" s="87" t="s">
        <v>92</v>
      </c>
      <c r="AM56" s="359"/>
      <c r="AN56" s="615"/>
      <c r="AO56" s="615"/>
      <c r="AP56" s="166">
        <v>285</v>
      </c>
      <c r="AQ56" s="628">
        <v>1992</v>
      </c>
      <c r="AR56" s="628">
        <v>2020</v>
      </c>
      <c r="AS56" s="628">
        <v>2017</v>
      </c>
      <c r="AT56" s="628" t="s">
        <v>642</v>
      </c>
      <c r="AU56" s="628">
        <v>1</v>
      </c>
      <c r="AV56" s="628" t="s">
        <v>579</v>
      </c>
      <c r="AW56" s="626" t="s">
        <v>579</v>
      </c>
      <c r="AX56" s="91" t="s">
        <v>580</v>
      </c>
      <c r="AY56" s="529" t="s">
        <v>588</v>
      </c>
      <c r="AZ56" s="47" t="s">
        <v>581</v>
      </c>
    </row>
    <row r="57" spans="1:52" s="22" customFormat="1" ht="15.75">
      <c r="A57" s="728"/>
      <c r="B57" s="57"/>
      <c r="C57" s="62"/>
      <c r="D57" s="55"/>
      <c r="E57" s="62"/>
      <c r="F57" s="402"/>
      <c r="G57" s="55"/>
      <c r="H57" s="721" t="s">
        <v>638</v>
      </c>
      <c r="I57" s="722">
        <v>263340</v>
      </c>
      <c r="J57" s="722"/>
      <c r="K57" s="723"/>
      <c r="L57" s="723"/>
      <c r="M57" s="723">
        <f t="shared" si="25"/>
        <v>263340</v>
      </c>
      <c r="N57" s="723"/>
      <c r="O57" s="437"/>
      <c r="P57" s="894">
        <f t="shared" si="26"/>
        <v>3129.51088241152</v>
      </c>
      <c r="Q57" s="455"/>
      <c r="R57" s="894">
        <f t="shared" si="27"/>
        <v>384.23788691555296</v>
      </c>
      <c r="S57" s="455"/>
      <c r="T57" s="894">
        <f t="shared" si="28"/>
        <v>449.3064342128614</v>
      </c>
      <c r="U57" s="455"/>
      <c r="V57" s="894">
        <f t="shared" si="29"/>
        <v>477.19295448313648</v>
      </c>
      <c r="W57" s="455"/>
      <c r="X57" s="270">
        <f t="shared" si="30"/>
        <v>28.258340540545397</v>
      </c>
      <c r="Y57" s="271"/>
      <c r="Z57" s="707"/>
      <c r="AA57" s="723">
        <f t="shared" si="31"/>
        <v>0</v>
      </c>
      <c r="AB57" s="271"/>
      <c r="AC57" s="723"/>
      <c r="AD57" s="271"/>
      <c r="AE57" s="707"/>
      <c r="AF57" s="723">
        <f t="shared" si="33"/>
        <v>0</v>
      </c>
      <c r="AG57" s="271"/>
      <c r="AH57" s="707"/>
      <c r="AI57" s="271"/>
      <c r="AJ57" s="707"/>
      <c r="AK57" s="358"/>
      <c r="AL57" s="57"/>
      <c r="AM57" s="359"/>
      <c r="AN57" s="615"/>
      <c r="AO57" s="615"/>
      <c r="AP57" s="166">
        <v>1540</v>
      </c>
      <c r="AQ57" s="628">
        <v>1976</v>
      </c>
      <c r="AR57" s="628">
        <v>2014</v>
      </c>
      <c r="AS57" s="628">
        <v>2018</v>
      </c>
      <c r="AT57" s="628" t="s">
        <v>586</v>
      </c>
      <c r="AU57" s="628">
        <v>1</v>
      </c>
      <c r="AV57" s="628" t="s">
        <v>579</v>
      </c>
      <c r="AW57" s="626" t="s">
        <v>579</v>
      </c>
      <c r="AX57" s="61"/>
      <c r="AY57" s="61"/>
      <c r="AZ57" s="33" t="s">
        <v>583</v>
      </c>
    </row>
    <row r="58" spans="1:52" s="22" customFormat="1" ht="15.75">
      <c r="A58" s="728"/>
      <c r="B58" s="57"/>
      <c r="C58" s="62"/>
      <c r="D58" s="55"/>
      <c r="E58" s="62"/>
      <c r="F58" s="402"/>
      <c r="G58" s="55"/>
      <c r="H58" s="721" t="s">
        <v>643</v>
      </c>
      <c r="I58" s="722">
        <v>263340</v>
      </c>
      <c r="J58" s="722"/>
      <c r="K58" s="723"/>
      <c r="L58" s="723"/>
      <c r="M58" s="723">
        <f t="shared" si="25"/>
        <v>263340</v>
      </c>
      <c r="N58" s="723"/>
      <c r="O58" s="437"/>
      <c r="P58" s="894">
        <f t="shared" si="26"/>
        <v>3129.51088241152</v>
      </c>
      <c r="Q58" s="455"/>
      <c r="R58" s="894">
        <f t="shared" si="27"/>
        <v>384.23788691555296</v>
      </c>
      <c r="S58" s="455"/>
      <c r="T58" s="894">
        <f t="shared" si="28"/>
        <v>449.3064342128614</v>
      </c>
      <c r="U58" s="455"/>
      <c r="V58" s="894">
        <f t="shared" si="29"/>
        <v>477.19295448313648</v>
      </c>
      <c r="W58" s="455"/>
      <c r="X58" s="270">
        <f t="shared" si="30"/>
        <v>28.258340540545397</v>
      </c>
      <c r="Y58" s="271"/>
      <c r="Z58" s="707"/>
      <c r="AA58" s="723">
        <f t="shared" si="31"/>
        <v>0</v>
      </c>
      <c r="AB58" s="271"/>
      <c r="AC58" s="723"/>
      <c r="AD58" s="271"/>
      <c r="AE58" s="707"/>
      <c r="AF58" s="723">
        <f t="shared" si="33"/>
        <v>0</v>
      </c>
      <c r="AG58" s="271"/>
      <c r="AH58" s="707"/>
      <c r="AI58" s="271"/>
      <c r="AJ58" s="707"/>
      <c r="AK58" s="358"/>
      <c r="AL58" s="57"/>
      <c r="AM58" s="359"/>
      <c r="AN58" s="615"/>
      <c r="AO58" s="615"/>
      <c r="AP58" s="166">
        <v>1540</v>
      </c>
      <c r="AQ58" s="628">
        <v>1980</v>
      </c>
      <c r="AR58" s="628">
        <v>2020</v>
      </c>
      <c r="AS58" s="628">
        <v>2017</v>
      </c>
      <c r="AT58" s="628" t="s">
        <v>586</v>
      </c>
      <c r="AU58" s="628">
        <v>1</v>
      </c>
      <c r="AV58" s="628" t="s">
        <v>579</v>
      </c>
      <c r="AW58" s="626" t="s">
        <v>579</v>
      </c>
      <c r="AX58" s="61"/>
      <c r="AY58" s="61"/>
      <c r="AZ58" s="55"/>
    </row>
    <row r="59" spans="1:52" s="22" customFormat="1" ht="15.75">
      <c r="A59" s="83"/>
      <c r="B59" s="95"/>
      <c r="C59" s="112"/>
      <c r="D59" s="64"/>
      <c r="E59" s="112"/>
      <c r="F59" s="403"/>
      <c r="G59" s="64"/>
      <c r="H59" s="721" t="s">
        <v>644</v>
      </c>
      <c r="I59" s="722">
        <v>154755</v>
      </c>
      <c r="J59" s="722"/>
      <c r="K59" s="723"/>
      <c r="L59" s="723"/>
      <c r="M59" s="723">
        <f t="shared" si="25"/>
        <v>154755</v>
      </c>
      <c r="N59" s="723"/>
      <c r="O59" s="437"/>
      <c r="P59" s="894">
        <f t="shared" si="26"/>
        <v>1839.0956808976789</v>
      </c>
      <c r="Q59" s="456"/>
      <c r="R59" s="894">
        <f t="shared" si="27"/>
        <v>225.80213484323076</v>
      </c>
      <c r="S59" s="456"/>
      <c r="T59" s="894">
        <f t="shared" si="28"/>
        <v>264.04046945625947</v>
      </c>
      <c r="U59" s="456"/>
      <c r="V59" s="894">
        <f t="shared" si="29"/>
        <v>280.42832714755747</v>
      </c>
      <c r="W59" s="456"/>
      <c r="X59" s="270">
        <f t="shared" si="30"/>
        <v>16.606362460515314</v>
      </c>
      <c r="Y59" s="255"/>
      <c r="Z59" s="707"/>
      <c r="AA59" s="723">
        <f t="shared" si="31"/>
        <v>0</v>
      </c>
      <c r="AB59" s="255"/>
      <c r="AC59" s="723"/>
      <c r="AD59" s="255"/>
      <c r="AE59" s="707"/>
      <c r="AF59" s="723">
        <f t="shared" si="33"/>
        <v>0</v>
      </c>
      <c r="AG59" s="255"/>
      <c r="AH59" s="707"/>
      <c r="AI59" s="255"/>
      <c r="AJ59" s="707"/>
      <c r="AK59" s="358"/>
      <c r="AL59" s="95"/>
      <c r="AM59" s="359"/>
      <c r="AN59" s="615"/>
      <c r="AO59" s="615"/>
      <c r="AP59" s="166">
        <v>905</v>
      </c>
      <c r="AQ59" s="628">
        <v>1987</v>
      </c>
      <c r="AR59" s="628">
        <v>2017</v>
      </c>
      <c r="AS59" s="628">
        <v>2015</v>
      </c>
      <c r="AT59" s="628" t="s">
        <v>586</v>
      </c>
      <c r="AU59" s="628">
        <v>1</v>
      </c>
      <c r="AV59" s="628" t="s">
        <v>579</v>
      </c>
      <c r="AW59" s="626" t="s">
        <v>579</v>
      </c>
      <c r="AX59" s="82"/>
      <c r="AY59" s="82"/>
      <c r="AZ59" s="64"/>
    </row>
    <row r="60" spans="1:52" s="22" customFormat="1" ht="15.75">
      <c r="A60" s="764" t="s">
        <v>371</v>
      </c>
      <c r="B60" s="52" t="s">
        <v>414</v>
      </c>
      <c r="C60" s="51" t="s">
        <v>415</v>
      </c>
      <c r="D60" s="52" t="s">
        <v>416</v>
      </c>
      <c r="E60" s="53" t="s">
        <v>375</v>
      </c>
      <c r="F60" s="391">
        <v>32780</v>
      </c>
      <c r="G60" s="52" t="s">
        <v>603</v>
      </c>
      <c r="H60" s="167" t="s">
        <v>645</v>
      </c>
      <c r="I60" s="705">
        <v>25000</v>
      </c>
      <c r="J60" s="844">
        <v>191345.6</v>
      </c>
      <c r="K60" s="706"/>
      <c r="L60" s="706"/>
      <c r="M60" s="706">
        <f t="shared" si="25"/>
        <v>216345.60000000001</v>
      </c>
      <c r="N60" s="706">
        <v>57</v>
      </c>
      <c r="O60" s="437"/>
      <c r="P60" s="893">
        <f t="shared" si="26"/>
        <v>2571.0333012905362</v>
      </c>
      <c r="Q60" s="450">
        <f>P60</f>
        <v>2571.0333012905362</v>
      </c>
      <c r="R60" s="893">
        <f t="shared" si="27"/>
        <v>315.66862682265304</v>
      </c>
      <c r="S60" s="450">
        <f>R60</f>
        <v>315.66862682265304</v>
      </c>
      <c r="T60" s="893">
        <f t="shared" si="28"/>
        <v>369.12535161252384</v>
      </c>
      <c r="U60" s="450">
        <f>T60</f>
        <v>369.12535161252384</v>
      </c>
      <c r="V60" s="893">
        <f t="shared" si="29"/>
        <v>392.03537652246848</v>
      </c>
      <c r="W60" s="450">
        <f>V60</f>
        <v>392.03537652246848</v>
      </c>
      <c r="X60" s="283">
        <f t="shared" si="30"/>
        <v>23.215491908743896</v>
      </c>
      <c r="Y60" s="706">
        <f>X60</f>
        <v>23.215491908743896</v>
      </c>
      <c r="Z60" s="707"/>
      <c r="AA60" s="706">
        <f t="shared" si="31"/>
        <v>5379.4955796918412</v>
      </c>
      <c r="AB60" s="251">
        <f>AA60</f>
        <v>5379.4955796918412</v>
      </c>
      <c r="AC60" s="706">
        <f>(N60/$N$131)*$AC$131</f>
        <v>101.58929022480424</v>
      </c>
      <c r="AD60" s="251">
        <f>AC60</f>
        <v>101.58929022480424</v>
      </c>
      <c r="AE60" s="707"/>
      <c r="AF60" s="706">
        <f t="shared" si="33"/>
        <v>3002.6286941146755</v>
      </c>
      <c r="AG60" s="251">
        <f>AF60</f>
        <v>3002.6286941146755</v>
      </c>
      <c r="AH60" s="707"/>
      <c r="AI60" s="251">
        <f t="shared" si="8"/>
        <v>12154.791712188246</v>
      </c>
      <c r="AJ60" s="707"/>
      <c r="AK60" s="358"/>
      <c r="AL60" s="52" t="s">
        <v>414</v>
      </c>
      <c r="AM60" s="359"/>
      <c r="AN60" s="708"/>
      <c r="AO60" s="708"/>
      <c r="AP60" s="159">
        <v>2000</v>
      </c>
      <c r="AQ60" s="759">
        <v>1990</v>
      </c>
      <c r="AR60" s="759">
        <v>2012</v>
      </c>
      <c r="AS60" s="759">
        <v>1990</v>
      </c>
      <c r="AT60" s="759" t="s">
        <v>578</v>
      </c>
      <c r="AU60" s="759">
        <v>1</v>
      </c>
      <c r="AV60" s="759" t="s">
        <v>579</v>
      </c>
      <c r="AW60" s="760" t="s">
        <v>616</v>
      </c>
      <c r="AX60" s="164" t="s">
        <v>580</v>
      </c>
      <c r="AY60" s="711" t="s">
        <v>588</v>
      </c>
      <c r="AZ60" s="18" t="s">
        <v>646</v>
      </c>
    </row>
    <row r="61" spans="1:52" s="22" customFormat="1" ht="15.75">
      <c r="A61" s="765" t="s">
        <v>371</v>
      </c>
      <c r="B61" s="87" t="s">
        <v>418</v>
      </c>
      <c r="C61" s="351" t="s">
        <v>419</v>
      </c>
      <c r="D61" s="87" t="s">
        <v>420</v>
      </c>
      <c r="E61" s="88" t="s">
        <v>375</v>
      </c>
      <c r="F61" s="381">
        <v>32725</v>
      </c>
      <c r="G61" s="87" t="s">
        <v>620</v>
      </c>
      <c r="H61" s="721" t="s">
        <v>647</v>
      </c>
      <c r="I61" s="722">
        <v>285300</v>
      </c>
      <c r="J61" s="845">
        <v>1213880.8799999999</v>
      </c>
      <c r="K61" s="723"/>
      <c r="L61" s="723"/>
      <c r="M61" s="723">
        <f t="shared" si="25"/>
        <v>1499180.88</v>
      </c>
      <c r="N61" s="723">
        <v>175</v>
      </c>
      <c r="O61" s="437"/>
      <c r="P61" s="895">
        <f t="shared" si="26"/>
        <v>17816.142168539827</v>
      </c>
      <c r="Q61" s="454">
        <f>SUM(P61:P67)</f>
        <v>37996.710025185916</v>
      </c>
      <c r="R61" s="895">
        <f t="shared" si="27"/>
        <v>2187.4462422548759</v>
      </c>
      <c r="S61" s="454">
        <f>SUM(R61:R67)</f>
        <v>4665.1940569608223</v>
      </c>
      <c r="T61" s="895">
        <f t="shared" si="28"/>
        <v>2557.8780870088081</v>
      </c>
      <c r="U61" s="454">
        <f>SUM(T61:T67)</f>
        <v>5455.2187018058858</v>
      </c>
      <c r="V61" s="895">
        <f t="shared" si="29"/>
        <v>2716.6345919033506</v>
      </c>
      <c r="W61" s="454">
        <f>SUM(V61:V67)</f>
        <v>5793.8006924537713</v>
      </c>
      <c r="X61" s="270">
        <f t="shared" si="30"/>
        <v>160.8732582931363</v>
      </c>
      <c r="Y61" s="257">
        <f>SUM(X61:X67)</f>
        <v>343.09641718985642</v>
      </c>
      <c r="Z61" s="707"/>
      <c r="AA61" s="723">
        <f t="shared" si="31"/>
        <v>16515.995200808284</v>
      </c>
      <c r="AB61" s="257">
        <f>SUM(AA61:AA67)</f>
        <v>16515.995200808284</v>
      </c>
      <c r="AC61" s="723">
        <f>(N61/$N$131)*$AC$131</f>
        <v>311.89694367264462</v>
      </c>
      <c r="AD61" s="257">
        <f>SUM(AC61:AC67)</f>
        <v>311.89694367264462</v>
      </c>
      <c r="AE61" s="707"/>
      <c r="AF61" s="723">
        <f t="shared" si="33"/>
        <v>9218.5968678959343</v>
      </c>
      <c r="AG61" s="257">
        <f>SUM(AF61:AF67)</f>
        <v>9218.5968678959343</v>
      </c>
      <c r="AH61" s="707"/>
      <c r="AI61" s="257">
        <f t="shared" si="8"/>
        <v>80300.508905973111</v>
      </c>
      <c r="AJ61" s="707"/>
      <c r="AK61" s="358"/>
      <c r="AL61" s="87" t="s">
        <v>418</v>
      </c>
      <c r="AM61" s="359"/>
      <c r="AN61" s="615"/>
      <c r="AO61" s="615"/>
      <c r="AP61" s="166">
        <v>1902</v>
      </c>
      <c r="AQ61" s="628">
        <v>1974</v>
      </c>
      <c r="AR61" s="628">
        <v>2019</v>
      </c>
      <c r="AS61" s="628">
        <v>2104</v>
      </c>
      <c r="AT61" s="628" t="s">
        <v>586</v>
      </c>
      <c r="AU61" s="628">
        <v>1</v>
      </c>
      <c r="AV61" s="628" t="s">
        <v>579</v>
      </c>
      <c r="AW61" s="626" t="s">
        <v>616</v>
      </c>
      <c r="AX61" s="91" t="s">
        <v>580</v>
      </c>
      <c r="AY61" s="529" t="s">
        <v>588</v>
      </c>
      <c r="AZ61" s="89"/>
    </row>
    <row r="62" spans="1:52" s="22" customFormat="1" ht="15.75">
      <c r="A62" s="766"/>
      <c r="B62" s="57"/>
      <c r="C62" s="352"/>
      <c r="D62" s="55"/>
      <c r="E62" s="62"/>
      <c r="F62" s="402"/>
      <c r="G62" s="55"/>
      <c r="H62" s="721" t="s">
        <v>639</v>
      </c>
      <c r="I62" s="722">
        <v>181050</v>
      </c>
      <c r="J62" s="767"/>
      <c r="K62" s="723"/>
      <c r="L62" s="723"/>
      <c r="M62" s="723">
        <f t="shared" si="25"/>
        <v>181050</v>
      </c>
      <c r="N62" s="723"/>
      <c r="O62" s="437"/>
      <c r="P62" s="895">
        <f t="shared" si="26"/>
        <v>2151.583296349228</v>
      </c>
      <c r="Q62" s="455"/>
      <c r="R62" s="895">
        <f t="shared" si="27"/>
        <v>264.16901885798154</v>
      </c>
      <c r="S62" s="455"/>
      <c r="T62" s="895">
        <f t="shared" si="28"/>
        <v>308.90457171048286</v>
      </c>
      <c r="U62" s="455"/>
      <c r="V62" s="895">
        <f t="shared" si="29"/>
        <v>328.07695150441197</v>
      </c>
      <c r="W62" s="455"/>
      <c r="X62" s="270">
        <f t="shared" si="30"/>
        <v>19.428011524514861</v>
      </c>
      <c r="Y62" s="271"/>
      <c r="Z62" s="707"/>
      <c r="AA62" s="723">
        <f t="shared" si="31"/>
        <v>0</v>
      </c>
      <c r="AB62" s="271"/>
      <c r="AC62" s="723"/>
      <c r="AD62" s="271"/>
      <c r="AE62" s="707"/>
      <c r="AF62" s="723">
        <f t="shared" si="33"/>
        <v>0</v>
      </c>
      <c r="AG62" s="271"/>
      <c r="AH62" s="707"/>
      <c r="AI62" s="271"/>
      <c r="AJ62" s="707"/>
      <c r="AK62" s="358"/>
      <c r="AL62" s="57"/>
      <c r="AM62" s="359"/>
      <c r="AN62" s="615"/>
      <c r="AO62" s="615"/>
      <c r="AP62" s="166">
        <v>1207</v>
      </c>
      <c r="AQ62" s="628">
        <v>1974</v>
      </c>
      <c r="AR62" s="628">
        <v>2019</v>
      </c>
      <c r="AS62" s="628">
        <v>2012</v>
      </c>
      <c r="AT62" s="628" t="s">
        <v>586</v>
      </c>
      <c r="AU62" s="628">
        <v>1</v>
      </c>
      <c r="AV62" s="628" t="s">
        <v>579</v>
      </c>
      <c r="AW62" s="626" t="s">
        <v>579</v>
      </c>
      <c r="AX62" s="61"/>
      <c r="AY62" s="61"/>
      <c r="AZ62" s="55"/>
    </row>
    <row r="63" spans="1:52" s="22" customFormat="1" ht="15.75">
      <c r="A63" s="766"/>
      <c r="B63" s="57"/>
      <c r="C63" s="352"/>
      <c r="D63" s="55"/>
      <c r="E63" s="62"/>
      <c r="F63" s="402"/>
      <c r="G63" s="55"/>
      <c r="H63" s="721" t="s">
        <v>648</v>
      </c>
      <c r="I63" s="722">
        <v>657900</v>
      </c>
      <c r="J63" s="767"/>
      <c r="K63" s="723"/>
      <c r="L63" s="723"/>
      <c r="M63" s="723">
        <f t="shared" si="25"/>
        <v>657900</v>
      </c>
      <c r="N63" s="723"/>
      <c r="O63" s="437"/>
      <c r="P63" s="895">
        <f t="shared" si="26"/>
        <v>7818.4294430718428</v>
      </c>
      <c r="Q63" s="455"/>
      <c r="R63" s="895">
        <f t="shared" si="27"/>
        <v>959.93812486421461</v>
      </c>
      <c r="S63" s="455"/>
      <c r="T63" s="895">
        <f t="shared" si="28"/>
        <v>1122.4983028352758</v>
      </c>
      <c r="U63" s="455"/>
      <c r="V63" s="895">
        <f t="shared" si="29"/>
        <v>1192.1669505371592</v>
      </c>
      <c r="W63" s="455"/>
      <c r="X63" s="270">
        <f t="shared" si="30"/>
        <v>70.597563004575136</v>
      </c>
      <c r="Y63" s="271"/>
      <c r="Z63" s="707"/>
      <c r="AA63" s="723">
        <f t="shared" si="31"/>
        <v>0</v>
      </c>
      <c r="AB63" s="271"/>
      <c r="AC63" s="723"/>
      <c r="AD63" s="271"/>
      <c r="AE63" s="707"/>
      <c r="AF63" s="723">
        <f t="shared" si="33"/>
        <v>0</v>
      </c>
      <c r="AG63" s="271"/>
      <c r="AH63" s="707"/>
      <c r="AI63" s="271"/>
      <c r="AJ63" s="707"/>
      <c r="AK63" s="358"/>
      <c r="AL63" s="57"/>
      <c r="AM63" s="359"/>
      <c r="AN63" s="615"/>
      <c r="AO63" s="615"/>
      <c r="AP63" s="166">
        <v>4386</v>
      </c>
      <c r="AQ63" s="628">
        <v>1974</v>
      </c>
      <c r="AR63" s="628">
        <v>2019</v>
      </c>
      <c r="AS63" s="628">
        <v>2000</v>
      </c>
      <c r="AT63" s="628" t="s">
        <v>578</v>
      </c>
      <c r="AU63" s="628">
        <v>2</v>
      </c>
      <c r="AV63" s="628" t="s">
        <v>579</v>
      </c>
      <c r="AW63" s="626" t="s">
        <v>579</v>
      </c>
      <c r="AX63" s="61"/>
      <c r="AY63" s="61"/>
      <c r="AZ63" s="55"/>
    </row>
    <row r="64" spans="1:52" s="22" customFormat="1" ht="15.75">
      <c r="A64" s="766"/>
      <c r="B64" s="57"/>
      <c r="C64" s="352"/>
      <c r="D64" s="55"/>
      <c r="E64" s="62"/>
      <c r="F64" s="402"/>
      <c r="G64" s="55"/>
      <c r="H64" s="721" t="s">
        <v>649</v>
      </c>
      <c r="I64" s="722">
        <v>436050</v>
      </c>
      <c r="J64" s="767"/>
      <c r="K64" s="723"/>
      <c r="L64" s="723"/>
      <c r="M64" s="723">
        <f t="shared" si="25"/>
        <v>436050</v>
      </c>
      <c r="N64" s="723"/>
      <c r="O64" s="437"/>
      <c r="P64" s="895">
        <f t="shared" si="26"/>
        <v>5181.9823052918018</v>
      </c>
      <c r="Q64" s="455"/>
      <c r="R64" s="895">
        <f t="shared" si="27"/>
        <v>636.23805950302585</v>
      </c>
      <c r="S64" s="455"/>
      <c r="T64" s="895">
        <f t="shared" si="28"/>
        <v>743.98143327454318</v>
      </c>
      <c r="U64" s="455"/>
      <c r="V64" s="895">
        <f t="shared" si="29"/>
        <v>790.15716489090767</v>
      </c>
      <c r="W64" s="455"/>
      <c r="X64" s="270">
        <f t="shared" si="30"/>
        <v>46.791408037916071</v>
      </c>
      <c r="Y64" s="271"/>
      <c r="Z64" s="707"/>
      <c r="AA64" s="723">
        <f t="shared" si="31"/>
        <v>0</v>
      </c>
      <c r="AB64" s="271"/>
      <c r="AC64" s="723"/>
      <c r="AD64" s="271"/>
      <c r="AE64" s="707"/>
      <c r="AF64" s="723">
        <f t="shared" si="33"/>
        <v>0</v>
      </c>
      <c r="AG64" s="271"/>
      <c r="AH64" s="707"/>
      <c r="AI64" s="271"/>
      <c r="AJ64" s="707"/>
      <c r="AK64" s="358"/>
      <c r="AL64" s="57"/>
      <c r="AM64" s="359"/>
      <c r="AN64" s="615"/>
      <c r="AO64" s="615"/>
      <c r="AP64" s="166">
        <v>2907</v>
      </c>
      <c r="AQ64" s="628">
        <v>1996</v>
      </c>
      <c r="AR64" s="628">
        <v>2022</v>
      </c>
      <c r="AS64" s="628">
        <v>1996</v>
      </c>
      <c r="AT64" s="628" t="s">
        <v>578</v>
      </c>
      <c r="AU64" s="628">
        <v>2</v>
      </c>
      <c r="AV64" s="628" t="s">
        <v>579</v>
      </c>
      <c r="AW64" s="626" t="s">
        <v>579</v>
      </c>
      <c r="AX64" s="61"/>
      <c r="AY64" s="61"/>
      <c r="AZ64" s="55"/>
    </row>
    <row r="65" spans="1:52" s="22" customFormat="1" ht="15.75">
      <c r="A65" s="766"/>
      <c r="B65" s="57"/>
      <c r="C65" s="352"/>
      <c r="D65" s="55"/>
      <c r="E65" s="62"/>
      <c r="F65" s="402"/>
      <c r="G65" s="55"/>
      <c r="H65" s="721" t="s">
        <v>650</v>
      </c>
      <c r="I65" s="722">
        <v>131100</v>
      </c>
      <c r="J65" s="767"/>
      <c r="K65" s="723"/>
      <c r="L65" s="723"/>
      <c r="M65" s="723">
        <f t="shared" si="25"/>
        <v>131100</v>
      </c>
      <c r="N65" s="723"/>
      <c r="O65" s="437"/>
      <c r="P65" s="895">
        <f t="shared" si="26"/>
        <v>1557.9816081269471</v>
      </c>
      <c r="Q65" s="455"/>
      <c r="R65" s="895">
        <f t="shared" si="27"/>
        <v>191.28725971986398</v>
      </c>
      <c r="S65" s="455"/>
      <c r="T65" s="895">
        <f t="shared" si="28"/>
        <v>223.68069235705218</v>
      </c>
      <c r="U65" s="455"/>
      <c r="V65" s="895">
        <f t="shared" si="29"/>
        <v>237.56359205870427</v>
      </c>
      <c r="W65" s="455"/>
      <c r="X65" s="270">
        <f t="shared" si="30"/>
        <v>14.068005031007447</v>
      </c>
      <c r="Y65" s="271"/>
      <c r="Z65" s="707"/>
      <c r="AA65" s="723">
        <f t="shared" si="31"/>
        <v>0</v>
      </c>
      <c r="AB65" s="271"/>
      <c r="AC65" s="723"/>
      <c r="AD65" s="271"/>
      <c r="AE65" s="707"/>
      <c r="AF65" s="723">
        <f t="shared" si="33"/>
        <v>0</v>
      </c>
      <c r="AG65" s="271"/>
      <c r="AH65" s="707"/>
      <c r="AI65" s="271"/>
      <c r="AJ65" s="707"/>
      <c r="AK65" s="358"/>
      <c r="AL65" s="57"/>
      <c r="AM65" s="359"/>
      <c r="AN65" s="615"/>
      <c r="AO65" s="615"/>
      <c r="AP65" s="166">
        <v>1189</v>
      </c>
      <c r="AQ65" s="628">
        <v>1968</v>
      </c>
      <c r="AR65" s="628">
        <v>1968</v>
      </c>
      <c r="AS65" s="628">
        <v>2008</v>
      </c>
      <c r="AT65" s="628" t="s">
        <v>586</v>
      </c>
      <c r="AU65" s="628">
        <v>1</v>
      </c>
      <c r="AV65" s="628" t="s">
        <v>579</v>
      </c>
      <c r="AW65" s="626" t="s">
        <v>579</v>
      </c>
      <c r="AX65" s="61"/>
      <c r="AY65" s="61"/>
      <c r="AZ65" s="55"/>
    </row>
    <row r="66" spans="1:52" s="22" customFormat="1" ht="15.75">
      <c r="A66" s="766"/>
      <c r="B66" s="57"/>
      <c r="C66" s="352"/>
      <c r="D66" s="55"/>
      <c r="E66" s="62"/>
      <c r="F66" s="402"/>
      <c r="G66" s="55"/>
      <c r="H66" s="63" t="s">
        <v>651</v>
      </c>
      <c r="I66" s="722">
        <v>2445</v>
      </c>
      <c r="J66" s="767"/>
      <c r="K66" s="723"/>
      <c r="L66" s="723"/>
      <c r="M66" s="723">
        <f t="shared" si="25"/>
        <v>2445</v>
      </c>
      <c r="N66" s="723"/>
      <c r="O66" s="437"/>
      <c r="P66" s="895">
        <f t="shared" si="26"/>
        <v>29.056178732802334</v>
      </c>
      <c r="Q66" s="455"/>
      <c r="R66" s="895">
        <f t="shared" si="27"/>
        <v>3.5674855073613081</v>
      </c>
      <c r="S66" s="455"/>
      <c r="T66" s="895">
        <f t="shared" si="28"/>
        <v>4.1716193197024616</v>
      </c>
      <c r="U66" s="455"/>
      <c r="V66" s="895">
        <f t="shared" si="29"/>
        <v>4.4305338107058123</v>
      </c>
      <c r="W66" s="455"/>
      <c r="X66" s="270">
        <f t="shared" si="30"/>
        <v>0.26236668421672926</v>
      </c>
      <c r="Y66" s="271"/>
      <c r="Z66" s="707"/>
      <c r="AA66" s="723">
        <f t="shared" si="31"/>
        <v>0</v>
      </c>
      <c r="AB66" s="271"/>
      <c r="AC66" s="723"/>
      <c r="AD66" s="271"/>
      <c r="AE66" s="707"/>
      <c r="AF66" s="723">
        <f t="shared" si="33"/>
        <v>0</v>
      </c>
      <c r="AG66" s="271"/>
      <c r="AH66" s="707"/>
      <c r="AI66" s="271"/>
      <c r="AJ66" s="707"/>
      <c r="AK66" s="358"/>
      <c r="AL66" s="57"/>
      <c r="AM66" s="359"/>
      <c r="AN66" s="615"/>
      <c r="AO66" s="615"/>
      <c r="AP66" s="166">
        <v>874</v>
      </c>
      <c r="AQ66" s="628">
        <v>1968</v>
      </c>
      <c r="AR66" s="628">
        <v>1968</v>
      </c>
      <c r="AS66" s="628">
        <v>2000</v>
      </c>
      <c r="AT66" s="628" t="s">
        <v>586</v>
      </c>
      <c r="AU66" s="628">
        <v>1</v>
      </c>
      <c r="AV66" s="628" t="s">
        <v>579</v>
      </c>
      <c r="AW66" s="626" t="s">
        <v>579</v>
      </c>
      <c r="AX66" s="61"/>
      <c r="AY66" s="61"/>
      <c r="AZ66" s="55"/>
    </row>
    <row r="67" spans="1:52" s="22" customFormat="1" ht="15.75">
      <c r="A67" s="768"/>
      <c r="B67" s="95"/>
      <c r="C67" s="114"/>
      <c r="D67" s="64"/>
      <c r="E67" s="112"/>
      <c r="F67" s="403"/>
      <c r="G67" s="64"/>
      <c r="H67" s="59" t="s">
        <v>652</v>
      </c>
      <c r="I67" s="722">
        <v>289596</v>
      </c>
      <c r="J67" s="767"/>
      <c r="K67" s="723"/>
      <c r="L67" s="723"/>
      <c r="M67" s="723">
        <f t="shared" si="25"/>
        <v>289596</v>
      </c>
      <c r="N67" s="723"/>
      <c r="O67" s="437"/>
      <c r="P67" s="895">
        <f t="shared" si="26"/>
        <v>3441.5350250734659</v>
      </c>
      <c r="Q67" s="455"/>
      <c r="R67" s="895">
        <f t="shared" si="27"/>
        <v>422.54786625349914</v>
      </c>
      <c r="S67" s="455"/>
      <c r="T67" s="895">
        <f t="shared" si="28"/>
        <v>494.10399530002206</v>
      </c>
      <c r="U67" s="455"/>
      <c r="V67" s="895">
        <f t="shared" si="29"/>
        <v>524.77090774853184</v>
      </c>
      <c r="W67" s="455"/>
      <c r="X67" s="270">
        <f t="shared" si="30"/>
        <v>31.075804614489954</v>
      </c>
      <c r="Y67" s="255"/>
      <c r="Z67" s="707"/>
      <c r="AA67" s="723">
        <f t="shared" si="31"/>
        <v>0</v>
      </c>
      <c r="AB67" s="271"/>
      <c r="AC67" s="723"/>
      <c r="AD67" s="271"/>
      <c r="AE67" s="707"/>
      <c r="AF67" s="723">
        <f t="shared" si="33"/>
        <v>0</v>
      </c>
      <c r="AG67" s="271"/>
      <c r="AH67" s="707"/>
      <c r="AI67" s="271"/>
      <c r="AJ67" s="707"/>
      <c r="AK67" s="358"/>
      <c r="AL67" s="95"/>
      <c r="AM67" s="359"/>
      <c r="AN67" s="615"/>
      <c r="AO67" s="615"/>
      <c r="AP67" s="166">
        <v>90</v>
      </c>
      <c r="AQ67" s="628">
        <v>1996</v>
      </c>
      <c r="AR67" s="628">
        <v>2010</v>
      </c>
      <c r="AS67" s="628">
        <v>2018</v>
      </c>
      <c r="AT67" s="628" t="s">
        <v>586</v>
      </c>
      <c r="AU67" s="628">
        <v>1</v>
      </c>
      <c r="AV67" s="628" t="s">
        <v>579</v>
      </c>
      <c r="AW67" s="626" t="s">
        <v>579</v>
      </c>
      <c r="AX67" s="82"/>
      <c r="AY67" s="82"/>
      <c r="AZ67" s="64"/>
    </row>
    <row r="68" spans="1:52" s="22" customFormat="1" ht="15.75">
      <c r="A68" s="703" t="s">
        <v>371</v>
      </c>
      <c r="B68" s="52" t="s">
        <v>421</v>
      </c>
      <c r="C68" s="15" t="s">
        <v>422</v>
      </c>
      <c r="D68" s="16" t="s">
        <v>423</v>
      </c>
      <c r="E68" s="17" t="s">
        <v>375</v>
      </c>
      <c r="F68" s="374">
        <v>32937</v>
      </c>
      <c r="G68" s="16" t="s">
        <v>603</v>
      </c>
      <c r="H68" s="704" t="s">
        <v>585</v>
      </c>
      <c r="I68" s="705">
        <v>200000</v>
      </c>
      <c r="J68" s="844">
        <v>1467173.97</v>
      </c>
      <c r="K68" s="706"/>
      <c r="L68" s="706"/>
      <c r="M68" s="706">
        <f t="shared" si="25"/>
        <v>1667173.97</v>
      </c>
      <c r="N68" s="706">
        <v>113</v>
      </c>
      <c r="O68" s="437"/>
      <c r="P68" s="901">
        <f t="shared" si="26"/>
        <v>19812.55822126611</v>
      </c>
      <c r="Q68" s="450">
        <f>SUM(P68:P70)</f>
        <v>22783.537641798048</v>
      </c>
      <c r="R68" s="901">
        <f t="shared" si="27"/>
        <v>2432.5639984560394</v>
      </c>
      <c r="S68" s="450">
        <f>SUM(R68:R70)</f>
        <v>2797.337567715887</v>
      </c>
      <c r="T68" s="901">
        <f t="shared" si="28"/>
        <v>2844.5051707799803</v>
      </c>
      <c r="U68" s="450">
        <f>SUM(T68:T70)</f>
        <v>3271.0511134898434</v>
      </c>
      <c r="V68" s="901">
        <f t="shared" si="29"/>
        <v>3021.0513874902404</v>
      </c>
      <c r="W68" s="450">
        <f>SUM(V68:V70)</f>
        <v>3474.0712045358246</v>
      </c>
      <c r="X68" s="283">
        <f t="shared" si="30"/>
        <v>178.90016626639709</v>
      </c>
      <c r="Y68" s="251">
        <f>SUM(X68:X70)</f>
        <v>205.72702559326103</v>
      </c>
      <c r="Z68" s="707"/>
      <c r="AA68" s="706">
        <f t="shared" ref="AA68:AA99" si="34">(N68/$N$131)*$AA$131</f>
        <v>10664.614043950492</v>
      </c>
      <c r="AB68" s="251">
        <f>SUM(AA68:AA70)</f>
        <v>10664.614043950492</v>
      </c>
      <c r="AC68" s="706">
        <f>(N68/$N$131)*$AC$131</f>
        <v>201.39631220005052</v>
      </c>
      <c r="AD68" s="251">
        <f>SUM(AC68:AC70)</f>
        <v>201.39631220005052</v>
      </c>
      <c r="AE68" s="707"/>
      <c r="AF68" s="706">
        <f t="shared" ref="AF68:AF99" si="35">(N68/$N$131)*$AF$131</f>
        <v>5952.5796918413744</v>
      </c>
      <c r="AG68" s="251">
        <f>SUM(AF68:AF70)</f>
        <v>5952.5796918413744</v>
      </c>
      <c r="AH68" s="707"/>
      <c r="AI68" s="251">
        <f t="shared" si="8"/>
        <v>49350.314601124781</v>
      </c>
      <c r="AJ68" s="707"/>
      <c r="AK68" s="358"/>
      <c r="AL68" s="52" t="s">
        <v>421</v>
      </c>
      <c r="AM68" s="359"/>
      <c r="AN68" s="708"/>
      <c r="AO68" s="708"/>
      <c r="AP68" s="159">
        <v>1000</v>
      </c>
      <c r="AQ68" s="759">
        <v>1981</v>
      </c>
      <c r="AR68" s="759">
        <v>2020</v>
      </c>
      <c r="AS68" s="759">
        <v>2000</v>
      </c>
      <c r="AT68" s="759" t="s">
        <v>578</v>
      </c>
      <c r="AU68" s="759">
        <v>0</v>
      </c>
      <c r="AV68" s="759" t="s">
        <v>579</v>
      </c>
      <c r="AW68" s="760" t="s">
        <v>616</v>
      </c>
      <c r="AX68" s="70" t="s">
        <v>580</v>
      </c>
      <c r="AY68" s="711" t="s">
        <v>588</v>
      </c>
      <c r="AZ68" s="21" t="s">
        <v>581</v>
      </c>
    </row>
    <row r="69" spans="1:52" s="22" customFormat="1" ht="15.75">
      <c r="A69" s="769"/>
      <c r="B69" s="52"/>
      <c r="C69" s="163"/>
      <c r="D69" s="18"/>
      <c r="E69" s="163"/>
      <c r="F69" s="406"/>
      <c r="G69" s="18"/>
      <c r="H69" s="704" t="s">
        <v>653</v>
      </c>
      <c r="I69" s="705">
        <v>100000</v>
      </c>
      <c r="J69" s="770"/>
      <c r="K69" s="706"/>
      <c r="L69" s="706"/>
      <c r="M69" s="706">
        <f t="shared" si="25"/>
        <v>100000</v>
      </c>
      <c r="N69" s="706"/>
      <c r="O69" s="437"/>
      <c r="P69" s="901">
        <f t="shared" si="26"/>
        <v>1188.3917682127744</v>
      </c>
      <c r="Q69" s="451"/>
      <c r="R69" s="901">
        <f t="shared" ref="R69:R120" si="36">(M69/$M$131)*$R$131</f>
        <v>145.909427703939</v>
      </c>
      <c r="S69" s="451"/>
      <c r="T69" s="901">
        <f t="shared" ref="T69:T120" si="37">(M69/$M$131)*$T$131</f>
        <v>170.61837708394526</v>
      </c>
      <c r="U69" s="451"/>
      <c r="V69" s="901">
        <f t="shared" ref="V69:V120" si="38">(M69/$M$131)*$V$131</f>
        <v>181.20792681823363</v>
      </c>
      <c r="W69" s="451"/>
      <c r="X69" s="283">
        <f t="shared" si="30"/>
        <v>10.730743730745575</v>
      </c>
      <c r="Y69" s="265"/>
      <c r="Z69" s="707"/>
      <c r="AA69" s="706">
        <f t="shared" si="34"/>
        <v>0</v>
      </c>
      <c r="AB69" s="265"/>
      <c r="AC69" s="706"/>
      <c r="AD69" s="265"/>
      <c r="AE69" s="707"/>
      <c r="AF69" s="706">
        <f t="shared" si="35"/>
        <v>0</v>
      </c>
      <c r="AG69" s="265"/>
      <c r="AH69" s="707"/>
      <c r="AI69" s="265"/>
      <c r="AJ69" s="707"/>
      <c r="AK69" s="358"/>
      <c r="AL69" s="52"/>
      <c r="AM69" s="359"/>
      <c r="AN69" s="708"/>
      <c r="AO69" s="708"/>
      <c r="AP69" s="159">
        <v>500</v>
      </c>
      <c r="AQ69" s="759">
        <v>1985</v>
      </c>
      <c r="AR69" s="759">
        <v>2020</v>
      </c>
      <c r="AS69" s="759">
        <v>2005</v>
      </c>
      <c r="AT69" s="759" t="s">
        <v>578</v>
      </c>
      <c r="AU69" s="759">
        <v>1</v>
      </c>
      <c r="AV69" s="759" t="s">
        <v>579</v>
      </c>
      <c r="AW69" s="760" t="s">
        <v>579</v>
      </c>
      <c r="AX69" s="70"/>
      <c r="AY69" s="164"/>
      <c r="AZ69" s="28" t="s">
        <v>583</v>
      </c>
    </row>
    <row r="70" spans="1:52" s="22" customFormat="1" ht="15.75">
      <c r="A70" s="77"/>
      <c r="B70" s="25"/>
      <c r="C70" s="165"/>
      <c r="D70" s="23"/>
      <c r="E70" s="165"/>
      <c r="F70" s="407"/>
      <c r="G70" s="23"/>
      <c r="H70" s="704" t="s">
        <v>654</v>
      </c>
      <c r="I70" s="705">
        <v>150000</v>
      </c>
      <c r="J70" s="770"/>
      <c r="K70" s="706"/>
      <c r="L70" s="706"/>
      <c r="M70" s="706">
        <f t="shared" si="25"/>
        <v>150000</v>
      </c>
      <c r="N70" s="706"/>
      <c r="O70" s="437"/>
      <c r="P70" s="901">
        <f t="shared" si="26"/>
        <v>1782.5876523191614</v>
      </c>
      <c r="Q70" s="459"/>
      <c r="R70" s="901">
        <f t="shared" si="36"/>
        <v>218.86414155590845</v>
      </c>
      <c r="S70" s="459"/>
      <c r="T70" s="901">
        <f t="shared" si="37"/>
        <v>255.92756562591785</v>
      </c>
      <c r="U70" s="459"/>
      <c r="V70" s="901">
        <f t="shared" si="38"/>
        <v>271.81189022735043</v>
      </c>
      <c r="W70" s="459"/>
      <c r="X70" s="283">
        <f t="shared" si="30"/>
        <v>16.096115596118359</v>
      </c>
      <c r="Y70" s="253"/>
      <c r="Z70" s="707"/>
      <c r="AA70" s="706">
        <f t="shared" si="34"/>
        <v>0</v>
      </c>
      <c r="AB70" s="253"/>
      <c r="AC70" s="706"/>
      <c r="AD70" s="253"/>
      <c r="AE70" s="707"/>
      <c r="AF70" s="706">
        <f t="shared" si="35"/>
        <v>0</v>
      </c>
      <c r="AG70" s="253"/>
      <c r="AH70" s="707"/>
      <c r="AI70" s="253"/>
      <c r="AJ70" s="707"/>
      <c r="AK70" s="358"/>
      <c r="AL70" s="25"/>
      <c r="AM70" s="359"/>
      <c r="AN70" s="708"/>
      <c r="AO70" s="708"/>
      <c r="AP70" s="159">
        <v>750</v>
      </c>
      <c r="AQ70" s="759">
        <v>1985</v>
      </c>
      <c r="AR70" s="759">
        <v>2020</v>
      </c>
      <c r="AS70" s="759">
        <v>2005</v>
      </c>
      <c r="AT70" s="759" t="s">
        <v>578</v>
      </c>
      <c r="AU70" s="759">
        <v>1</v>
      </c>
      <c r="AV70" s="759" t="s">
        <v>579</v>
      </c>
      <c r="AW70" s="760" t="s">
        <v>579</v>
      </c>
      <c r="AX70" s="76"/>
      <c r="AY70" s="76"/>
      <c r="AZ70" s="23"/>
    </row>
    <row r="71" spans="1:52" s="22" customFormat="1" ht="15.75">
      <c r="A71" s="763" t="s">
        <v>371</v>
      </c>
      <c r="B71" s="57" t="s">
        <v>424</v>
      </c>
      <c r="C71" s="56" t="s">
        <v>425</v>
      </c>
      <c r="D71" s="57" t="s">
        <v>379</v>
      </c>
      <c r="E71" s="58" t="s">
        <v>375</v>
      </c>
      <c r="F71" s="377">
        <v>33142</v>
      </c>
      <c r="G71" s="57" t="s">
        <v>590</v>
      </c>
      <c r="H71" s="168" t="s">
        <v>655</v>
      </c>
      <c r="I71" s="722">
        <v>468181</v>
      </c>
      <c r="J71" s="845">
        <v>1042211.1</v>
      </c>
      <c r="K71" s="723"/>
      <c r="L71" s="723"/>
      <c r="M71" s="723">
        <f t="shared" si="25"/>
        <v>1510392.1</v>
      </c>
      <c r="N71" s="723">
        <v>74</v>
      </c>
      <c r="O71" s="437"/>
      <c r="P71" s="894">
        <f t="shared" si="26"/>
        <v>17949.375384136056</v>
      </c>
      <c r="Q71" s="455">
        <f>P71</f>
        <v>17949.375384136056</v>
      </c>
      <c r="R71" s="894">
        <f t="shared" si="36"/>
        <v>2203.804469195506</v>
      </c>
      <c r="S71" s="455">
        <f>R71</f>
        <v>2203.804469195506</v>
      </c>
      <c r="T71" s="894">
        <f t="shared" si="37"/>
        <v>2577.0064886241194</v>
      </c>
      <c r="U71" s="455">
        <f>T71</f>
        <v>2577.0064886241194</v>
      </c>
      <c r="V71" s="894">
        <f t="shared" si="38"/>
        <v>2736.9502112363825</v>
      </c>
      <c r="W71" s="455">
        <f>V71</f>
        <v>2736.9502112363825</v>
      </c>
      <c r="X71" s="270">
        <f t="shared" si="30"/>
        <v>162.07630558042644</v>
      </c>
      <c r="Y71" s="723">
        <f>X71</f>
        <v>162.07630558042644</v>
      </c>
      <c r="Z71" s="707"/>
      <c r="AA71" s="723">
        <f t="shared" si="34"/>
        <v>6983.9065420560746</v>
      </c>
      <c r="AB71" s="271">
        <f>AA71</f>
        <v>6983.9065420560746</v>
      </c>
      <c r="AC71" s="723">
        <f>(N71/$N$131)*$AC$131</f>
        <v>131.88785046728972</v>
      </c>
      <c r="AD71" s="271">
        <f>AC71</f>
        <v>131.88785046728972</v>
      </c>
      <c r="AE71" s="707"/>
      <c r="AF71" s="723">
        <f t="shared" si="35"/>
        <v>3898.1495327102803</v>
      </c>
      <c r="AG71" s="271">
        <f>AF71</f>
        <v>3898.1495327102803</v>
      </c>
      <c r="AH71" s="707"/>
      <c r="AI71" s="271">
        <f t="shared" ref="AI71:AI120" si="39">Q71+S71+U71+W71+Y71+AB71+AD71+AG71</f>
        <v>36643.15678400614</v>
      </c>
      <c r="AJ71" s="707"/>
      <c r="AK71" s="358"/>
      <c r="AL71" s="57" t="s">
        <v>424</v>
      </c>
      <c r="AM71" s="359"/>
      <c r="AN71" s="615"/>
      <c r="AO71" s="615"/>
      <c r="AP71" s="166">
        <v>3000</v>
      </c>
      <c r="AQ71" s="628">
        <v>1981</v>
      </c>
      <c r="AR71" s="628">
        <v>2018</v>
      </c>
      <c r="AS71" s="628">
        <v>2012</v>
      </c>
      <c r="AT71" s="628" t="s">
        <v>586</v>
      </c>
      <c r="AU71" s="628">
        <v>2</v>
      </c>
      <c r="AV71" s="628" t="s">
        <v>579</v>
      </c>
      <c r="AW71" s="626" t="s">
        <v>616</v>
      </c>
      <c r="AX71" s="61" t="s">
        <v>591</v>
      </c>
      <c r="AY71" s="529" t="s">
        <v>588</v>
      </c>
      <c r="AZ71" s="55"/>
    </row>
    <row r="72" spans="1:52" ht="15.75">
      <c r="A72" s="771"/>
      <c r="B72" s="128" t="s">
        <v>486</v>
      </c>
      <c r="C72" s="127" t="s">
        <v>487</v>
      </c>
      <c r="D72" s="128" t="s">
        <v>488</v>
      </c>
      <c r="E72" s="129" t="s">
        <v>375</v>
      </c>
      <c r="F72" s="386">
        <v>33493</v>
      </c>
      <c r="G72" s="128" t="s">
        <v>603</v>
      </c>
      <c r="H72" s="734" t="s">
        <v>598</v>
      </c>
      <c r="I72" s="736">
        <v>272208</v>
      </c>
      <c r="J72" s="736">
        <v>224894.18</v>
      </c>
      <c r="K72" s="735"/>
      <c r="L72" s="735"/>
      <c r="M72" s="735">
        <f t="shared" ref="M72:M103" si="40">SUM(I72:L72)</f>
        <v>497102.18</v>
      </c>
      <c r="N72" s="735">
        <v>113</v>
      </c>
      <c r="O72" s="438"/>
      <c r="P72" s="898">
        <f t="shared" si="26"/>
        <v>5907.5213867262482</v>
      </c>
      <c r="Q72" s="462">
        <f>SUM(P72:P74)</f>
        <v>9899.8878802840172</v>
      </c>
      <c r="R72" s="898">
        <f t="shared" si="36"/>
        <v>725.3189459418046</v>
      </c>
      <c r="S72" s="462">
        <f>SUM(R72:R74)</f>
        <v>1215.4972910303566</v>
      </c>
      <c r="T72" s="898">
        <f t="shared" si="37"/>
        <v>848.14767196491209</v>
      </c>
      <c r="U72" s="462">
        <f>SUM(T72:T74)</f>
        <v>1421.3349912271135</v>
      </c>
      <c r="V72" s="898">
        <f t="shared" si="38"/>
        <v>900.78855454624397</v>
      </c>
      <c r="W72" s="462">
        <f>SUM(V72:V74)</f>
        <v>1509.5511484542953</v>
      </c>
      <c r="X72" s="272">
        <f t="shared" ref="X72:X103" si="41">(M72/$M$131)*$X$131</f>
        <v>53.342761015749574</v>
      </c>
      <c r="Y72" s="258">
        <f>SUM(X72:X74)</f>
        <v>89.392372656877413</v>
      </c>
      <c r="Z72" s="715"/>
      <c r="AA72" s="735">
        <f t="shared" si="34"/>
        <v>10664.614043950492</v>
      </c>
      <c r="AB72" s="258">
        <f>SUM(AA72:AA74)</f>
        <v>10664.614043950492</v>
      </c>
      <c r="AC72" s="735">
        <f>(N72/$N$131)*$AC$131</f>
        <v>201.39631220005052</v>
      </c>
      <c r="AD72" s="258">
        <f>SUM(AC72:AC74)</f>
        <v>201.39631220005052</v>
      </c>
      <c r="AE72" s="715"/>
      <c r="AF72" s="735">
        <f t="shared" si="35"/>
        <v>5952.5796918413744</v>
      </c>
      <c r="AG72" s="258">
        <f>SUM(AF72:AF74)</f>
        <v>5952.5796918413744</v>
      </c>
      <c r="AH72" s="715"/>
      <c r="AI72" s="258">
        <f t="shared" si="39"/>
        <v>30954.253731644574</v>
      </c>
      <c r="AJ72" s="715"/>
      <c r="AK72" s="360"/>
      <c r="AL72" s="128" t="s">
        <v>486</v>
      </c>
      <c r="AM72" s="361"/>
      <c r="AN72" s="711"/>
      <c r="AO72" s="711"/>
      <c r="AP72" s="124">
        <v>1985</v>
      </c>
      <c r="AQ72" s="737">
        <v>2017</v>
      </c>
      <c r="AR72" s="737">
        <v>2010</v>
      </c>
      <c r="AS72" s="737" t="s">
        <v>578</v>
      </c>
      <c r="AT72" s="737">
        <v>2</v>
      </c>
      <c r="AU72" s="737" t="s">
        <v>579</v>
      </c>
      <c r="AV72" s="737" t="s">
        <v>579</v>
      </c>
      <c r="AW72" s="739"/>
      <c r="AX72" s="153" t="s">
        <v>587</v>
      </c>
      <c r="AY72" s="711" t="s">
        <v>588</v>
      </c>
      <c r="AZ72" s="21" t="s">
        <v>656</v>
      </c>
    </row>
    <row r="73" spans="1:52" ht="15.75">
      <c r="A73" s="741"/>
      <c r="B73" s="121"/>
      <c r="C73" s="169"/>
      <c r="D73" s="123"/>
      <c r="E73" s="169"/>
      <c r="F73" s="408"/>
      <c r="G73" s="123"/>
      <c r="H73" s="734" t="s">
        <v>657</v>
      </c>
      <c r="I73" s="736">
        <v>199192</v>
      </c>
      <c r="J73" s="745"/>
      <c r="K73" s="735"/>
      <c r="L73" s="735"/>
      <c r="M73" s="735">
        <f t="shared" si="40"/>
        <v>199192</v>
      </c>
      <c r="N73" s="735"/>
      <c r="O73" s="438"/>
      <c r="P73" s="898">
        <f t="shared" si="26"/>
        <v>2367.1813309383892</v>
      </c>
      <c r="Q73" s="463"/>
      <c r="R73" s="898">
        <f t="shared" si="36"/>
        <v>290.63990723203011</v>
      </c>
      <c r="S73" s="463"/>
      <c r="T73" s="898">
        <f t="shared" si="37"/>
        <v>339.85815768105221</v>
      </c>
      <c r="U73" s="463"/>
      <c r="V73" s="898">
        <f t="shared" si="38"/>
        <v>360.95169358777594</v>
      </c>
      <c r="W73" s="463"/>
      <c r="X73" s="272">
        <f t="shared" si="41"/>
        <v>21.374783052146721</v>
      </c>
      <c r="Y73" s="273"/>
      <c r="Z73" s="715"/>
      <c r="AA73" s="735">
        <f t="shared" si="34"/>
        <v>0</v>
      </c>
      <c r="AB73" s="273"/>
      <c r="AC73" s="735"/>
      <c r="AD73" s="273"/>
      <c r="AE73" s="715"/>
      <c r="AF73" s="735">
        <f t="shared" si="35"/>
        <v>0</v>
      </c>
      <c r="AG73" s="273"/>
      <c r="AH73" s="715"/>
      <c r="AI73" s="273"/>
      <c r="AJ73" s="715"/>
      <c r="AK73" s="360"/>
      <c r="AL73" s="121"/>
      <c r="AM73" s="361"/>
      <c r="AN73" s="711"/>
      <c r="AO73" s="711"/>
      <c r="AP73" s="124">
        <v>1990</v>
      </c>
      <c r="AQ73" s="737">
        <v>2015</v>
      </c>
      <c r="AR73" s="737">
        <v>2010</v>
      </c>
      <c r="AS73" s="737" t="s">
        <v>586</v>
      </c>
      <c r="AT73" s="737">
        <v>2</v>
      </c>
      <c r="AU73" s="737" t="s">
        <v>579</v>
      </c>
      <c r="AV73" s="737" t="s">
        <v>616</v>
      </c>
      <c r="AW73" s="739"/>
      <c r="AX73" s="170"/>
      <c r="AY73" s="170"/>
      <c r="AZ73" s="123"/>
    </row>
    <row r="74" spans="1:52" ht="15.75">
      <c r="A74" s="741"/>
      <c r="B74" s="121"/>
      <c r="C74" s="169"/>
      <c r="D74" s="123"/>
      <c r="E74" s="169"/>
      <c r="F74" s="408"/>
      <c r="G74" s="123"/>
      <c r="H74" s="171" t="s">
        <v>658</v>
      </c>
      <c r="I74" s="736">
        <v>136755</v>
      </c>
      <c r="J74" s="745"/>
      <c r="K74" s="735"/>
      <c r="L74" s="735"/>
      <c r="M74" s="735">
        <f t="shared" si="40"/>
        <v>136755</v>
      </c>
      <c r="N74" s="735"/>
      <c r="O74" s="438"/>
      <c r="P74" s="898">
        <f t="shared" si="26"/>
        <v>1625.1851626193795</v>
      </c>
      <c r="Q74" s="470"/>
      <c r="R74" s="898">
        <f t="shared" si="36"/>
        <v>199.53843785652177</v>
      </c>
      <c r="S74" s="470"/>
      <c r="T74" s="898">
        <f t="shared" si="37"/>
        <v>233.32916158114932</v>
      </c>
      <c r="U74" s="470"/>
      <c r="V74" s="898">
        <f t="shared" si="38"/>
        <v>247.81090032027541</v>
      </c>
      <c r="W74" s="470"/>
      <c r="X74" s="272">
        <f t="shared" si="41"/>
        <v>14.674828588981111</v>
      </c>
      <c r="Y74" s="261"/>
      <c r="Z74" s="715"/>
      <c r="AA74" s="735">
        <f t="shared" si="34"/>
        <v>0</v>
      </c>
      <c r="AB74" s="261"/>
      <c r="AC74" s="735"/>
      <c r="AD74" s="261"/>
      <c r="AE74" s="715"/>
      <c r="AF74" s="735">
        <f t="shared" si="35"/>
        <v>0</v>
      </c>
      <c r="AG74" s="261"/>
      <c r="AH74" s="715"/>
      <c r="AI74" s="261"/>
      <c r="AJ74" s="715"/>
      <c r="AK74" s="360"/>
      <c r="AL74" s="121"/>
      <c r="AM74" s="361"/>
      <c r="AN74" s="711"/>
      <c r="AO74" s="711"/>
      <c r="AP74" s="124">
        <v>2000</v>
      </c>
      <c r="AQ74" s="737">
        <v>2020</v>
      </c>
      <c r="AR74" s="737">
        <v>2000</v>
      </c>
      <c r="AS74" s="737" t="s">
        <v>578</v>
      </c>
      <c r="AT74" s="737">
        <v>2</v>
      </c>
      <c r="AU74" s="737" t="s">
        <v>579</v>
      </c>
      <c r="AV74" s="737" t="s">
        <v>579</v>
      </c>
      <c r="AW74" s="739"/>
      <c r="AX74" s="170"/>
      <c r="AY74" s="170"/>
      <c r="AZ74" s="123"/>
    </row>
    <row r="75" spans="1:52" ht="15.75">
      <c r="A75" s="651"/>
      <c r="B75" s="652" t="s">
        <v>489</v>
      </c>
      <c r="C75" s="172" t="s">
        <v>490</v>
      </c>
      <c r="D75" s="652" t="s">
        <v>491</v>
      </c>
      <c r="E75" s="173" t="s">
        <v>375</v>
      </c>
      <c r="F75" s="653">
        <v>33440</v>
      </c>
      <c r="G75" s="652" t="s">
        <v>659</v>
      </c>
      <c r="H75" s="718" t="s">
        <v>623</v>
      </c>
      <c r="I75" s="713">
        <v>65000</v>
      </c>
      <c r="J75" s="857">
        <v>107923</v>
      </c>
      <c r="K75" s="714"/>
      <c r="L75" s="714"/>
      <c r="M75" s="714">
        <f t="shared" si="40"/>
        <v>172923</v>
      </c>
      <c r="N75" s="714">
        <v>15</v>
      </c>
      <c r="O75" s="438"/>
      <c r="P75" s="900">
        <f t="shared" si="26"/>
        <v>2055.002697346576</v>
      </c>
      <c r="Q75" s="453">
        <f t="shared" ref="Q75:S80" si="42">P75</f>
        <v>2055.002697346576</v>
      </c>
      <c r="R75" s="900">
        <f t="shared" si="36"/>
        <v>252.31095966848241</v>
      </c>
      <c r="S75" s="453">
        <f t="shared" si="42"/>
        <v>252.31095966848241</v>
      </c>
      <c r="T75" s="900">
        <f t="shared" si="37"/>
        <v>295.0384162048706</v>
      </c>
      <c r="U75" s="453">
        <f t="shared" ref="U75" si="43">T75</f>
        <v>295.0384162048706</v>
      </c>
      <c r="V75" s="900">
        <f t="shared" si="38"/>
        <v>313.35018329189415</v>
      </c>
      <c r="W75" s="453">
        <f t="shared" ref="W75" si="44">V75</f>
        <v>313.35018329189415</v>
      </c>
      <c r="X75" s="280">
        <f t="shared" si="41"/>
        <v>18.555923981517168</v>
      </c>
      <c r="Y75" s="267">
        <f t="shared" ref="Y75:Y80" si="45">X75</f>
        <v>18.555923981517168</v>
      </c>
      <c r="Z75" s="715"/>
      <c r="AA75" s="714">
        <f t="shared" si="34"/>
        <v>1415.6567314978529</v>
      </c>
      <c r="AB75" s="267">
        <f t="shared" ref="AB75:AB80" si="46">AA75</f>
        <v>1415.6567314978529</v>
      </c>
      <c r="AC75" s="714">
        <f t="shared" ref="AC75:AC81" si="47">(N75/$N$131)*$AC$131</f>
        <v>26.734023743369537</v>
      </c>
      <c r="AD75" s="267">
        <f t="shared" ref="AD75:AD80" si="48">AC75</f>
        <v>26.734023743369537</v>
      </c>
      <c r="AE75" s="715"/>
      <c r="AF75" s="714">
        <f t="shared" si="35"/>
        <v>790.16544581965138</v>
      </c>
      <c r="AG75" s="267">
        <f t="shared" ref="AG75:AG80" si="49">AF75</f>
        <v>790.16544581965138</v>
      </c>
      <c r="AH75" s="715"/>
      <c r="AI75" s="267">
        <f t="shared" si="39"/>
        <v>5166.8143815542144</v>
      </c>
      <c r="AJ75" s="715"/>
      <c r="AK75" s="360"/>
      <c r="AL75" s="652" t="s">
        <v>489</v>
      </c>
      <c r="AM75" s="361"/>
      <c r="AN75" s="529"/>
      <c r="AO75" s="529"/>
      <c r="AP75" s="140">
        <v>400</v>
      </c>
      <c r="AQ75" s="641">
        <v>2000</v>
      </c>
      <c r="AR75" s="641">
        <v>2004</v>
      </c>
      <c r="AS75" s="641">
        <v>2000</v>
      </c>
      <c r="AT75" s="641" t="s">
        <v>578</v>
      </c>
      <c r="AU75" s="641">
        <v>1</v>
      </c>
      <c r="AV75" s="641" t="s">
        <v>579</v>
      </c>
      <c r="AW75" s="757" t="s">
        <v>579</v>
      </c>
      <c r="AX75" s="641" t="s">
        <v>587</v>
      </c>
      <c r="AY75" s="529" t="s">
        <v>588</v>
      </c>
      <c r="AZ75" s="529" t="s">
        <v>656</v>
      </c>
    </row>
    <row r="76" spans="1:52" ht="15.75">
      <c r="A76" s="772"/>
      <c r="B76" s="732" t="s">
        <v>492</v>
      </c>
      <c r="C76" s="174" t="s">
        <v>493</v>
      </c>
      <c r="D76" s="732" t="s">
        <v>494</v>
      </c>
      <c r="E76" s="175" t="s">
        <v>375</v>
      </c>
      <c r="F76" s="773">
        <v>32168</v>
      </c>
      <c r="G76" s="732" t="s">
        <v>620</v>
      </c>
      <c r="H76" s="734" t="s">
        <v>623</v>
      </c>
      <c r="I76" s="736">
        <v>51000</v>
      </c>
      <c r="J76" s="853">
        <v>348899.28</v>
      </c>
      <c r="K76" s="735"/>
      <c r="L76" s="735"/>
      <c r="M76" s="735">
        <f t="shared" si="40"/>
        <v>399899.28</v>
      </c>
      <c r="N76" s="735">
        <v>24</v>
      </c>
      <c r="O76" s="438"/>
      <c r="P76" s="896">
        <f t="shared" si="26"/>
        <v>4752.3701246621531</v>
      </c>
      <c r="Q76" s="897">
        <f t="shared" si="42"/>
        <v>4752.3701246621531</v>
      </c>
      <c r="R76" s="896">
        <f t="shared" si="36"/>
        <v>583.4907508401725</v>
      </c>
      <c r="S76" s="897">
        <f t="shared" si="42"/>
        <v>583.4907508401725</v>
      </c>
      <c r="T76" s="896">
        <f t="shared" si="37"/>
        <v>682.30166150638195</v>
      </c>
      <c r="U76" s="897">
        <f t="shared" ref="U76" si="50">T76</f>
        <v>682.30166150638195</v>
      </c>
      <c r="V76" s="896">
        <f t="shared" si="38"/>
        <v>724.64919464904324</v>
      </c>
      <c r="W76" s="897">
        <f t="shared" ref="W76" si="51">V76</f>
        <v>724.64919464904324</v>
      </c>
      <c r="X76" s="272">
        <f t="shared" si="41"/>
        <v>42.912166917896691</v>
      </c>
      <c r="Y76" s="735">
        <f t="shared" si="45"/>
        <v>42.912166917896691</v>
      </c>
      <c r="Z76" s="715"/>
      <c r="AA76" s="735">
        <f t="shared" si="34"/>
        <v>2265.050770396565</v>
      </c>
      <c r="AB76" s="735">
        <f t="shared" si="46"/>
        <v>2265.050770396565</v>
      </c>
      <c r="AC76" s="735">
        <f t="shared" si="47"/>
        <v>42.774437989391259</v>
      </c>
      <c r="AD76" s="735">
        <f t="shared" si="48"/>
        <v>42.774437989391259</v>
      </c>
      <c r="AE76" s="715"/>
      <c r="AF76" s="735">
        <f t="shared" si="35"/>
        <v>1264.2647133114424</v>
      </c>
      <c r="AG76" s="735">
        <f t="shared" si="49"/>
        <v>1264.2647133114424</v>
      </c>
      <c r="AH76" s="715"/>
      <c r="AI76" s="735">
        <f t="shared" si="39"/>
        <v>10357.813820273046</v>
      </c>
      <c r="AJ76" s="715"/>
      <c r="AK76" s="360"/>
      <c r="AL76" s="732" t="s">
        <v>492</v>
      </c>
      <c r="AM76" s="361"/>
      <c r="AN76" s="711"/>
      <c r="AO76" s="711"/>
      <c r="AP76" s="124">
        <v>300</v>
      </c>
      <c r="AQ76" s="737">
        <v>1990</v>
      </c>
      <c r="AR76" s="737">
        <v>2019</v>
      </c>
      <c r="AS76" s="737">
        <v>2013</v>
      </c>
      <c r="AT76" s="737" t="s">
        <v>660</v>
      </c>
      <c r="AU76" s="737">
        <v>1</v>
      </c>
      <c r="AV76" s="737" t="s">
        <v>579</v>
      </c>
      <c r="AW76" s="742" t="s">
        <v>579</v>
      </c>
      <c r="AX76" s="737" t="s">
        <v>580</v>
      </c>
      <c r="AY76" s="711" t="s">
        <v>588</v>
      </c>
      <c r="AZ76" s="711"/>
    </row>
    <row r="77" spans="1:52" ht="15.75">
      <c r="A77" s="651"/>
      <c r="B77" s="652" t="s">
        <v>495</v>
      </c>
      <c r="C77" s="172" t="s">
        <v>496</v>
      </c>
      <c r="D77" s="652" t="s">
        <v>491</v>
      </c>
      <c r="E77" s="173" t="s">
        <v>375</v>
      </c>
      <c r="F77" s="653">
        <v>33440</v>
      </c>
      <c r="G77" s="652" t="s">
        <v>659</v>
      </c>
      <c r="H77" s="718" t="s">
        <v>623</v>
      </c>
      <c r="I77" s="713">
        <v>31000</v>
      </c>
      <c r="J77" s="855">
        <v>245006.96</v>
      </c>
      <c r="K77" s="714"/>
      <c r="L77" s="714"/>
      <c r="M77" s="714">
        <f t="shared" si="40"/>
        <v>276006.95999999996</v>
      </c>
      <c r="N77" s="756">
        <v>20</v>
      </c>
      <c r="O77" s="441"/>
      <c r="P77" s="900">
        <f t="shared" si="26"/>
        <v>3280.0439923343242</v>
      </c>
      <c r="Q77" s="902">
        <f t="shared" si="42"/>
        <v>3280.0439923343242</v>
      </c>
      <c r="R77" s="900">
        <f t="shared" si="36"/>
        <v>402.72017575903971</v>
      </c>
      <c r="S77" s="902">
        <f t="shared" si="42"/>
        <v>402.72017575903971</v>
      </c>
      <c r="T77" s="900">
        <f t="shared" si="37"/>
        <v>470.91859579073383</v>
      </c>
      <c r="U77" s="902">
        <f t="shared" ref="U77" si="52">T77</f>
        <v>470.91859579073383</v>
      </c>
      <c r="V77" s="900">
        <f t="shared" si="38"/>
        <v>500.14649009003131</v>
      </c>
      <c r="W77" s="902">
        <f t="shared" ref="W77" si="53">V77</f>
        <v>500.14649009003131</v>
      </c>
      <c r="X77" s="280">
        <f t="shared" si="41"/>
        <v>29.617599556621439</v>
      </c>
      <c r="Y77" s="756">
        <f t="shared" si="45"/>
        <v>29.617599556621439</v>
      </c>
      <c r="Z77" s="746"/>
      <c r="AA77" s="756">
        <f t="shared" si="34"/>
        <v>1887.5423086638041</v>
      </c>
      <c r="AB77" s="756">
        <f t="shared" si="46"/>
        <v>1887.5423086638041</v>
      </c>
      <c r="AC77" s="756">
        <f t="shared" si="47"/>
        <v>35.645364991159383</v>
      </c>
      <c r="AD77" s="756">
        <f t="shared" si="48"/>
        <v>35.645364991159383</v>
      </c>
      <c r="AE77" s="746"/>
      <c r="AF77" s="756">
        <f t="shared" si="35"/>
        <v>1053.5539277595353</v>
      </c>
      <c r="AG77" s="756">
        <f t="shared" si="49"/>
        <v>1053.5539277595353</v>
      </c>
      <c r="AH77" s="746"/>
      <c r="AI77" s="756">
        <f t="shared" si="39"/>
        <v>7660.1884549452488</v>
      </c>
      <c r="AJ77" s="746"/>
      <c r="AK77" s="362"/>
      <c r="AL77" s="652" t="s">
        <v>495</v>
      </c>
      <c r="AM77" s="363"/>
      <c r="AN77" s="529"/>
      <c r="AO77" s="529"/>
      <c r="AP77" s="140">
        <v>300</v>
      </c>
      <c r="AQ77" s="641">
        <v>1980</v>
      </c>
      <c r="AR77" s="641">
        <v>2015</v>
      </c>
      <c r="AS77" s="641">
        <v>2005</v>
      </c>
      <c r="AT77" s="641" t="s">
        <v>578</v>
      </c>
      <c r="AU77" s="641">
        <v>1</v>
      </c>
      <c r="AV77" s="641" t="s">
        <v>579</v>
      </c>
      <c r="AW77" s="757" t="s">
        <v>579</v>
      </c>
      <c r="AX77" s="641" t="s">
        <v>587</v>
      </c>
      <c r="AY77" s="529" t="s">
        <v>588</v>
      </c>
      <c r="AZ77" s="529"/>
    </row>
    <row r="78" spans="1:52" ht="15.75">
      <c r="A78" s="772"/>
      <c r="B78" s="732" t="s">
        <v>497</v>
      </c>
      <c r="C78" s="174" t="s">
        <v>498</v>
      </c>
      <c r="D78" s="732" t="s">
        <v>491</v>
      </c>
      <c r="E78" s="175" t="s">
        <v>375</v>
      </c>
      <c r="F78" s="773">
        <v>33440</v>
      </c>
      <c r="G78" s="732" t="s">
        <v>659</v>
      </c>
      <c r="H78" s="734" t="s">
        <v>623</v>
      </c>
      <c r="I78" s="736">
        <v>58000</v>
      </c>
      <c r="J78" s="853">
        <v>261970</v>
      </c>
      <c r="K78" s="735"/>
      <c r="L78" s="735"/>
      <c r="M78" s="735">
        <f t="shared" si="40"/>
        <v>319970</v>
      </c>
      <c r="N78" s="745">
        <v>24</v>
      </c>
      <c r="O78" s="441"/>
      <c r="P78" s="896">
        <f t="shared" si="26"/>
        <v>3802.497140750414</v>
      </c>
      <c r="Q78" s="903">
        <f t="shared" si="42"/>
        <v>3802.497140750414</v>
      </c>
      <c r="R78" s="896">
        <f t="shared" si="36"/>
        <v>466.86639582429353</v>
      </c>
      <c r="S78" s="903">
        <f t="shared" si="42"/>
        <v>466.86639582429353</v>
      </c>
      <c r="T78" s="896">
        <f t="shared" si="37"/>
        <v>545.92762115549954</v>
      </c>
      <c r="U78" s="903">
        <f t="shared" ref="U78" si="54">T78</f>
        <v>545.92762115549954</v>
      </c>
      <c r="V78" s="896">
        <f t="shared" si="38"/>
        <v>579.8110034403021</v>
      </c>
      <c r="W78" s="903">
        <f t="shared" ref="W78" si="55">V78</f>
        <v>579.8110034403021</v>
      </c>
      <c r="X78" s="272">
        <f t="shared" si="41"/>
        <v>34.335160715266611</v>
      </c>
      <c r="Y78" s="745">
        <f t="shared" si="45"/>
        <v>34.335160715266611</v>
      </c>
      <c r="Z78" s="746"/>
      <c r="AA78" s="745">
        <f t="shared" si="34"/>
        <v>2265.050770396565</v>
      </c>
      <c r="AB78" s="745">
        <f t="shared" si="46"/>
        <v>2265.050770396565</v>
      </c>
      <c r="AC78" s="745">
        <f t="shared" si="47"/>
        <v>42.774437989391259</v>
      </c>
      <c r="AD78" s="745">
        <f t="shared" si="48"/>
        <v>42.774437989391259</v>
      </c>
      <c r="AE78" s="746"/>
      <c r="AF78" s="745">
        <f t="shared" si="35"/>
        <v>1264.2647133114424</v>
      </c>
      <c r="AG78" s="745">
        <f t="shared" si="49"/>
        <v>1264.2647133114424</v>
      </c>
      <c r="AH78" s="746"/>
      <c r="AI78" s="745">
        <f t="shared" si="39"/>
        <v>9001.5272435831739</v>
      </c>
      <c r="AJ78" s="746"/>
      <c r="AK78" s="362"/>
      <c r="AL78" s="732" t="s">
        <v>497</v>
      </c>
      <c r="AM78" s="363"/>
      <c r="AN78" s="711"/>
      <c r="AO78" s="711"/>
      <c r="AP78" s="124">
        <v>420</v>
      </c>
      <c r="AQ78" s="737">
        <v>1980</v>
      </c>
      <c r="AR78" s="737">
        <v>2014</v>
      </c>
      <c r="AS78" s="737">
        <v>2007</v>
      </c>
      <c r="AT78" s="737" t="s">
        <v>578</v>
      </c>
      <c r="AU78" s="737">
        <v>1</v>
      </c>
      <c r="AV78" s="737" t="s">
        <v>579</v>
      </c>
      <c r="AW78" s="742" t="s">
        <v>579</v>
      </c>
      <c r="AX78" s="737" t="s">
        <v>587</v>
      </c>
      <c r="AY78" s="711" t="s">
        <v>588</v>
      </c>
      <c r="AZ78" s="711"/>
    </row>
    <row r="79" spans="1:52" ht="15.75">
      <c r="A79" s="651"/>
      <c r="B79" s="652" t="s">
        <v>499</v>
      </c>
      <c r="C79" s="172" t="s">
        <v>500</v>
      </c>
      <c r="D79" s="652" t="s">
        <v>501</v>
      </c>
      <c r="E79" s="173" t="s">
        <v>479</v>
      </c>
      <c r="F79" s="653">
        <v>2360</v>
      </c>
      <c r="G79" s="652" t="s">
        <v>501</v>
      </c>
      <c r="H79" s="718" t="s">
        <v>661</v>
      </c>
      <c r="I79" s="713">
        <v>60000</v>
      </c>
      <c r="J79" s="855">
        <v>437076.64</v>
      </c>
      <c r="K79" s="714"/>
      <c r="L79" s="714"/>
      <c r="M79" s="714">
        <f t="shared" si="40"/>
        <v>497076.64</v>
      </c>
      <c r="N79" s="756">
        <v>50</v>
      </c>
      <c r="O79" s="441"/>
      <c r="P79" s="900">
        <f t="shared" si="26"/>
        <v>5907.217871468647</v>
      </c>
      <c r="Q79" s="902">
        <f t="shared" si="42"/>
        <v>5907.217871468647</v>
      </c>
      <c r="R79" s="900">
        <f t="shared" si="36"/>
        <v>725.28168067396905</v>
      </c>
      <c r="S79" s="902">
        <f t="shared" si="42"/>
        <v>725.28168067396905</v>
      </c>
      <c r="T79" s="900">
        <f t="shared" si="37"/>
        <v>848.10409603140499</v>
      </c>
      <c r="U79" s="902">
        <f t="shared" ref="U79" si="56">T79</f>
        <v>848.10409603140499</v>
      </c>
      <c r="V79" s="900">
        <f t="shared" si="38"/>
        <v>900.74227404173473</v>
      </c>
      <c r="W79" s="902">
        <f t="shared" ref="W79" si="57">V79</f>
        <v>900.74227404173473</v>
      </c>
      <c r="X79" s="280">
        <f t="shared" si="41"/>
        <v>53.340020383800749</v>
      </c>
      <c r="Y79" s="756">
        <f t="shared" si="45"/>
        <v>53.340020383800749</v>
      </c>
      <c r="Z79" s="746"/>
      <c r="AA79" s="756">
        <f t="shared" si="34"/>
        <v>4718.8557716595096</v>
      </c>
      <c r="AB79" s="756">
        <f t="shared" si="46"/>
        <v>4718.8557716595096</v>
      </c>
      <c r="AC79" s="756">
        <f t="shared" si="47"/>
        <v>89.11341247789845</v>
      </c>
      <c r="AD79" s="756">
        <f t="shared" si="48"/>
        <v>89.11341247789845</v>
      </c>
      <c r="AE79" s="746"/>
      <c r="AF79" s="756">
        <f t="shared" si="35"/>
        <v>2633.8848193988379</v>
      </c>
      <c r="AG79" s="756">
        <f t="shared" si="49"/>
        <v>2633.8848193988379</v>
      </c>
      <c r="AH79" s="746"/>
      <c r="AI79" s="756">
        <f t="shared" si="39"/>
        <v>15876.539946135803</v>
      </c>
      <c r="AJ79" s="746"/>
      <c r="AK79" s="362"/>
      <c r="AL79" s="652" t="s">
        <v>499</v>
      </c>
      <c r="AM79" s="363"/>
      <c r="AN79" s="529"/>
      <c r="AO79" s="529"/>
      <c r="AP79" s="140">
        <v>400</v>
      </c>
      <c r="AQ79" s="641">
        <v>2003</v>
      </c>
      <c r="AR79" s="641">
        <v>2020</v>
      </c>
      <c r="AS79" s="641">
        <v>2003</v>
      </c>
      <c r="AT79" s="641" t="s">
        <v>586</v>
      </c>
      <c r="AU79" s="641">
        <v>1</v>
      </c>
      <c r="AV79" s="641" t="s">
        <v>579</v>
      </c>
      <c r="AW79" s="757" t="s">
        <v>579</v>
      </c>
      <c r="AX79" s="641" t="s">
        <v>580</v>
      </c>
      <c r="AY79" s="641"/>
      <c r="AZ79" s="529"/>
    </row>
    <row r="80" spans="1:52" s="22" customFormat="1" ht="15.75">
      <c r="A80" s="774" t="s">
        <v>371</v>
      </c>
      <c r="B80" s="16" t="s">
        <v>426</v>
      </c>
      <c r="C80" s="15" t="s">
        <v>427</v>
      </c>
      <c r="D80" s="16" t="s">
        <v>428</v>
      </c>
      <c r="E80" s="17" t="s">
        <v>375</v>
      </c>
      <c r="F80" s="374">
        <v>33056</v>
      </c>
      <c r="G80" s="16" t="s">
        <v>590</v>
      </c>
      <c r="H80" s="68" t="s">
        <v>662</v>
      </c>
      <c r="I80" s="250">
        <v>495000</v>
      </c>
      <c r="J80" s="843">
        <v>1957445.07</v>
      </c>
      <c r="K80" s="251"/>
      <c r="L80" s="251"/>
      <c r="M80" s="251">
        <f t="shared" si="40"/>
        <v>2452445.0700000003</v>
      </c>
      <c r="N80" s="262">
        <v>162</v>
      </c>
      <c r="O80" s="444"/>
      <c r="P80" s="457">
        <f t="shared" si="26"/>
        <v>29144.655331820017</v>
      </c>
      <c r="Q80" s="450">
        <f t="shared" si="42"/>
        <v>29144.655331820017</v>
      </c>
      <c r="R80" s="457">
        <f t="shared" si="36"/>
        <v>3578.3485663904662</v>
      </c>
      <c r="S80" s="450">
        <f t="shared" si="42"/>
        <v>3578.3485663904662</v>
      </c>
      <c r="T80" s="457">
        <f t="shared" si="37"/>
        <v>4184.3219773092251</v>
      </c>
      <c r="U80" s="450">
        <f t="shared" ref="U80" si="58">T80</f>
        <v>4184.3219773092251</v>
      </c>
      <c r="V80" s="457">
        <f t="shared" si="38"/>
        <v>4444.0248677029795</v>
      </c>
      <c r="W80" s="450">
        <f t="shared" ref="W80" si="59">V80</f>
        <v>4444.0248677029795</v>
      </c>
      <c r="X80" s="482">
        <f t="shared" si="41"/>
        <v>263.16559559900395</v>
      </c>
      <c r="Y80" s="251">
        <f t="shared" si="45"/>
        <v>263.16559559900395</v>
      </c>
      <c r="Z80" s="246"/>
      <c r="AA80" s="262">
        <f t="shared" si="34"/>
        <v>15289.092700176814</v>
      </c>
      <c r="AB80" s="251">
        <f t="shared" si="46"/>
        <v>15289.092700176814</v>
      </c>
      <c r="AC80" s="262">
        <f t="shared" si="47"/>
        <v>288.72745642839101</v>
      </c>
      <c r="AD80" s="251">
        <f t="shared" si="48"/>
        <v>288.72745642839101</v>
      </c>
      <c r="AE80" s="246"/>
      <c r="AF80" s="262">
        <f t="shared" si="35"/>
        <v>8533.7868148522357</v>
      </c>
      <c r="AG80" s="251">
        <f t="shared" si="49"/>
        <v>8533.7868148522357</v>
      </c>
      <c r="AH80" s="246"/>
      <c r="AI80" s="251">
        <f t="shared" si="39"/>
        <v>65726.123310279145</v>
      </c>
      <c r="AJ80" s="246"/>
      <c r="AK80" s="366"/>
      <c r="AL80" s="16" t="s">
        <v>426</v>
      </c>
      <c r="AM80" s="367"/>
      <c r="AN80" s="14"/>
      <c r="AO80" s="14"/>
      <c r="AP80" s="69">
        <v>3300</v>
      </c>
      <c r="AQ80" s="70">
        <v>1981</v>
      </c>
      <c r="AR80" s="70">
        <v>2021</v>
      </c>
      <c r="AS80" s="70">
        <v>2012</v>
      </c>
      <c r="AT80" s="70" t="s">
        <v>578</v>
      </c>
      <c r="AU80" s="70">
        <v>2</v>
      </c>
      <c r="AV80" s="70" t="s">
        <v>579</v>
      </c>
      <c r="AW80" s="71" t="s">
        <v>579</v>
      </c>
      <c r="AX80" s="70" t="s">
        <v>587</v>
      </c>
      <c r="AY80" s="711" t="s">
        <v>588</v>
      </c>
      <c r="AZ80" s="21" t="s">
        <v>596</v>
      </c>
    </row>
    <row r="81" spans="1:52" s="22" customFormat="1" ht="15.75">
      <c r="A81" s="92" t="s">
        <v>371</v>
      </c>
      <c r="B81" s="87" t="s">
        <v>429</v>
      </c>
      <c r="C81" s="86" t="s">
        <v>430</v>
      </c>
      <c r="D81" s="87" t="s">
        <v>431</v>
      </c>
      <c r="E81" s="88" t="s">
        <v>432</v>
      </c>
      <c r="F81" s="381">
        <v>28512</v>
      </c>
      <c r="G81" s="87" t="s">
        <v>663</v>
      </c>
      <c r="H81" s="721" t="s">
        <v>664</v>
      </c>
      <c r="I81" s="722">
        <v>209000</v>
      </c>
      <c r="J81" s="845">
        <v>2051608.71</v>
      </c>
      <c r="K81" s="723"/>
      <c r="L81" s="723"/>
      <c r="M81" s="723">
        <f t="shared" si="40"/>
        <v>2260608.71</v>
      </c>
      <c r="N81" s="767">
        <v>206</v>
      </c>
      <c r="O81" s="445"/>
      <c r="P81" s="894">
        <f t="shared" si="26"/>
        <v>26864.887821140986</v>
      </c>
      <c r="Q81" s="454">
        <f>SUM(P81:P82)</f>
        <v>28468.028316460019</v>
      </c>
      <c r="R81" s="894">
        <f t="shared" si="36"/>
        <v>3298.4412313863977</v>
      </c>
      <c r="S81" s="454">
        <f>SUM(R81:R82)</f>
        <v>3495.2730493590116</v>
      </c>
      <c r="T81" s="894">
        <f t="shared" si="37"/>
        <v>3857.0138932203099</v>
      </c>
      <c r="U81" s="454">
        <f>SUM(T81:T82)</f>
        <v>4087.1780839065523</v>
      </c>
      <c r="V81" s="894">
        <f t="shared" si="38"/>
        <v>4096.4021768634157</v>
      </c>
      <c r="W81" s="454">
        <f>SUM(V81:V82)</f>
        <v>4340.8516701412127</v>
      </c>
      <c r="X81" s="270">
        <f t="shared" si="41"/>
        <v>242.58012742501339</v>
      </c>
      <c r="Y81" s="257">
        <f>SUM(X81:X82)</f>
        <v>257.05590071778914</v>
      </c>
      <c r="Z81" s="775"/>
      <c r="AA81" s="767">
        <f t="shared" si="34"/>
        <v>19441.685779237181</v>
      </c>
      <c r="AB81" s="257">
        <f>SUM(AA81:AA82)</f>
        <v>19441.685779237181</v>
      </c>
      <c r="AC81" s="767">
        <f t="shared" si="47"/>
        <v>367.14725940894164</v>
      </c>
      <c r="AD81" s="257">
        <f>SUM(AC81:AC82)</f>
        <v>367.14725940894164</v>
      </c>
      <c r="AE81" s="775"/>
      <c r="AF81" s="767">
        <f t="shared" si="35"/>
        <v>10851.605455923213</v>
      </c>
      <c r="AG81" s="257">
        <f>SUM(AF81:AF82)</f>
        <v>10851.605455923213</v>
      </c>
      <c r="AH81" s="775"/>
      <c r="AI81" s="257">
        <f t="shared" si="39"/>
        <v>71308.82551515392</v>
      </c>
      <c r="AJ81" s="775"/>
      <c r="AK81" s="366"/>
      <c r="AL81" s="87" t="s">
        <v>429</v>
      </c>
      <c r="AM81" s="367"/>
      <c r="AN81" s="615"/>
      <c r="AO81" s="615"/>
      <c r="AP81" s="166">
        <v>1672</v>
      </c>
      <c r="AQ81" s="628">
        <v>2020</v>
      </c>
      <c r="AR81" s="628">
        <v>2017</v>
      </c>
      <c r="AS81" s="628" t="s">
        <v>586</v>
      </c>
      <c r="AT81" s="628">
        <v>1</v>
      </c>
      <c r="AU81" s="628" t="s">
        <v>579</v>
      </c>
      <c r="AV81" s="628" t="s">
        <v>579</v>
      </c>
      <c r="AW81" s="724"/>
      <c r="AX81" s="46" t="s">
        <v>587</v>
      </c>
      <c r="AY81" s="46"/>
      <c r="AZ81" s="47" t="s">
        <v>581</v>
      </c>
    </row>
    <row r="82" spans="1:52" s="22" customFormat="1" ht="15.75">
      <c r="A82" s="83"/>
      <c r="B82" s="64"/>
      <c r="C82" s="112"/>
      <c r="D82" s="64"/>
      <c r="E82" s="112"/>
      <c r="F82" s="403"/>
      <c r="G82" s="64"/>
      <c r="H82" s="721" t="s">
        <v>605</v>
      </c>
      <c r="I82" s="722">
        <v>134900</v>
      </c>
      <c r="J82" s="722"/>
      <c r="K82" s="723"/>
      <c r="L82" s="723"/>
      <c r="M82" s="723">
        <f t="shared" si="40"/>
        <v>134900</v>
      </c>
      <c r="N82" s="723"/>
      <c r="O82" s="437"/>
      <c r="P82" s="894">
        <f t="shared" si="26"/>
        <v>1603.1404953190327</v>
      </c>
      <c r="Q82" s="453"/>
      <c r="R82" s="894">
        <f t="shared" si="36"/>
        <v>196.83181797261369</v>
      </c>
      <c r="S82" s="453"/>
      <c r="T82" s="894">
        <f t="shared" si="37"/>
        <v>230.16419068624214</v>
      </c>
      <c r="U82" s="453"/>
      <c r="V82" s="894">
        <f t="shared" si="38"/>
        <v>244.44949327779716</v>
      </c>
      <c r="W82" s="453"/>
      <c r="X82" s="270">
        <f t="shared" si="41"/>
        <v>14.475773292775779</v>
      </c>
      <c r="Y82" s="267"/>
      <c r="Z82" s="707"/>
      <c r="AA82" s="723">
        <f t="shared" si="34"/>
        <v>0</v>
      </c>
      <c r="AB82" s="267"/>
      <c r="AC82" s="723"/>
      <c r="AD82" s="267"/>
      <c r="AE82" s="707"/>
      <c r="AF82" s="723">
        <f t="shared" si="35"/>
        <v>0</v>
      </c>
      <c r="AG82" s="267"/>
      <c r="AH82" s="707"/>
      <c r="AI82" s="267"/>
      <c r="AJ82" s="707"/>
      <c r="AK82" s="358"/>
      <c r="AL82" s="64"/>
      <c r="AM82" s="359"/>
      <c r="AN82" s="615"/>
      <c r="AO82" s="615"/>
      <c r="AP82" s="166">
        <v>1000</v>
      </c>
      <c r="AQ82" s="628">
        <v>2023</v>
      </c>
      <c r="AR82" s="628">
        <v>2015</v>
      </c>
      <c r="AS82" s="628" t="s">
        <v>642</v>
      </c>
      <c r="AT82" s="628">
        <v>1</v>
      </c>
      <c r="AU82" s="628" t="s">
        <v>579</v>
      </c>
      <c r="AV82" s="628" t="s">
        <v>579</v>
      </c>
      <c r="AW82" s="724"/>
      <c r="AX82" s="48"/>
      <c r="AY82" s="48"/>
      <c r="AZ82" s="39" t="s">
        <v>583</v>
      </c>
    </row>
    <row r="83" spans="1:52" s="22" customFormat="1" ht="15.75">
      <c r="A83" s="776" t="s">
        <v>371</v>
      </c>
      <c r="B83" s="66" t="s">
        <v>433</v>
      </c>
      <c r="C83" s="176" t="s">
        <v>434</v>
      </c>
      <c r="D83" s="162" t="s">
        <v>435</v>
      </c>
      <c r="E83" s="177" t="s">
        <v>375</v>
      </c>
      <c r="F83" s="392">
        <v>33761</v>
      </c>
      <c r="G83" s="52" t="s">
        <v>665</v>
      </c>
      <c r="H83" s="54" t="s">
        <v>666</v>
      </c>
      <c r="I83" s="705">
        <v>232125</v>
      </c>
      <c r="J83" s="844">
        <v>630885.99</v>
      </c>
      <c r="K83" s="706"/>
      <c r="L83" s="706"/>
      <c r="M83" s="706">
        <f t="shared" si="40"/>
        <v>863010.99</v>
      </c>
      <c r="N83" s="770">
        <v>91</v>
      </c>
      <c r="O83" s="445"/>
      <c r="P83" s="893">
        <f t="shared" si="26"/>
        <v>10255.951563931569</v>
      </c>
      <c r="Q83" s="450">
        <f>SUM(P83:P84)</f>
        <v>11049.203069213596</v>
      </c>
      <c r="R83" s="893">
        <f t="shared" si="36"/>
        <v>1259.2143965310979</v>
      </c>
      <c r="S83" s="450">
        <f>SUM(R83:R84)</f>
        <v>1356.6089395234771</v>
      </c>
      <c r="T83" s="893">
        <f t="shared" si="37"/>
        <v>1472.4553451940887</v>
      </c>
      <c r="U83" s="450">
        <f>SUM(T83:T84)</f>
        <v>1586.3431118976223</v>
      </c>
      <c r="V83" s="893">
        <f t="shared" si="38"/>
        <v>1563.8443231925135</v>
      </c>
      <c r="W83" s="450">
        <f>SUM(V83:V84)</f>
        <v>1684.8006143436844</v>
      </c>
      <c r="X83" s="283">
        <f t="shared" si="41"/>
        <v>92.607497705070301</v>
      </c>
      <c r="Y83" s="251">
        <f>SUM(X83:X84)</f>
        <v>99.770269145342965</v>
      </c>
      <c r="Z83" s="775"/>
      <c r="AA83" s="770">
        <f t="shared" si="34"/>
        <v>8588.3175044203072</v>
      </c>
      <c r="AB83" s="251">
        <f>SUM(AA83:AA84)</f>
        <v>8588.3175044203072</v>
      </c>
      <c r="AC83" s="770">
        <f>(N83/$N$131)*$AC$131</f>
        <v>162.18641070977517</v>
      </c>
      <c r="AD83" s="251">
        <f>SUM(AC83:AC84)</f>
        <v>162.18641070977517</v>
      </c>
      <c r="AE83" s="775"/>
      <c r="AF83" s="770">
        <f t="shared" si="35"/>
        <v>4793.6703713058851</v>
      </c>
      <c r="AG83" s="251">
        <f>SUM(AF83:AF84)</f>
        <v>4793.6703713058851</v>
      </c>
      <c r="AH83" s="775"/>
      <c r="AI83" s="251">
        <f t="shared" si="39"/>
        <v>29320.900290559694</v>
      </c>
      <c r="AJ83" s="775"/>
      <c r="AK83" s="366"/>
      <c r="AL83" s="66" t="s">
        <v>433</v>
      </c>
      <c r="AM83" s="367"/>
      <c r="AN83" s="708"/>
      <c r="AO83" s="708"/>
      <c r="AP83" s="159"/>
      <c r="AQ83" s="759">
        <v>1989</v>
      </c>
      <c r="AR83" s="759"/>
      <c r="AS83" s="759">
        <v>2023</v>
      </c>
      <c r="AT83" s="759" t="s">
        <v>642</v>
      </c>
      <c r="AU83" s="759">
        <v>1</v>
      </c>
      <c r="AV83" s="759" t="s">
        <v>579</v>
      </c>
      <c r="AW83" s="760"/>
      <c r="AX83" s="164" t="s">
        <v>580</v>
      </c>
      <c r="AY83" s="164" t="s">
        <v>588</v>
      </c>
      <c r="AZ83" s="21" t="s">
        <v>581</v>
      </c>
    </row>
    <row r="84" spans="1:52" s="22" customFormat="1" ht="15.75">
      <c r="A84" s="769"/>
      <c r="B84" s="162" t="s">
        <v>433</v>
      </c>
      <c r="C84" s="163"/>
      <c r="D84" s="18"/>
      <c r="E84" s="163"/>
      <c r="F84" s="406"/>
      <c r="G84" s="18"/>
      <c r="H84" s="178" t="s">
        <v>667</v>
      </c>
      <c r="I84" s="705">
        <v>66750</v>
      </c>
      <c r="J84" s="770"/>
      <c r="K84" s="706"/>
      <c r="L84" s="706"/>
      <c r="M84" s="706">
        <f t="shared" si="40"/>
        <v>66750</v>
      </c>
      <c r="N84" s="706"/>
      <c r="O84" s="437"/>
      <c r="P84" s="893">
        <f t="shared" si="26"/>
        <v>793.25150528202687</v>
      </c>
      <c r="Q84" s="451"/>
      <c r="R84" s="893">
        <f t="shared" si="36"/>
        <v>97.394542992379257</v>
      </c>
      <c r="S84" s="451"/>
      <c r="T84" s="893">
        <f t="shared" si="37"/>
        <v>113.88776670353344</v>
      </c>
      <c r="U84" s="451"/>
      <c r="V84" s="893">
        <f t="shared" si="38"/>
        <v>120.95629115117094</v>
      </c>
      <c r="W84" s="451"/>
      <c r="X84" s="283">
        <f t="shared" si="41"/>
        <v>7.1627714402726701</v>
      </c>
      <c r="Y84" s="253"/>
      <c r="Z84" s="707"/>
      <c r="AA84" s="706">
        <f t="shared" si="34"/>
        <v>0</v>
      </c>
      <c r="AB84" s="265"/>
      <c r="AC84" s="706"/>
      <c r="AD84" s="265"/>
      <c r="AE84" s="707"/>
      <c r="AF84" s="706">
        <f t="shared" si="35"/>
        <v>0</v>
      </c>
      <c r="AG84" s="265"/>
      <c r="AH84" s="707"/>
      <c r="AI84" s="265"/>
      <c r="AJ84" s="707"/>
      <c r="AK84" s="358"/>
      <c r="AL84" s="162" t="s">
        <v>433</v>
      </c>
      <c r="AM84" s="359"/>
      <c r="AN84" s="708"/>
      <c r="AO84" s="708"/>
      <c r="AP84" s="159"/>
      <c r="AQ84" s="777">
        <v>1996</v>
      </c>
      <c r="AR84" s="777"/>
      <c r="AS84" s="777">
        <v>2022</v>
      </c>
      <c r="AT84" s="777" t="s">
        <v>642</v>
      </c>
      <c r="AU84" s="777">
        <v>1</v>
      </c>
      <c r="AV84" s="777" t="s">
        <v>579</v>
      </c>
      <c r="AW84" s="778"/>
      <c r="AX84" s="179"/>
      <c r="AY84" s="179"/>
      <c r="AZ84" s="28" t="s">
        <v>583</v>
      </c>
    </row>
    <row r="85" spans="1:52" s="185" customFormat="1" ht="15.75">
      <c r="A85" s="658" t="s">
        <v>507</v>
      </c>
      <c r="B85" s="180" t="s">
        <v>508</v>
      </c>
      <c r="C85" s="181" t="s">
        <v>509</v>
      </c>
      <c r="D85" s="180" t="s">
        <v>510</v>
      </c>
      <c r="E85" s="182" t="s">
        <v>511</v>
      </c>
      <c r="F85" s="393">
        <v>31520</v>
      </c>
      <c r="G85" s="180" t="s">
        <v>668</v>
      </c>
      <c r="H85" s="779" t="s">
        <v>669</v>
      </c>
      <c r="I85" s="780">
        <v>59057.301293900186</v>
      </c>
      <c r="J85" s="852">
        <v>440928</v>
      </c>
      <c r="K85" s="781"/>
      <c r="L85" s="781"/>
      <c r="M85" s="781">
        <f t="shared" si="40"/>
        <v>499985.30129390018</v>
      </c>
      <c r="N85" s="782">
        <v>65</v>
      </c>
      <c r="O85" s="446"/>
      <c r="P85" s="904">
        <f t="shared" si="26"/>
        <v>5941.7841628505475</v>
      </c>
      <c r="Q85" s="471">
        <f>SUM(P85:P89)</f>
        <v>13677.53361005592</v>
      </c>
      <c r="R85" s="904">
        <f t="shared" si="36"/>
        <v>729.52569172174469</v>
      </c>
      <c r="S85" s="471">
        <f>SUM(R85:R89)</f>
        <v>1679.3124580843905</v>
      </c>
      <c r="T85" s="904">
        <f t="shared" si="37"/>
        <v>853.06680672592631</v>
      </c>
      <c r="U85" s="471">
        <f>SUM(T85:T89)</f>
        <v>1963.6946750047093</v>
      </c>
      <c r="V85" s="904">
        <f t="shared" si="38"/>
        <v>906.01299887057553</v>
      </c>
      <c r="W85" s="471">
        <f>SUM(V85:V89)</f>
        <v>2085.5727679705597</v>
      </c>
      <c r="X85" s="284">
        <f t="shared" si="41"/>
        <v>53.652141373244561</v>
      </c>
      <c r="Y85" s="285">
        <f>SUM(X85:X89)</f>
        <v>123.50313420539541</v>
      </c>
      <c r="Z85" s="783"/>
      <c r="AA85" s="782">
        <f t="shared" si="34"/>
        <v>6134.5125031573625</v>
      </c>
      <c r="AB85" s="285">
        <f>SUM(AA85:AA89)</f>
        <v>6134.5125031573625</v>
      </c>
      <c r="AC85" s="782">
        <f>(N85/$N$131)*$AC$131</f>
        <v>115.84743622126798</v>
      </c>
      <c r="AD85" s="285">
        <f>SUM(AC85:AC89)</f>
        <v>115.84743622126798</v>
      </c>
      <c r="AE85" s="783"/>
      <c r="AF85" s="782">
        <f t="shared" si="35"/>
        <v>3424.0502652184891</v>
      </c>
      <c r="AG85" s="285">
        <f>SUM(AF85:AF89)</f>
        <v>3424.0502652184891</v>
      </c>
      <c r="AH85" s="783"/>
      <c r="AI85" s="285">
        <f t="shared" si="39"/>
        <v>29204.026849918093</v>
      </c>
      <c r="AJ85" s="783"/>
      <c r="AK85" s="368"/>
      <c r="AL85" s="180" t="s">
        <v>508</v>
      </c>
      <c r="AM85" s="369"/>
      <c r="AN85" s="666"/>
      <c r="AO85" s="666"/>
      <c r="AP85" s="183"/>
      <c r="AQ85" s="657">
        <v>1977</v>
      </c>
      <c r="AR85" s="667"/>
      <c r="AS85" s="667"/>
      <c r="AT85" s="657" t="s">
        <v>642</v>
      </c>
      <c r="AU85" s="667"/>
      <c r="AV85" s="667"/>
      <c r="AW85" s="665"/>
      <c r="AX85" s="184" t="s">
        <v>587</v>
      </c>
      <c r="AY85" s="184" t="s">
        <v>588</v>
      </c>
      <c r="AZ85" s="47" t="s">
        <v>670</v>
      </c>
    </row>
    <row r="86" spans="1:52" s="185" customFormat="1" ht="15.75">
      <c r="A86" s="663"/>
      <c r="B86" s="186"/>
      <c r="C86" s="187"/>
      <c r="D86" s="188"/>
      <c r="E86" s="187"/>
      <c r="F86" s="409"/>
      <c r="G86" s="188"/>
      <c r="H86" s="784" t="s">
        <v>671</v>
      </c>
      <c r="I86" s="780">
        <v>26247.689463955641</v>
      </c>
      <c r="J86" s="851"/>
      <c r="K86" s="781"/>
      <c r="L86" s="781"/>
      <c r="M86" s="781">
        <f t="shared" si="40"/>
        <v>26247.689463955641</v>
      </c>
      <c r="N86" s="781"/>
      <c r="O86" s="447"/>
      <c r="P86" s="904">
        <f t="shared" si="26"/>
        <v>311.9253809357005</v>
      </c>
      <c r="Q86" s="472"/>
      <c r="R86" s="904">
        <f t="shared" si="36"/>
        <v>38.297853482364765</v>
      </c>
      <c r="S86" s="472"/>
      <c r="T86" s="904">
        <f t="shared" si="37"/>
        <v>44.783381785434798</v>
      </c>
      <c r="U86" s="472"/>
      <c r="V86" s="904">
        <f t="shared" si="38"/>
        <v>47.562893915321958</v>
      </c>
      <c r="W86" s="472"/>
      <c r="X86" s="284">
        <f t="shared" si="41"/>
        <v>2.8165722916189866</v>
      </c>
      <c r="Y86" s="286"/>
      <c r="Z86" s="786"/>
      <c r="AA86" s="781">
        <f t="shared" si="34"/>
        <v>0</v>
      </c>
      <c r="AB86" s="286"/>
      <c r="AC86" s="781"/>
      <c r="AD86" s="286"/>
      <c r="AE86" s="786"/>
      <c r="AF86" s="781">
        <f t="shared" si="35"/>
        <v>0</v>
      </c>
      <c r="AG86" s="286"/>
      <c r="AH86" s="786"/>
      <c r="AI86" s="286"/>
      <c r="AJ86" s="786"/>
      <c r="AK86" s="370"/>
      <c r="AL86" s="186"/>
      <c r="AM86" s="371"/>
      <c r="AN86" s="666"/>
      <c r="AO86" s="666"/>
      <c r="AP86" s="183"/>
      <c r="AQ86" s="787">
        <v>1977</v>
      </c>
      <c r="AR86" s="667"/>
      <c r="AS86" s="667"/>
      <c r="AT86" s="787" t="s">
        <v>642</v>
      </c>
      <c r="AU86" s="667"/>
      <c r="AV86" s="667"/>
      <c r="AW86" s="665"/>
      <c r="AX86" s="189"/>
      <c r="AY86" s="189"/>
      <c r="AZ86" s="190"/>
    </row>
    <row r="87" spans="1:52" s="185" customFormat="1" ht="15.75">
      <c r="A87" s="663"/>
      <c r="B87" s="186"/>
      <c r="C87" s="187"/>
      <c r="D87" s="188"/>
      <c r="E87" s="187"/>
      <c r="F87" s="409"/>
      <c r="G87" s="188"/>
      <c r="H87" s="784" t="s">
        <v>589</v>
      </c>
      <c r="I87" s="780">
        <v>26247.689463955641</v>
      </c>
      <c r="J87" s="851"/>
      <c r="K87" s="781"/>
      <c r="L87" s="781"/>
      <c r="M87" s="781">
        <f t="shared" si="40"/>
        <v>26247.689463955641</v>
      </c>
      <c r="N87" s="781"/>
      <c r="O87" s="447"/>
      <c r="P87" s="904">
        <f t="shared" si="26"/>
        <v>311.9253809357005</v>
      </c>
      <c r="Q87" s="472"/>
      <c r="R87" s="904">
        <f t="shared" si="36"/>
        <v>38.297853482364765</v>
      </c>
      <c r="S87" s="472"/>
      <c r="T87" s="904">
        <f t="shared" si="37"/>
        <v>44.783381785434798</v>
      </c>
      <c r="U87" s="472"/>
      <c r="V87" s="904">
        <f t="shared" si="38"/>
        <v>47.562893915321958</v>
      </c>
      <c r="W87" s="472"/>
      <c r="X87" s="284">
        <f t="shared" si="41"/>
        <v>2.8165722916189866</v>
      </c>
      <c r="Y87" s="286"/>
      <c r="Z87" s="786"/>
      <c r="AA87" s="781">
        <f t="shared" si="34"/>
        <v>0</v>
      </c>
      <c r="AB87" s="286"/>
      <c r="AC87" s="781"/>
      <c r="AD87" s="286"/>
      <c r="AE87" s="786"/>
      <c r="AF87" s="781">
        <f t="shared" si="35"/>
        <v>0</v>
      </c>
      <c r="AG87" s="286"/>
      <c r="AH87" s="786"/>
      <c r="AI87" s="286"/>
      <c r="AJ87" s="786"/>
      <c r="AK87" s="370"/>
      <c r="AL87" s="186"/>
      <c r="AM87" s="371"/>
      <c r="AN87" s="666"/>
      <c r="AO87" s="666"/>
      <c r="AP87" s="183"/>
      <c r="AQ87" s="787">
        <v>1979</v>
      </c>
      <c r="AR87" s="667"/>
      <c r="AS87" s="667"/>
      <c r="AT87" s="787" t="s">
        <v>578</v>
      </c>
      <c r="AU87" s="667"/>
      <c r="AV87" s="667"/>
      <c r="AW87" s="665"/>
      <c r="AX87" s="191"/>
      <c r="AY87" s="191"/>
      <c r="AZ87" s="192"/>
    </row>
    <row r="88" spans="1:52" s="185" customFormat="1" ht="15.75">
      <c r="A88" s="663"/>
      <c r="B88" s="186"/>
      <c r="C88" s="187"/>
      <c r="D88" s="188"/>
      <c r="E88" s="187"/>
      <c r="F88" s="409"/>
      <c r="G88" s="188"/>
      <c r="H88" s="784" t="s">
        <v>672</v>
      </c>
      <c r="I88" s="780">
        <v>314972.27356746764</v>
      </c>
      <c r="J88" s="851"/>
      <c r="K88" s="781"/>
      <c r="L88" s="781"/>
      <c r="M88" s="781">
        <f t="shared" si="40"/>
        <v>314972.27356746764</v>
      </c>
      <c r="N88" s="781"/>
      <c r="O88" s="447"/>
      <c r="P88" s="904">
        <f t="shared" si="26"/>
        <v>3743.1045712284053</v>
      </c>
      <c r="Q88" s="472"/>
      <c r="R88" s="904">
        <f t="shared" si="36"/>
        <v>459.57424178837709</v>
      </c>
      <c r="S88" s="472"/>
      <c r="T88" s="904">
        <f t="shared" si="37"/>
        <v>537.40058142521752</v>
      </c>
      <c r="U88" s="472"/>
      <c r="V88" s="904">
        <f t="shared" si="38"/>
        <v>570.75472698386341</v>
      </c>
      <c r="W88" s="472"/>
      <c r="X88" s="284">
        <f t="shared" si="41"/>
        <v>33.798867499427828</v>
      </c>
      <c r="Y88" s="286"/>
      <c r="Z88" s="786"/>
      <c r="AA88" s="781">
        <f t="shared" si="34"/>
        <v>0</v>
      </c>
      <c r="AB88" s="286"/>
      <c r="AC88" s="781"/>
      <c r="AD88" s="286"/>
      <c r="AE88" s="786"/>
      <c r="AF88" s="781">
        <f t="shared" si="35"/>
        <v>0</v>
      </c>
      <c r="AG88" s="286"/>
      <c r="AH88" s="786"/>
      <c r="AI88" s="286"/>
      <c r="AJ88" s="786"/>
      <c r="AK88" s="370"/>
      <c r="AL88" s="186"/>
      <c r="AM88" s="371"/>
      <c r="AN88" s="666"/>
      <c r="AO88" s="666"/>
      <c r="AP88" s="183"/>
      <c r="AQ88" s="787">
        <v>1977</v>
      </c>
      <c r="AR88" s="667"/>
      <c r="AS88" s="667"/>
      <c r="AT88" s="787" t="s">
        <v>578</v>
      </c>
      <c r="AU88" s="667"/>
      <c r="AV88" s="667"/>
      <c r="AW88" s="665"/>
      <c r="AX88" s="191"/>
      <c r="AY88" s="191"/>
      <c r="AZ88" s="192"/>
    </row>
    <row r="89" spans="1:52" s="185" customFormat="1" ht="15.75">
      <c r="A89" s="295"/>
      <c r="B89" s="194"/>
      <c r="C89" s="195"/>
      <c r="D89" s="190"/>
      <c r="E89" s="195"/>
      <c r="F89" s="410"/>
      <c r="G89" s="190"/>
      <c r="H89" s="784" t="s">
        <v>673</v>
      </c>
      <c r="I89" s="780">
        <v>283475.0462107209</v>
      </c>
      <c r="J89" s="851"/>
      <c r="K89" s="781"/>
      <c r="L89" s="781"/>
      <c r="M89" s="781">
        <f t="shared" si="40"/>
        <v>283475.0462107209</v>
      </c>
      <c r="N89" s="781"/>
      <c r="O89" s="447"/>
      <c r="P89" s="904">
        <f t="shared" si="26"/>
        <v>3368.7941141055653</v>
      </c>
      <c r="Q89" s="473"/>
      <c r="R89" s="904">
        <f t="shared" si="36"/>
        <v>413.61681760953945</v>
      </c>
      <c r="S89" s="473"/>
      <c r="T89" s="904">
        <f t="shared" si="37"/>
        <v>483.66052328269581</v>
      </c>
      <c r="U89" s="473"/>
      <c r="V89" s="904">
        <f t="shared" si="38"/>
        <v>513.6792542854771</v>
      </c>
      <c r="W89" s="473"/>
      <c r="X89" s="284">
        <f t="shared" si="41"/>
        <v>30.418980749485051</v>
      </c>
      <c r="Y89" s="287"/>
      <c r="Z89" s="786"/>
      <c r="AA89" s="781">
        <f t="shared" si="34"/>
        <v>0</v>
      </c>
      <c r="AB89" s="287"/>
      <c r="AC89" s="781"/>
      <c r="AD89" s="287"/>
      <c r="AE89" s="786"/>
      <c r="AF89" s="781">
        <f t="shared" si="35"/>
        <v>0</v>
      </c>
      <c r="AG89" s="287"/>
      <c r="AH89" s="786"/>
      <c r="AI89" s="287"/>
      <c r="AJ89" s="786"/>
      <c r="AK89" s="370"/>
      <c r="AL89" s="194"/>
      <c r="AM89" s="371"/>
      <c r="AN89" s="666"/>
      <c r="AO89" s="666"/>
      <c r="AP89" s="183"/>
      <c r="AQ89" s="787">
        <v>1977</v>
      </c>
      <c r="AR89" s="667"/>
      <c r="AS89" s="667"/>
      <c r="AT89" s="787" t="s">
        <v>578</v>
      </c>
      <c r="AU89" s="667"/>
      <c r="AV89" s="667"/>
      <c r="AW89" s="665"/>
      <c r="AX89" s="196"/>
      <c r="AY89" s="196"/>
      <c r="AZ89" s="197"/>
    </row>
    <row r="90" spans="1:52" s="185" customFormat="1" ht="15.75">
      <c r="A90" s="788" t="s">
        <v>507</v>
      </c>
      <c r="B90" s="789" t="s">
        <v>512</v>
      </c>
      <c r="C90" s="230" t="s">
        <v>513</v>
      </c>
      <c r="D90" s="789" t="s">
        <v>510</v>
      </c>
      <c r="E90" s="231" t="s">
        <v>511</v>
      </c>
      <c r="F90" s="790">
        <v>31523</v>
      </c>
      <c r="G90" s="791" t="s">
        <v>668</v>
      </c>
      <c r="H90" s="792" t="s">
        <v>674</v>
      </c>
      <c r="I90" s="780">
        <v>245000</v>
      </c>
      <c r="J90" s="852">
        <v>1086102.05</v>
      </c>
      <c r="K90" s="793"/>
      <c r="L90" s="793"/>
      <c r="M90" s="793">
        <f t="shared" si="40"/>
        <v>1331102.05</v>
      </c>
      <c r="N90" s="794">
        <v>127</v>
      </c>
      <c r="O90" s="446"/>
      <c r="P90" s="905">
        <f t="shared" si="26"/>
        <v>15818.707188711487</v>
      </c>
      <c r="Q90" s="474">
        <f>P90</f>
        <v>15818.707188711487</v>
      </c>
      <c r="R90" s="905">
        <f t="shared" si="36"/>
        <v>1942.2033833103997</v>
      </c>
      <c r="S90" s="474">
        <f>R90</f>
        <v>1942.2033833103997</v>
      </c>
      <c r="T90" s="905">
        <f t="shared" si="37"/>
        <v>2271.1047150411255</v>
      </c>
      <c r="U90" s="474">
        <f>T90</f>
        <v>2271.1047150411255</v>
      </c>
      <c r="V90" s="905">
        <f t="shared" si="38"/>
        <v>2412.0624286400075</v>
      </c>
      <c r="W90" s="474">
        <f>V90</f>
        <v>2412.0624286400075</v>
      </c>
      <c r="X90" s="325">
        <f t="shared" si="41"/>
        <v>142.8371497802008</v>
      </c>
      <c r="Y90" s="794">
        <f>X90</f>
        <v>142.8371497802008</v>
      </c>
      <c r="Z90" s="783"/>
      <c r="AA90" s="794">
        <f t="shared" si="34"/>
        <v>11985.893660015156</v>
      </c>
      <c r="AB90" s="324">
        <f>AA90</f>
        <v>11985.893660015156</v>
      </c>
      <c r="AC90" s="794">
        <f>(N90/$N$131)*$AC$131</f>
        <v>226.34806769386211</v>
      </c>
      <c r="AD90" s="324">
        <f>AC90</f>
        <v>226.34806769386211</v>
      </c>
      <c r="AE90" s="783"/>
      <c r="AF90" s="794">
        <f t="shared" si="35"/>
        <v>6690.0674412730496</v>
      </c>
      <c r="AG90" s="324">
        <f>AF90</f>
        <v>6690.0674412730496</v>
      </c>
      <c r="AH90" s="783"/>
      <c r="AI90" s="324">
        <f t="shared" si="39"/>
        <v>41489.224034465289</v>
      </c>
      <c r="AJ90" s="783"/>
      <c r="AK90" s="368"/>
      <c r="AL90" s="789" t="s">
        <v>512</v>
      </c>
      <c r="AM90" s="369"/>
      <c r="AN90" s="795"/>
      <c r="AO90" s="795"/>
      <c r="AP90" s="202">
        <v>500</v>
      </c>
      <c r="AQ90" s="796">
        <v>1972</v>
      </c>
      <c r="AR90" s="796">
        <v>2014</v>
      </c>
      <c r="AS90" s="796">
        <v>2012</v>
      </c>
      <c r="AT90" s="796" t="s">
        <v>578</v>
      </c>
      <c r="AU90" s="796">
        <v>1</v>
      </c>
      <c r="AV90" s="796" t="s">
        <v>579</v>
      </c>
      <c r="AW90" s="797" t="s">
        <v>579</v>
      </c>
      <c r="AX90" s="296" t="s">
        <v>580</v>
      </c>
      <c r="AY90" s="711" t="s">
        <v>588</v>
      </c>
      <c r="AZ90" s="711" t="s">
        <v>670</v>
      </c>
    </row>
    <row r="91" spans="1:52" s="185" customFormat="1" ht="15.75">
      <c r="A91" s="663" t="s">
        <v>507</v>
      </c>
      <c r="B91" s="227" t="s">
        <v>514</v>
      </c>
      <c r="C91" s="226" t="s">
        <v>515</v>
      </c>
      <c r="D91" s="227" t="s">
        <v>510</v>
      </c>
      <c r="E91" s="228" t="s">
        <v>511</v>
      </c>
      <c r="F91" s="394">
        <v>31525</v>
      </c>
      <c r="G91" s="186" t="s">
        <v>668</v>
      </c>
      <c r="H91" s="290" t="s">
        <v>675</v>
      </c>
      <c r="I91" s="291">
        <v>150000</v>
      </c>
      <c r="J91" s="849">
        <v>586256.82999999996</v>
      </c>
      <c r="K91" s="287"/>
      <c r="L91" s="287"/>
      <c r="M91" s="287">
        <f t="shared" si="40"/>
        <v>736256.83</v>
      </c>
      <c r="N91" s="292">
        <v>216</v>
      </c>
      <c r="O91" s="446"/>
      <c r="P91" s="475">
        <f t="shared" si="26"/>
        <v>8749.615560624321</v>
      </c>
      <c r="Q91" s="471">
        <f>SUM(P91:P92)</f>
        <v>9235.3706958812927</v>
      </c>
      <c r="R91" s="475">
        <f t="shared" si="36"/>
        <v>1074.2681270841629</v>
      </c>
      <c r="S91" s="471">
        <f>SUM(R91:R92)</f>
        <v>1133.908605658148</v>
      </c>
      <c r="T91" s="475">
        <f t="shared" si="37"/>
        <v>1256.1894545157018</v>
      </c>
      <c r="U91" s="471">
        <f>SUM(T91:T92)</f>
        <v>1325.9297161487643</v>
      </c>
      <c r="V91" s="475">
        <f t="shared" si="38"/>
        <v>1334.1557377006468</v>
      </c>
      <c r="W91" s="471">
        <f>SUM(V91:V92)</f>
        <v>1408.2244777875999</v>
      </c>
      <c r="X91" s="323">
        <f t="shared" si="41"/>
        <v>79.005833627411093</v>
      </c>
      <c r="Y91" s="285">
        <f>SUM(X91:X92)</f>
        <v>83.392025127353349</v>
      </c>
      <c r="Z91" s="783"/>
      <c r="AA91" s="292">
        <f t="shared" si="34"/>
        <v>20385.456933569083</v>
      </c>
      <c r="AB91" s="285">
        <f>SUM(AA91:AA92)</f>
        <v>20385.456933569083</v>
      </c>
      <c r="AC91" s="292">
        <f>(N91/$N$131)*$AC$131</f>
        <v>384.96994190452131</v>
      </c>
      <c r="AD91" s="285">
        <f>SUM(AC91:AC92)</f>
        <v>384.96994190452131</v>
      </c>
      <c r="AE91" s="783"/>
      <c r="AF91" s="292">
        <f t="shared" si="35"/>
        <v>11378.38241980298</v>
      </c>
      <c r="AG91" s="285">
        <f>SUM(AF91:AF92)</f>
        <v>11378.38241980298</v>
      </c>
      <c r="AH91" s="783"/>
      <c r="AI91" s="285">
        <f t="shared" si="39"/>
        <v>45335.634815879748</v>
      </c>
      <c r="AJ91" s="783"/>
      <c r="AK91" s="368"/>
      <c r="AL91" s="227" t="s">
        <v>514</v>
      </c>
      <c r="AM91" s="369"/>
      <c r="AN91" s="190"/>
      <c r="AO91" s="190"/>
      <c r="AP91" s="294" t="s">
        <v>676</v>
      </c>
      <c r="AQ91" s="293" t="s">
        <v>676</v>
      </c>
      <c r="AR91" s="293">
        <v>1977</v>
      </c>
      <c r="AS91" s="293">
        <v>2009</v>
      </c>
      <c r="AT91" s="293" t="s">
        <v>578</v>
      </c>
      <c r="AU91" s="293">
        <v>1</v>
      </c>
      <c r="AV91" s="293" t="s">
        <v>579</v>
      </c>
      <c r="AW91" s="295" t="s">
        <v>579</v>
      </c>
      <c r="AX91" s="288" t="s">
        <v>580</v>
      </c>
      <c r="AY91" s="39" t="s">
        <v>588</v>
      </c>
      <c r="AZ91" s="33" t="s">
        <v>670</v>
      </c>
    </row>
    <row r="92" spans="1:52" ht="15.75">
      <c r="A92" s="717"/>
      <c r="B92" s="289"/>
      <c r="C92" s="38"/>
      <c r="D92" s="39"/>
      <c r="E92" s="38"/>
      <c r="F92" s="401"/>
      <c r="G92" s="39"/>
      <c r="H92" s="779" t="s">
        <v>589</v>
      </c>
      <c r="I92" s="798">
        <v>40875</v>
      </c>
      <c r="J92" s="756"/>
      <c r="K92" s="714"/>
      <c r="L92" s="714"/>
      <c r="M92" s="287">
        <f t="shared" si="40"/>
        <v>40875</v>
      </c>
      <c r="N92" s="292"/>
      <c r="O92" s="446"/>
      <c r="P92" s="475">
        <f t="shared" si="26"/>
        <v>485.75513525697153</v>
      </c>
      <c r="Q92" s="476"/>
      <c r="R92" s="475">
        <f t="shared" si="36"/>
        <v>59.640478573985057</v>
      </c>
      <c r="S92" s="476"/>
      <c r="T92" s="475">
        <f t="shared" si="37"/>
        <v>69.740261633062616</v>
      </c>
      <c r="U92" s="476"/>
      <c r="V92" s="475">
        <f t="shared" si="38"/>
        <v>74.068740086952999</v>
      </c>
      <c r="W92" s="476"/>
      <c r="X92" s="323">
        <f t="shared" si="41"/>
        <v>4.3861914999422531</v>
      </c>
      <c r="Y92" s="292"/>
      <c r="Z92" s="783"/>
      <c r="AA92" s="292">
        <f t="shared" si="34"/>
        <v>0</v>
      </c>
      <c r="AB92" s="326"/>
      <c r="AC92" s="292"/>
      <c r="AD92" s="326"/>
      <c r="AE92" s="783"/>
      <c r="AF92" s="292">
        <f t="shared" si="35"/>
        <v>0</v>
      </c>
      <c r="AG92" s="326"/>
      <c r="AH92" s="783"/>
      <c r="AI92" s="326"/>
      <c r="AJ92" s="783"/>
      <c r="AK92" s="368"/>
      <c r="AL92" s="289"/>
      <c r="AM92" s="369"/>
      <c r="AN92" s="529"/>
      <c r="AO92" s="529"/>
      <c r="AP92" s="294">
        <v>327</v>
      </c>
      <c r="AQ92" s="293">
        <v>1972</v>
      </c>
      <c r="AR92" s="293">
        <v>2022</v>
      </c>
      <c r="AS92" s="293">
        <v>2010</v>
      </c>
      <c r="AT92" s="293" t="s">
        <v>642</v>
      </c>
      <c r="AU92" s="293">
        <v>1</v>
      </c>
      <c r="AV92" s="293" t="s">
        <v>579</v>
      </c>
      <c r="AW92" s="295" t="s">
        <v>579</v>
      </c>
      <c r="AX92" s="288"/>
      <c r="AY92" s="39"/>
      <c r="AZ92" s="33"/>
    </row>
    <row r="93" spans="1:52" s="185" customFormat="1" ht="15.75">
      <c r="A93" s="799" t="s">
        <v>507</v>
      </c>
      <c r="B93" s="213" t="s">
        <v>677</v>
      </c>
      <c r="C93" s="297" t="s">
        <v>517</v>
      </c>
      <c r="D93" s="201" t="s">
        <v>518</v>
      </c>
      <c r="E93" s="298" t="s">
        <v>375</v>
      </c>
      <c r="F93" s="395">
        <v>32962</v>
      </c>
      <c r="G93" s="214" t="s">
        <v>678</v>
      </c>
      <c r="H93" s="800" t="s">
        <v>679</v>
      </c>
      <c r="I93" s="785">
        <v>38733.333333333328</v>
      </c>
      <c r="J93" s="851">
        <v>561323.30000000005</v>
      </c>
      <c r="K93" s="793"/>
      <c r="L93" s="793"/>
      <c r="M93" s="793">
        <f t="shared" si="40"/>
        <v>600056.63333333342</v>
      </c>
      <c r="N93" s="794">
        <v>152</v>
      </c>
      <c r="O93" s="446"/>
      <c r="P93" s="906">
        <f t="shared" si="26"/>
        <v>7131.0236351480453</v>
      </c>
      <c r="Q93" s="474">
        <f>SUM(P93:P94)</f>
        <v>16538.224094860518</v>
      </c>
      <c r="R93" s="906">
        <f t="shared" si="36"/>
        <v>875.53919959619031</v>
      </c>
      <c r="S93" s="474">
        <f>SUM(R93:R94)</f>
        <v>2030.5448737242887</v>
      </c>
      <c r="T93" s="906">
        <f t="shared" si="37"/>
        <v>1023.8068893778934</v>
      </c>
      <c r="U93" s="474">
        <f>SUM(T93:T94)</f>
        <v>2374.4063451056213</v>
      </c>
      <c r="V93" s="906">
        <f t="shared" si="38"/>
        <v>1087.3501849986233</v>
      </c>
      <c r="W93" s="474">
        <f>SUM(V93:V94)</f>
        <v>2521.7755471261926</v>
      </c>
      <c r="X93" s="325">
        <f t="shared" si="41"/>
        <v>64.390539562339626</v>
      </c>
      <c r="Y93" s="324">
        <f>SUM(X93:X94)</f>
        <v>149.33412471417876</v>
      </c>
      <c r="Z93" s="783"/>
      <c r="AA93" s="794">
        <f t="shared" si="34"/>
        <v>14345.32154584491</v>
      </c>
      <c r="AB93" s="324">
        <f>SUM(AA93:AA94)</f>
        <v>14345.32154584491</v>
      </c>
      <c r="AC93" s="794">
        <f>(N93/$N$131)*$AC$131</f>
        <v>270.90477393281128</v>
      </c>
      <c r="AD93" s="324">
        <f>SUM(AC93:AC94)</f>
        <v>270.90477393281128</v>
      </c>
      <c r="AE93" s="783"/>
      <c r="AF93" s="794">
        <f t="shared" si="35"/>
        <v>8007.0098509724676</v>
      </c>
      <c r="AG93" s="324">
        <f>SUM(AF93:AF94)</f>
        <v>8007.0098509724676</v>
      </c>
      <c r="AH93" s="783"/>
      <c r="AI93" s="324">
        <f t="shared" si="39"/>
        <v>46237.521156280985</v>
      </c>
      <c r="AJ93" s="783"/>
      <c r="AK93" s="368"/>
      <c r="AL93" s="213" t="s">
        <v>677</v>
      </c>
      <c r="AM93" s="369"/>
      <c r="AN93" s="795"/>
      <c r="AO93" s="795"/>
      <c r="AP93" s="299">
        <v>200</v>
      </c>
      <c r="AQ93" s="796">
        <v>1970</v>
      </c>
      <c r="AR93" s="801">
        <v>2014</v>
      </c>
      <c r="AS93" s="796">
        <v>2010</v>
      </c>
      <c r="AT93" s="796" t="s">
        <v>586</v>
      </c>
      <c r="AU93" s="796">
        <v>1</v>
      </c>
      <c r="AV93" s="796" t="s">
        <v>579</v>
      </c>
      <c r="AW93" s="797"/>
      <c r="AX93" s="203" t="s">
        <v>580</v>
      </c>
      <c r="AY93" s="711" t="s">
        <v>588</v>
      </c>
      <c r="AZ93" s="21" t="s">
        <v>670</v>
      </c>
    </row>
    <row r="94" spans="1:52" s="185" customFormat="1" ht="15.75">
      <c r="A94" s="802"/>
      <c r="B94" s="216"/>
      <c r="C94" s="300" t="s">
        <v>520</v>
      </c>
      <c r="D94" s="301" t="s">
        <v>379</v>
      </c>
      <c r="E94" s="302" t="s">
        <v>375</v>
      </c>
      <c r="F94" s="396">
        <v>33170</v>
      </c>
      <c r="G94" s="217" t="s">
        <v>590</v>
      </c>
      <c r="H94" s="800" t="s">
        <v>667</v>
      </c>
      <c r="I94" s="780">
        <v>77466.666666666657</v>
      </c>
      <c r="J94" s="851">
        <v>714124.18</v>
      </c>
      <c r="K94" s="793"/>
      <c r="L94" s="793"/>
      <c r="M94" s="793">
        <f t="shared" si="40"/>
        <v>791590.84666666668</v>
      </c>
      <c r="N94" s="793"/>
      <c r="O94" s="446"/>
      <c r="P94" s="906">
        <f t="shared" si="26"/>
        <v>9407.2004597124705</v>
      </c>
      <c r="Q94" s="477"/>
      <c r="R94" s="906">
        <f t="shared" si="36"/>
        <v>1155.0056741280985</v>
      </c>
      <c r="S94" s="477"/>
      <c r="T94" s="906">
        <f t="shared" si="37"/>
        <v>1350.5994557277279</v>
      </c>
      <c r="U94" s="477"/>
      <c r="V94" s="906">
        <f t="shared" si="38"/>
        <v>1434.4253621275693</v>
      </c>
      <c r="W94" s="477"/>
      <c r="X94" s="325">
        <f t="shared" si="41"/>
        <v>84.94358515183913</v>
      </c>
      <c r="Y94" s="327"/>
      <c r="Z94" s="783"/>
      <c r="AA94" s="793">
        <f t="shared" si="34"/>
        <v>0</v>
      </c>
      <c r="AB94" s="327"/>
      <c r="AC94" s="793"/>
      <c r="AD94" s="327"/>
      <c r="AE94" s="783"/>
      <c r="AF94" s="793">
        <f t="shared" si="35"/>
        <v>0</v>
      </c>
      <c r="AG94" s="327"/>
      <c r="AH94" s="783"/>
      <c r="AI94" s="327"/>
      <c r="AJ94" s="783"/>
      <c r="AK94" s="368"/>
      <c r="AL94" s="216"/>
      <c r="AM94" s="369"/>
      <c r="AN94" s="795"/>
      <c r="AO94" s="795"/>
      <c r="AP94" s="299"/>
      <c r="AQ94" s="796">
        <v>1983</v>
      </c>
      <c r="AR94" s="801"/>
      <c r="AS94" s="796"/>
      <c r="AT94" s="796" t="s">
        <v>578</v>
      </c>
      <c r="AU94" s="796">
        <v>1</v>
      </c>
      <c r="AV94" s="796" t="s">
        <v>579</v>
      </c>
      <c r="AW94" s="797"/>
      <c r="AX94" s="219" t="s">
        <v>587</v>
      </c>
      <c r="AY94" s="711" t="s">
        <v>588</v>
      </c>
      <c r="AZ94" s="21" t="s">
        <v>670</v>
      </c>
    </row>
    <row r="95" spans="1:52" s="185" customFormat="1" ht="30.75">
      <c r="A95" s="658" t="s">
        <v>507</v>
      </c>
      <c r="B95" s="209" t="s">
        <v>521</v>
      </c>
      <c r="C95" s="221" t="s">
        <v>522</v>
      </c>
      <c r="D95" s="222" t="s">
        <v>523</v>
      </c>
      <c r="E95" s="223" t="s">
        <v>375</v>
      </c>
      <c r="F95" s="397">
        <v>33811</v>
      </c>
      <c r="G95" s="210" t="s">
        <v>625</v>
      </c>
      <c r="H95" s="224" t="s">
        <v>680</v>
      </c>
      <c r="I95" s="780">
        <v>181788</v>
      </c>
      <c r="J95" s="851"/>
      <c r="K95" s="781"/>
      <c r="L95" s="781"/>
      <c r="M95" s="781">
        <f t="shared" si="40"/>
        <v>181788</v>
      </c>
      <c r="N95" s="782">
        <v>50</v>
      </c>
      <c r="O95" s="446"/>
      <c r="P95" s="907">
        <f t="shared" si="26"/>
        <v>2160.353627598638</v>
      </c>
      <c r="Q95" s="476">
        <f>SUM(P95:P96)</f>
        <v>2733.3010668893808</v>
      </c>
      <c r="R95" s="907">
        <f t="shared" si="36"/>
        <v>265.24583043443658</v>
      </c>
      <c r="S95" s="476">
        <f>SUM(R95:R96)</f>
        <v>335.59168371905963</v>
      </c>
      <c r="T95" s="907">
        <f t="shared" si="37"/>
        <v>310.16373533336235</v>
      </c>
      <c r="U95" s="476">
        <f>SUM(T95:T96)</f>
        <v>392.42226729307401</v>
      </c>
      <c r="V95" s="907">
        <f t="shared" si="38"/>
        <v>329.41426600433056</v>
      </c>
      <c r="W95" s="476">
        <f>SUM(V95:V96)</f>
        <v>416.77823168193737</v>
      </c>
      <c r="X95" s="284">
        <f t="shared" si="41"/>
        <v>19.507204413247763</v>
      </c>
      <c r="Y95" s="285">
        <f>SUM(X95:X96)</f>
        <v>24.68071058071482</v>
      </c>
      <c r="Z95" s="783"/>
      <c r="AA95" s="782">
        <f t="shared" si="34"/>
        <v>4718.8557716595096</v>
      </c>
      <c r="AB95" s="326">
        <f>SUM(AA95:AA96)</f>
        <v>4718.8557716595096</v>
      </c>
      <c r="AC95" s="782">
        <f>(N95/$N$131)*$AC$131</f>
        <v>89.11341247789845</v>
      </c>
      <c r="AD95" s="326">
        <f>SUM(AC95:AC96)</f>
        <v>89.11341247789845</v>
      </c>
      <c r="AE95" s="783"/>
      <c r="AF95" s="782">
        <f t="shared" si="35"/>
        <v>2633.8848193988379</v>
      </c>
      <c r="AG95" s="326">
        <f>SUM(AF95:AF96)</f>
        <v>2633.8848193988379</v>
      </c>
      <c r="AH95" s="783"/>
      <c r="AI95" s="326">
        <f t="shared" si="39"/>
        <v>11344.627963700412</v>
      </c>
      <c r="AJ95" s="783"/>
      <c r="AK95" s="368"/>
      <c r="AL95" s="209" t="s">
        <v>521</v>
      </c>
      <c r="AM95" s="369"/>
      <c r="AN95" s="666"/>
      <c r="AO95" s="666"/>
      <c r="AP95" s="225">
        <v>1223</v>
      </c>
      <c r="AQ95" s="657">
        <v>1972</v>
      </c>
      <c r="AR95" s="787">
        <v>2021</v>
      </c>
      <c r="AS95" s="657">
        <v>2021</v>
      </c>
      <c r="AT95" s="657" t="s">
        <v>586</v>
      </c>
      <c r="AU95" s="657">
        <v>1</v>
      </c>
      <c r="AV95" s="657" t="s">
        <v>579</v>
      </c>
      <c r="AW95" s="803"/>
      <c r="AX95" s="211" t="s">
        <v>580</v>
      </c>
      <c r="AY95" s="529" t="s">
        <v>588</v>
      </c>
      <c r="AZ95" s="303"/>
    </row>
    <row r="96" spans="1:52" s="185" customFormat="1" ht="15.75">
      <c r="A96" s="295"/>
      <c r="B96" s="193"/>
      <c r="C96" s="195"/>
      <c r="D96" s="866"/>
      <c r="E96" s="195"/>
      <c r="F96" s="410"/>
      <c r="G96" s="190"/>
      <c r="H96" s="229" t="s">
        <v>681</v>
      </c>
      <c r="I96" s="780">
        <v>48212</v>
      </c>
      <c r="J96" s="782"/>
      <c r="K96" s="781"/>
      <c r="L96" s="781"/>
      <c r="M96" s="781">
        <f t="shared" si="40"/>
        <v>48212</v>
      </c>
      <c r="N96" s="781"/>
      <c r="O96" s="446"/>
      <c r="P96" s="907">
        <f t="shared" si="26"/>
        <v>572.94743929074275</v>
      </c>
      <c r="Q96" s="476"/>
      <c r="R96" s="907">
        <f t="shared" si="36"/>
        <v>70.345853284623061</v>
      </c>
      <c r="S96" s="476"/>
      <c r="T96" s="907">
        <f t="shared" si="37"/>
        <v>82.258531959711689</v>
      </c>
      <c r="U96" s="476"/>
      <c r="V96" s="907">
        <f t="shared" si="38"/>
        <v>87.363965677606799</v>
      </c>
      <c r="W96" s="476"/>
      <c r="X96" s="284">
        <f t="shared" si="41"/>
        <v>5.1735061674670568</v>
      </c>
      <c r="Y96" s="292"/>
      <c r="Z96" s="783"/>
      <c r="AA96" s="781">
        <f t="shared" si="34"/>
        <v>0</v>
      </c>
      <c r="AB96" s="326"/>
      <c r="AC96" s="781"/>
      <c r="AD96" s="326"/>
      <c r="AE96" s="783"/>
      <c r="AF96" s="781">
        <f t="shared" si="35"/>
        <v>0</v>
      </c>
      <c r="AG96" s="326"/>
      <c r="AH96" s="783"/>
      <c r="AI96" s="326"/>
      <c r="AJ96" s="783"/>
      <c r="AK96" s="368"/>
      <c r="AL96" s="193"/>
      <c r="AM96" s="369"/>
      <c r="AN96" s="666"/>
      <c r="AO96" s="666"/>
      <c r="AP96" s="225">
        <v>327</v>
      </c>
      <c r="AQ96" s="657">
        <v>1972</v>
      </c>
      <c r="AR96" s="787">
        <v>2022</v>
      </c>
      <c r="AS96" s="657">
        <v>2010</v>
      </c>
      <c r="AT96" s="657" t="s">
        <v>586</v>
      </c>
      <c r="AU96" s="657">
        <v>1</v>
      </c>
      <c r="AV96" s="657" t="s">
        <v>579</v>
      </c>
      <c r="AW96" s="803"/>
      <c r="AX96" s="212"/>
      <c r="AY96" s="212"/>
      <c r="AZ96" s="197"/>
    </row>
    <row r="97" spans="1:52" s="185" customFormat="1" ht="15.75">
      <c r="A97" s="799" t="s">
        <v>507</v>
      </c>
      <c r="B97" s="213" t="s">
        <v>524</v>
      </c>
      <c r="C97" s="199" t="s">
        <v>525</v>
      </c>
      <c r="D97" s="198" t="s">
        <v>483</v>
      </c>
      <c r="E97" s="200" t="s">
        <v>511</v>
      </c>
      <c r="F97" s="398">
        <v>30011</v>
      </c>
      <c r="G97" s="214" t="s">
        <v>682</v>
      </c>
      <c r="H97" s="215" t="s">
        <v>683</v>
      </c>
      <c r="I97" s="804">
        <v>225000</v>
      </c>
      <c r="J97" s="851"/>
      <c r="K97" s="793"/>
      <c r="L97" s="793"/>
      <c r="M97" s="793">
        <f t="shared" si="40"/>
        <v>225000</v>
      </c>
      <c r="N97" s="793">
        <v>132</v>
      </c>
      <c r="O97" s="446"/>
      <c r="P97" s="906">
        <f t="shared" si="26"/>
        <v>2673.8814784787423</v>
      </c>
      <c r="Q97" s="478">
        <f>SUM(P97:P109)</f>
        <v>32340.893580142445</v>
      </c>
      <c r="R97" s="906">
        <f t="shared" si="36"/>
        <v>328.29621233386274</v>
      </c>
      <c r="S97" s="478">
        <f>SUM(R97:R109)</f>
        <v>3970.7791655349965</v>
      </c>
      <c r="T97" s="906">
        <f t="shared" si="37"/>
        <v>383.89134843887683</v>
      </c>
      <c r="U97" s="478">
        <f>SUM(T97:T109)</f>
        <v>4643.2085139624869</v>
      </c>
      <c r="V97" s="906">
        <f t="shared" si="38"/>
        <v>407.7178353410257</v>
      </c>
      <c r="W97" s="478">
        <f>SUM(V97:V109)</f>
        <v>4931.392520431411</v>
      </c>
      <c r="X97" s="325">
        <f t="shared" si="41"/>
        <v>24.144173394177542</v>
      </c>
      <c r="Y97" s="328">
        <f>SUM(X97:X109)</f>
        <v>292.02645988851003</v>
      </c>
      <c r="Z97" s="783"/>
      <c r="AA97" s="793">
        <f t="shared" si="34"/>
        <v>12457.779237181105</v>
      </c>
      <c r="AB97" s="328">
        <f>SUM(AA97:AA109)</f>
        <v>12457.779237181105</v>
      </c>
      <c r="AC97" s="793">
        <f>(N97/$N$131)*$AC$131</f>
        <v>235.25940894165191</v>
      </c>
      <c r="AD97" s="328">
        <f>SUM(AC97:AC109)</f>
        <v>235.25940894165191</v>
      </c>
      <c r="AE97" s="783"/>
      <c r="AF97" s="793">
        <f t="shared" si="35"/>
        <v>6953.4559232129322</v>
      </c>
      <c r="AG97" s="328">
        <f>SUM(AF97:AF109)</f>
        <v>6953.4559232129322</v>
      </c>
      <c r="AH97" s="783"/>
      <c r="AI97" s="328">
        <f t="shared" si="39"/>
        <v>65824.794809295534</v>
      </c>
      <c r="AJ97" s="783"/>
      <c r="AK97" s="368"/>
      <c r="AL97" s="213" t="s">
        <v>524</v>
      </c>
      <c r="AM97" s="369"/>
      <c r="AN97" s="795"/>
      <c r="AO97" s="795"/>
      <c r="AP97" s="202">
        <v>1800</v>
      </c>
      <c r="AQ97" s="796">
        <v>1972</v>
      </c>
      <c r="AR97" s="801">
        <v>2022</v>
      </c>
      <c r="AS97" s="796">
        <v>2015</v>
      </c>
      <c r="AT97" s="796" t="s">
        <v>578</v>
      </c>
      <c r="AU97" s="796">
        <v>2</v>
      </c>
      <c r="AV97" s="796" t="s">
        <v>579</v>
      </c>
      <c r="AW97" s="805"/>
      <c r="AX97" s="311" t="s">
        <v>580</v>
      </c>
      <c r="AY97" s="311"/>
      <c r="AZ97" s="21" t="s">
        <v>670</v>
      </c>
    </row>
    <row r="98" spans="1:52" s="185" customFormat="1" ht="15.75">
      <c r="A98" s="806"/>
      <c r="B98" s="204"/>
      <c r="C98" s="206" t="s">
        <v>525</v>
      </c>
      <c r="D98" s="205" t="s">
        <v>483</v>
      </c>
      <c r="E98" s="207" t="s">
        <v>511</v>
      </c>
      <c r="F98" s="399">
        <v>30011</v>
      </c>
      <c r="G98" s="312" t="s">
        <v>682</v>
      </c>
      <c r="H98" s="313" t="s">
        <v>683</v>
      </c>
      <c r="I98" s="804">
        <v>225000</v>
      </c>
      <c r="J98" s="883"/>
      <c r="K98" s="793"/>
      <c r="L98" s="793"/>
      <c r="M98" s="793">
        <f t="shared" si="40"/>
        <v>225000</v>
      </c>
      <c r="N98" s="793"/>
      <c r="O98" s="446"/>
      <c r="P98" s="906">
        <f t="shared" si="26"/>
        <v>2673.8814784787423</v>
      </c>
      <c r="Q98" s="479"/>
      <c r="R98" s="906">
        <f t="shared" si="36"/>
        <v>328.29621233386274</v>
      </c>
      <c r="S98" s="479"/>
      <c r="T98" s="906">
        <f t="shared" si="37"/>
        <v>383.89134843887683</v>
      </c>
      <c r="U98" s="479"/>
      <c r="V98" s="906">
        <f t="shared" si="38"/>
        <v>407.7178353410257</v>
      </c>
      <c r="W98" s="479"/>
      <c r="X98" s="325">
        <f t="shared" si="41"/>
        <v>24.144173394177542</v>
      </c>
      <c r="Y98" s="329"/>
      <c r="Z98" s="783"/>
      <c r="AA98" s="793">
        <f t="shared" si="34"/>
        <v>0</v>
      </c>
      <c r="AB98" s="329"/>
      <c r="AC98" s="793"/>
      <c r="AD98" s="329"/>
      <c r="AE98" s="783"/>
      <c r="AF98" s="793">
        <f t="shared" si="35"/>
        <v>0</v>
      </c>
      <c r="AG98" s="329"/>
      <c r="AH98" s="783"/>
      <c r="AI98" s="329"/>
      <c r="AJ98" s="783"/>
      <c r="AK98" s="368"/>
      <c r="AL98" s="204"/>
      <c r="AM98" s="369"/>
      <c r="AN98" s="795"/>
      <c r="AO98" s="795"/>
      <c r="AP98" s="202">
        <v>1800</v>
      </c>
      <c r="AQ98" s="807"/>
      <c r="AR98" s="807"/>
      <c r="AS98" s="807"/>
      <c r="AT98" s="807"/>
      <c r="AU98" s="807"/>
      <c r="AV98" s="807"/>
      <c r="AW98" s="805"/>
      <c r="AX98" s="314"/>
      <c r="AY98" s="314"/>
      <c r="AZ98" s="315"/>
    </row>
    <row r="99" spans="1:52" s="185" customFormat="1" ht="15.75">
      <c r="A99" s="806"/>
      <c r="B99" s="204"/>
      <c r="C99" s="206" t="s">
        <v>525</v>
      </c>
      <c r="D99" s="205" t="s">
        <v>483</v>
      </c>
      <c r="E99" s="207" t="s">
        <v>511</v>
      </c>
      <c r="F99" s="399">
        <v>30011</v>
      </c>
      <c r="G99" s="312" t="s">
        <v>682</v>
      </c>
      <c r="H99" s="313" t="s">
        <v>683</v>
      </c>
      <c r="I99" s="804">
        <v>225000</v>
      </c>
      <c r="J99" s="883"/>
      <c r="K99" s="793"/>
      <c r="L99" s="793"/>
      <c r="M99" s="793">
        <f t="shared" si="40"/>
        <v>225000</v>
      </c>
      <c r="N99" s="793"/>
      <c r="O99" s="446"/>
      <c r="P99" s="906">
        <f t="shared" si="26"/>
        <v>2673.8814784787423</v>
      </c>
      <c r="Q99" s="479"/>
      <c r="R99" s="906">
        <f t="shared" si="36"/>
        <v>328.29621233386274</v>
      </c>
      <c r="S99" s="479"/>
      <c r="T99" s="906">
        <f t="shared" si="37"/>
        <v>383.89134843887683</v>
      </c>
      <c r="U99" s="479"/>
      <c r="V99" s="906">
        <f t="shared" si="38"/>
        <v>407.7178353410257</v>
      </c>
      <c r="W99" s="479"/>
      <c r="X99" s="325">
        <f t="shared" si="41"/>
        <v>24.144173394177542</v>
      </c>
      <c r="Y99" s="329"/>
      <c r="Z99" s="783"/>
      <c r="AA99" s="793">
        <f t="shared" si="34"/>
        <v>0</v>
      </c>
      <c r="AB99" s="329"/>
      <c r="AC99" s="793"/>
      <c r="AD99" s="329"/>
      <c r="AE99" s="783"/>
      <c r="AF99" s="793">
        <f t="shared" si="35"/>
        <v>0</v>
      </c>
      <c r="AG99" s="329"/>
      <c r="AH99" s="783"/>
      <c r="AI99" s="329"/>
      <c r="AJ99" s="783"/>
      <c r="AK99" s="368"/>
      <c r="AL99" s="204"/>
      <c r="AM99" s="369"/>
      <c r="AN99" s="795"/>
      <c r="AO99" s="795"/>
      <c r="AP99" s="202">
        <v>1800</v>
      </c>
      <c r="AQ99" s="807"/>
      <c r="AR99" s="807"/>
      <c r="AS99" s="807"/>
      <c r="AT99" s="807"/>
      <c r="AU99" s="807"/>
      <c r="AV99" s="807"/>
      <c r="AW99" s="805"/>
      <c r="AX99" s="314"/>
      <c r="AY99" s="314"/>
      <c r="AZ99" s="315"/>
    </row>
    <row r="100" spans="1:52" s="185" customFormat="1" ht="15.75">
      <c r="A100" s="806"/>
      <c r="B100" s="204"/>
      <c r="C100" s="206" t="s">
        <v>525</v>
      </c>
      <c r="D100" s="205" t="s">
        <v>483</v>
      </c>
      <c r="E100" s="207" t="s">
        <v>511</v>
      </c>
      <c r="F100" s="399">
        <v>30011</v>
      </c>
      <c r="G100" s="312" t="s">
        <v>682</v>
      </c>
      <c r="H100" s="313" t="s">
        <v>683</v>
      </c>
      <c r="I100" s="804">
        <v>225000</v>
      </c>
      <c r="J100" s="883"/>
      <c r="K100" s="793"/>
      <c r="L100" s="793"/>
      <c r="M100" s="793">
        <f t="shared" si="40"/>
        <v>225000</v>
      </c>
      <c r="N100" s="793"/>
      <c r="O100" s="446"/>
      <c r="P100" s="906">
        <f t="shared" si="26"/>
        <v>2673.8814784787423</v>
      </c>
      <c r="Q100" s="479"/>
      <c r="R100" s="906">
        <f t="shared" si="36"/>
        <v>328.29621233386274</v>
      </c>
      <c r="S100" s="479"/>
      <c r="T100" s="906">
        <f t="shared" si="37"/>
        <v>383.89134843887683</v>
      </c>
      <c r="U100" s="479"/>
      <c r="V100" s="906">
        <f t="shared" si="38"/>
        <v>407.7178353410257</v>
      </c>
      <c r="W100" s="479"/>
      <c r="X100" s="325">
        <f t="shared" si="41"/>
        <v>24.144173394177542</v>
      </c>
      <c r="Y100" s="329"/>
      <c r="Z100" s="783"/>
      <c r="AA100" s="793">
        <f t="shared" ref="AA100:AA107" si="60">(N100/$N$131)*$AA$131</f>
        <v>0</v>
      </c>
      <c r="AB100" s="329"/>
      <c r="AC100" s="793"/>
      <c r="AD100" s="329"/>
      <c r="AE100" s="783"/>
      <c r="AF100" s="793">
        <f t="shared" ref="AF100:AF107" si="61">(N100/$N$131)*$AF$131</f>
        <v>0</v>
      </c>
      <c r="AG100" s="329"/>
      <c r="AH100" s="783"/>
      <c r="AI100" s="329"/>
      <c r="AJ100" s="783"/>
      <c r="AK100" s="368"/>
      <c r="AL100" s="204"/>
      <c r="AM100" s="369"/>
      <c r="AN100" s="795"/>
      <c r="AO100" s="795"/>
      <c r="AP100" s="202">
        <v>1800</v>
      </c>
      <c r="AQ100" s="807"/>
      <c r="AR100" s="807"/>
      <c r="AS100" s="807"/>
      <c r="AT100" s="807"/>
      <c r="AU100" s="807"/>
      <c r="AV100" s="807"/>
      <c r="AW100" s="805"/>
      <c r="AX100" s="314"/>
      <c r="AY100" s="314"/>
      <c r="AZ100" s="315"/>
    </row>
    <row r="101" spans="1:52" s="185" customFormat="1" ht="15.75">
      <c r="A101" s="806"/>
      <c r="B101" s="204"/>
      <c r="C101" s="206" t="s">
        <v>525</v>
      </c>
      <c r="D101" s="205" t="s">
        <v>483</v>
      </c>
      <c r="E101" s="207" t="s">
        <v>511</v>
      </c>
      <c r="F101" s="399">
        <v>30011</v>
      </c>
      <c r="G101" s="312" t="s">
        <v>682</v>
      </c>
      <c r="H101" s="313" t="s">
        <v>683</v>
      </c>
      <c r="I101" s="804">
        <v>225000</v>
      </c>
      <c r="J101" s="883"/>
      <c r="K101" s="793"/>
      <c r="L101" s="793"/>
      <c r="M101" s="793">
        <f t="shared" si="40"/>
        <v>225000</v>
      </c>
      <c r="N101" s="793"/>
      <c r="O101" s="446"/>
      <c r="P101" s="906">
        <f t="shared" si="26"/>
        <v>2673.8814784787423</v>
      </c>
      <c r="Q101" s="479"/>
      <c r="R101" s="906">
        <f t="shared" si="36"/>
        <v>328.29621233386274</v>
      </c>
      <c r="S101" s="479"/>
      <c r="T101" s="906">
        <f t="shared" si="37"/>
        <v>383.89134843887683</v>
      </c>
      <c r="U101" s="479"/>
      <c r="V101" s="906">
        <f t="shared" si="38"/>
        <v>407.7178353410257</v>
      </c>
      <c r="W101" s="479"/>
      <c r="X101" s="325">
        <f t="shared" si="41"/>
        <v>24.144173394177542</v>
      </c>
      <c r="Y101" s="329"/>
      <c r="Z101" s="783"/>
      <c r="AA101" s="793">
        <f t="shared" si="60"/>
        <v>0</v>
      </c>
      <c r="AB101" s="329"/>
      <c r="AC101" s="793"/>
      <c r="AD101" s="329"/>
      <c r="AE101" s="783"/>
      <c r="AF101" s="793">
        <f t="shared" si="61"/>
        <v>0</v>
      </c>
      <c r="AG101" s="329"/>
      <c r="AH101" s="783"/>
      <c r="AI101" s="329"/>
      <c r="AJ101" s="783"/>
      <c r="AK101" s="368"/>
      <c r="AL101" s="204"/>
      <c r="AM101" s="369"/>
      <c r="AN101" s="795"/>
      <c r="AO101" s="795"/>
      <c r="AP101" s="202">
        <v>1800</v>
      </c>
      <c r="AQ101" s="807"/>
      <c r="AR101" s="807"/>
      <c r="AS101" s="807"/>
      <c r="AT101" s="807"/>
      <c r="AU101" s="807"/>
      <c r="AV101" s="807"/>
      <c r="AW101" s="805"/>
      <c r="AX101" s="314"/>
      <c r="AY101" s="314"/>
      <c r="AZ101" s="315"/>
    </row>
    <row r="102" spans="1:52" s="185" customFormat="1" ht="15.75">
      <c r="A102" s="806"/>
      <c r="B102" s="204"/>
      <c r="C102" s="206" t="s">
        <v>525</v>
      </c>
      <c r="D102" s="205" t="s">
        <v>483</v>
      </c>
      <c r="E102" s="207" t="s">
        <v>511</v>
      </c>
      <c r="F102" s="399">
        <v>30011</v>
      </c>
      <c r="G102" s="312" t="s">
        <v>682</v>
      </c>
      <c r="H102" s="313" t="s">
        <v>683</v>
      </c>
      <c r="I102" s="804">
        <v>225000</v>
      </c>
      <c r="J102" s="883"/>
      <c r="K102" s="793"/>
      <c r="L102" s="793"/>
      <c r="M102" s="793">
        <f t="shared" si="40"/>
        <v>225000</v>
      </c>
      <c r="N102" s="793"/>
      <c r="O102" s="446"/>
      <c r="P102" s="906">
        <f t="shared" si="26"/>
        <v>2673.8814784787423</v>
      </c>
      <c r="Q102" s="479"/>
      <c r="R102" s="906">
        <f t="shared" si="36"/>
        <v>328.29621233386274</v>
      </c>
      <c r="S102" s="479"/>
      <c r="T102" s="906">
        <f t="shared" si="37"/>
        <v>383.89134843887683</v>
      </c>
      <c r="U102" s="479"/>
      <c r="V102" s="906">
        <f t="shared" si="38"/>
        <v>407.7178353410257</v>
      </c>
      <c r="W102" s="479"/>
      <c r="X102" s="325">
        <f t="shared" si="41"/>
        <v>24.144173394177542</v>
      </c>
      <c r="Y102" s="329"/>
      <c r="Z102" s="783"/>
      <c r="AA102" s="793">
        <f t="shared" si="60"/>
        <v>0</v>
      </c>
      <c r="AB102" s="329"/>
      <c r="AC102" s="793"/>
      <c r="AD102" s="329"/>
      <c r="AE102" s="783"/>
      <c r="AF102" s="793">
        <f t="shared" si="61"/>
        <v>0</v>
      </c>
      <c r="AG102" s="329"/>
      <c r="AH102" s="783"/>
      <c r="AI102" s="329"/>
      <c r="AJ102" s="783"/>
      <c r="AK102" s="368"/>
      <c r="AL102" s="204"/>
      <c r="AM102" s="369"/>
      <c r="AN102" s="795"/>
      <c r="AO102" s="795"/>
      <c r="AP102" s="202">
        <v>1800</v>
      </c>
      <c r="AQ102" s="807"/>
      <c r="AR102" s="807"/>
      <c r="AS102" s="807"/>
      <c r="AT102" s="807"/>
      <c r="AU102" s="807"/>
      <c r="AV102" s="807"/>
      <c r="AW102" s="805"/>
      <c r="AX102" s="314"/>
      <c r="AY102" s="314"/>
      <c r="AZ102" s="315"/>
    </row>
    <row r="103" spans="1:52" s="185" customFormat="1" ht="15.75">
      <c r="A103" s="806"/>
      <c r="B103" s="204"/>
      <c r="C103" s="206" t="s">
        <v>525</v>
      </c>
      <c r="D103" s="205" t="s">
        <v>483</v>
      </c>
      <c r="E103" s="207" t="s">
        <v>511</v>
      </c>
      <c r="F103" s="399">
        <v>30011</v>
      </c>
      <c r="G103" s="312" t="s">
        <v>682</v>
      </c>
      <c r="H103" s="313" t="s">
        <v>683</v>
      </c>
      <c r="I103" s="804">
        <v>225000</v>
      </c>
      <c r="J103" s="883"/>
      <c r="K103" s="793"/>
      <c r="L103" s="793"/>
      <c r="M103" s="793">
        <f t="shared" si="40"/>
        <v>225000</v>
      </c>
      <c r="N103" s="793"/>
      <c r="O103" s="446"/>
      <c r="P103" s="906">
        <f t="shared" si="26"/>
        <v>2673.8814784787423</v>
      </c>
      <c r="Q103" s="479"/>
      <c r="R103" s="906">
        <f t="shared" si="36"/>
        <v>328.29621233386274</v>
      </c>
      <c r="S103" s="479"/>
      <c r="T103" s="906">
        <f t="shared" si="37"/>
        <v>383.89134843887683</v>
      </c>
      <c r="U103" s="479"/>
      <c r="V103" s="906">
        <f t="shared" si="38"/>
        <v>407.7178353410257</v>
      </c>
      <c r="W103" s="479"/>
      <c r="X103" s="325">
        <f t="shared" si="41"/>
        <v>24.144173394177542</v>
      </c>
      <c r="Y103" s="329"/>
      <c r="Z103" s="783"/>
      <c r="AA103" s="793">
        <f t="shared" si="60"/>
        <v>0</v>
      </c>
      <c r="AB103" s="329"/>
      <c r="AC103" s="793"/>
      <c r="AD103" s="329"/>
      <c r="AE103" s="783"/>
      <c r="AF103" s="793">
        <f t="shared" si="61"/>
        <v>0</v>
      </c>
      <c r="AG103" s="329"/>
      <c r="AH103" s="783"/>
      <c r="AI103" s="329"/>
      <c r="AJ103" s="783"/>
      <c r="AK103" s="368"/>
      <c r="AL103" s="204"/>
      <c r="AM103" s="369"/>
      <c r="AN103" s="795"/>
      <c r="AO103" s="795"/>
      <c r="AP103" s="202">
        <v>1800</v>
      </c>
      <c r="AQ103" s="807"/>
      <c r="AR103" s="807"/>
      <c r="AS103" s="807"/>
      <c r="AT103" s="807"/>
      <c r="AU103" s="807"/>
      <c r="AV103" s="807"/>
      <c r="AW103" s="805"/>
      <c r="AX103" s="314"/>
      <c r="AY103" s="314"/>
      <c r="AZ103" s="315"/>
    </row>
    <row r="104" spans="1:52" s="185" customFormat="1" ht="15.75">
      <c r="A104" s="806"/>
      <c r="B104" s="204"/>
      <c r="C104" s="206" t="s">
        <v>525</v>
      </c>
      <c r="D104" s="205" t="s">
        <v>483</v>
      </c>
      <c r="E104" s="207" t="s">
        <v>511</v>
      </c>
      <c r="F104" s="399">
        <v>30011</v>
      </c>
      <c r="G104" s="312" t="s">
        <v>682</v>
      </c>
      <c r="H104" s="313" t="s">
        <v>683</v>
      </c>
      <c r="I104" s="804">
        <v>225000</v>
      </c>
      <c r="J104" s="883"/>
      <c r="K104" s="793"/>
      <c r="L104" s="793"/>
      <c r="M104" s="793">
        <f t="shared" ref="M104:M120" si="62">SUM(I104:L104)</f>
        <v>225000</v>
      </c>
      <c r="N104" s="793"/>
      <c r="O104" s="446"/>
      <c r="P104" s="906">
        <f t="shared" ref="P104:P120" si="63">(M104/$M$131)*$P$131</f>
        <v>2673.8814784787423</v>
      </c>
      <c r="Q104" s="479"/>
      <c r="R104" s="906">
        <f t="shared" si="36"/>
        <v>328.29621233386274</v>
      </c>
      <c r="S104" s="479"/>
      <c r="T104" s="906">
        <f t="shared" si="37"/>
        <v>383.89134843887683</v>
      </c>
      <c r="U104" s="479"/>
      <c r="V104" s="906">
        <f t="shared" si="38"/>
        <v>407.7178353410257</v>
      </c>
      <c r="W104" s="479"/>
      <c r="X104" s="325">
        <f t="shared" ref="X104:X120" si="64">(M104/$M$131)*$X$131</f>
        <v>24.144173394177542</v>
      </c>
      <c r="Y104" s="329"/>
      <c r="Z104" s="783"/>
      <c r="AA104" s="793">
        <f t="shared" si="60"/>
        <v>0</v>
      </c>
      <c r="AB104" s="329"/>
      <c r="AC104" s="793"/>
      <c r="AD104" s="329"/>
      <c r="AE104" s="783"/>
      <c r="AF104" s="793">
        <f t="shared" si="61"/>
        <v>0</v>
      </c>
      <c r="AG104" s="329"/>
      <c r="AH104" s="783"/>
      <c r="AI104" s="329"/>
      <c r="AJ104" s="783"/>
      <c r="AK104" s="368"/>
      <c r="AL104" s="204"/>
      <c r="AM104" s="369"/>
      <c r="AN104" s="795"/>
      <c r="AO104" s="795"/>
      <c r="AP104" s="202">
        <v>1800</v>
      </c>
      <c r="AQ104" s="807"/>
      <c r="AR104" s="807"/>
      <c r="AS104" s="807"/>
      <c r="AT104" s="807"/>
      <c r="AU104" s="807"/>
      <c r="AV104" s="807"/>
      <c r="AW104" s="805"/>
      <c r="AX104" s="314"/>
      <c r="AY104" s="314"/>
      <c r="AZ104" s="315"/>
    </row>
    <row r="105" spans="1:52" s="185" customFormat="1" ht="15.75">
      <c r="A105" s="806"/>
      <c r="B105" s="204"/>
      <c r="C105" s="206" t="s">
        <v>525</v>
      </c>
      <c r="D105" s="205" t="s">
        <v>483</v>
      </c>
      <c r="E105" s="207" t="s">
        <v>511</v>
      </c>
      <c r="F105" s="399">
        <v>30011</v>
      </c>
      <c r="G105" s="312" t="s">
        <v>682</v>
      </c>
      <c r="H105" s="313" t="s">
        <v>683</v>
      </c>
      <c r="I105" s="804">
        <v>225000</v>
      </c>
      <c r="J105" s="883"/>
      <c r="K105" s="793"/>
      <c r="L105" s="793"/>
      <c r="M105" s="793">
        <f t="shared" si="62"/>
        <v>225000</v>
      </c>
      <c r="N105" s="793"/>
      <c r="O105" s="446"/>
      <c r="P105" s="906">
        <f t="shared" si="63"/>
        <v>2673.8814784787423</v>
      </c>
      <c r="Q105" s="479"/>
      <c r="R105" s="906">
        <f t="shared" si="36"/>
        <v>328.29621233386274</v>
      </c>
      <c r="S105" s="479"/>
      <c r="T105" s="906">
        <f t="shared" si="37"/>
        <v>383.89134843887683</v>
      </c>
      <c r="U105" s="479"/>
      <c r="V105" s="906">
        <f t="shared" si="38"/>
        <v>407.7178353410257</v>
      </c>
      <c r="W105" s="479"/>
      <c r="X105" s="325">
        <f t="shared" si="64"/>
        <v>24.144173394177542</v>
      </c>
      <c r="Y105" s="329"/>
      <c r="Z105" s="783"/>
      <c r="AA105" s="793">
        <f t="shared" si="60"/>
        <v>0</v>
      </c>
      <c r="AB105" s="329"/>
      <c r="AC105" s="793"/>
      <c r="AD105" s="329"/>
      <c r="AE105" s="783"/>
      <c r="AF105" s="793">
        <f t="shared" si="61"/>
        <v>0</v>
      </c>
      <c r="AG105" s="329"/>
      <c r="AH105" s="783"/>
      <c r="AI105" s="329"/>
      <c r="AJ105" s="783"/>
      <c r="AK105" s="368"/>
      <c r="AL105" s="204"/>
      <c r="AM105" s="369"/>
      <c r="AN105" s="795"/>
      <c r="AO105" s="795"/>
      <c r="AP105" s="202">
        <v>1800</v>
      </c>
      <c r="AQ105" s="807"/>
      <c r="AR105" s="807"/>
      <c r="AS105" s="807"/>
      <c r="AT105" s="807"/>
      <c r="AU105" s="807"/>
      <c r="AV105" s="807"/>
      <c r="AW105" s="805"/>
      <c r="AX105" s="314"/>
      <c r="AY105" s="314"/>
      <c r="AZ105" s="315"/>
    </row>
    <row r="106" spans="1:52" s="185" customFormat="1" ht="15.75">
      <c r="A106" s="806"/>
      <c r="B106" s="204"/>
      <c r="C106" s="206" t="s">
        <v>525</v>
      </c>
      <c r="D106" s="205" t="s">
        <v>483</v>
      </c>
      <c r="E106" s="207" t="s">
        <v>511</v>
      </c>
      <c r="F106" s="399">
        <v>30011</v>
      </c>
      <c r="G106" s="312" t="s">
        <v>682</v>
      </c>
      <c r="H106" s="313" t="s">
        <v>683</v>
      </c>
      <c r="I106" s="804">
        <v>225000</v>
      </c>
      <c r="J106" s="883"/>
      <c r="K106" s="793"/>
      <c r="L106" s="793"/>
      <c r="M106" s="793">
        <f t="shared" si="62"/>
        <v>225000</v>
      </c>
      <c r="N106" s="793"/>
      <c r="O106" s="446"/>
      <c r="P106" s="906">
        <f t="shared" si="63"/>
        <v>2673.8814784787423</v>
      </c>
      <c r="Q106" s="479"/>
      <c r="R106" s="906">
        <f t="shared" si="36"/>
        <v>328.29621233386274</v>
      </c>
      <c r="S106" s="479"/>
      <c r="T106" s="906">
        <f t="shared" si="37"/>
        <v>383.89134843887683</v>
      </c>
      <c r="U106" s="479"/>
      <c r="V106" s="906">
        <f t="shared" si="38"/>
        <v>407.7178353410257</v>
      </c>
      <c r="W106" s="479"/>
      <c r="X106" s="325">
        <f t="shared" si="64"/>
        <v>24.144173394177542</v>
      </c>
      <c r="Y106" s="329"/>
      <c r="Z106" s="783"/>
      <c r="AA106" s="793">
        <f t="shared" si="60"/>
        <v>0</v>
      </c>
      <c r="AB106" s="329"/>
      <c r="AC106" s="793"/>
      <c r="AD106" s="329"/>
      <c r="AE106" s="783"/>
      <c r="AF106" s="793">
        <f t="shared" si="61"/>
        <v>0</v>
      </c>
      <c r="AG106" s="329"/>
      <c r="AH106" s="783"/>
      <c r="AI106" s="329"/>
      <c r="AJ106" s="783"/>
      <c r="AK106" s="368"/>
      <c r="AL106" s="204"/>
      <c r="AM106" s="369"/>
      <c r="AN106" s="795"/>
      <c r="AO106" s="795"/>
      <c r="AP106" s="202">
        <v>1800</v>
      </c>
      <c r="AQ106" s="807"/>
      <c r="AR106" s="807"/>
      <c r="AS106" s="807"/>
      <c r="AT106" s="807"/>
      <c r="AU106" s="807"/>
      <c r="AV106" s="807"/>
      <c r="AW106" s="805"/>
      <c r="AX106" s="314"/>
      <c r="AY106" s="314"/>
      <c r="AZ106" s="315"/>
    </row>
    <row r="107" spans="1:52" s="185" customFormat="1" ht="15.75">
      <c r="A107" s="806"/>
      <c r="B107" s="204"/>
      <c r="C107" s="206" t="s">
        <v>525</v>
      </c>
      <c r="D107" s="205" t="s">
        <v>483</v>
      </c>
      <c r="E107" s="207" t="s">
        <v>511</v>
      </c>
      <c r="F107" s="399">
        <v>30011</v>
      </c>
      <c r="G107" s="312" t="s">
        <v>682</v>
      </c>
      <c r="H107" s="313" t="s">
        <v>683</v>
      </c>
      <c r="I107" s="804">
        <v>225000</v>
      </c>
      <c r="J107" s="883"/>
      <c r="K107" s="793"/>
      <c r="L107" s="793"/>
      <c r="M107" s="793">
        <f t="shared" si="62"/>
        <v>225000</v>
      </c>
      <c r="N107" s="793"/>
      <c r="O107" s="446"/>
      <c r="P107" s="906">
        <f t="shared" si="63"/>
        <v>2673.8814784787423</v>
      </c>
      <c r="Q107" s="479"/>
      <c r="R107" s="906">
        <f t="shared" si="36"/>
        <v>328.29621233386274</v>
      </c>
      <c r="S107" s="479"/>
      <c r="T107" s="906">
        <f t="shared" si="37"/>
        <v>383.89134843887683</v>
      </c>
      <c r="U107" s="479"/>
      <c r="V107" s="906">
        <f t="shared" si="38"/>
        <v>407.7178353410257</v>
      </c>
      <c r="W107" s="479"/>
      <c r="X107" s="325">
        <f t="shared" si="64"/>
        <v>24.144173394177542</v>
      </c>
      <c r="Y107" s="329"/>
      <c r="Z107" s="783"/>
      <c r="AA107" s="793">
        <f t="shared" si="60"/>
        <v>0</v>
      </c>
      <c r="AB107" s="329"/>
      <c r="AC107" s="793"/>
      <c r="AD107" s="329"/>
      <c r="AE107" s="783"/>
      <c r="AF107" s="793">
        <f t="shared" si="61"/>
        <v>0</v>
      </c>
      <c r="AG107" s="329"/>
      <c r="AH107" s="783"/>
      <c r="AI107" s="329"/>
      <c r="AJ107" s="783"/>
      <c r="AK107" s="368"/>
      <c r="AL107" s="204"/>
      <c r="AM107" s="369"/>
      <c r="AN107" s="795"/>
      <c r="AO107" s="795"/>
      <c r="AP107" s="202">
        <v>1800</v>
      </c>
      <c r="AQ107" s="807"/>
      <c r="AR107" s="807"/>
      <c r="AS107" s="807"/>
      <c r="AT107" s="807"/>
      <c r="AU107" s="807"/>
      <c r="AV107" s="807"/>
      <c r="AW107" s="805"/>
      <c r="AX107" s="314"/>
      <c r="AY107" s="314"/>
      <c r="AZ107" s="315"/>
    </row>
    <row r="108" spans="1:52" s="185" customFormat="1" ht="15.75">
      <c r="A108" s="806"/>
      <c r="B108" s="204"/>
      <c r="C108" s="316" t="s">
        <v>525</v>
      </c>
      <c r="D108" s="317" t="s">
        <v>483</v>
      </c>
      <c r="E108" s="318" t="s">
        <v>511</v>
      </c>
      <c r="F108" s="400">
        <v>30011</v>
      </c>
      <c r="G108" s="217" t="s">
        <v>682</v>
      </c>
      <c r="H108" s="218" t="s">
        <v>683</v>
      </c>
      <c r="I108" s="804">
        <v>225000</v>
      </c>
      <c r="J108" s="883"/>
      <c r="K108" s="793"/>
      <c r="L108" s="793"/>
      <c r="M108" s="793">
        <f t="shared" si="62"/>
        <v>225000</v>
      </c>
      <c r="N108" s="793"/>
      <c r="O108" s="446"/>
      <c r="P108" s="906">
        <f t="shared" si="63"/>
        <v>2673.8814784787423</v>
      </c>
      <c r="Q108" s="479"/>
      <c r="R108" s="906">
        <f t="shared" si="36"/>
        <v>328.29621233386274</v>
      </c>
      <c r="S108" s="479"/>
      <c r="T108" s="906">
        <f t="shared" si="37"/>
        <v>383.89134843887683</v>
      </c>
      <c r="U108" s="479"/>
      <c r="V108" s="906">
        <f t="shared" si="38"/>
        <v>407.7178353410257</v>
      </c>
      <c r="W108" s="479"/>
      <c r="X108" s="325">
        <f t="shared" si="64"/>
        <v>24.144173394177542</v>
      </c>
      <c r="Y108" s="329"/>
      <c r="Z108" s="783"/>
      <c r="AA108" s="793"/>
      <c r="AB108" s="329"/>
      <c r="AC108" s="793"/>
      <c r="AD108" s="329"/>
      <c r="AE108" s="783"/>
      <c r="AF108" s="793"/>
      <c r="AG108" s="329"/>
      <c r="AH108" s="783"/>
      <c r="AI108" s="329"/>
      <c r="AJ108" s="783"/>
      <c r="AK108" s="368"/>
      <c r="AL108" s="204"/>
      <c r="AM108" s="369"/>
      <c r="AN108" s="795"/>
      <c r="AO108" s="795"/>
      <c r="AP108" s="202"/>
      <c r="AQ108" s="807"/>
      <c r="AR108" s="807"/>
      <c r="AS108" s="807"/>
      <c r="AT108" s="807"/>
      <c r="AU108" s="807"/>
      <c r="AV108" s="807"/>
      <c r="AW108" s="805"/>
      <c r="AX108" s="314"/>
      <c r="AY108" s="314"/>
      <c r="AZ108" s="315"/>
    </row>
    <row r="109" spans="1:52" s="185" customFormat="1" ht="15.75">
      <c r="A109" s="802"/>
      <c r="B109" s="216"/>
      <c r="C109" s="316" t="s">
        <v>525</v>
      </c>
      <c r="D109" s="317" t="s">
        <v>483</v>
      </c>
      <c r="E109" s="318" t="s">
        <v>511</v>
      </c>
      <c r="F109" s="400">
        <v>30011</v>
      </c>
      <c r="G109" s="217" t="s">
        <v>682</v>
      </c>
      <c r="H109" s="412" t="s">
        <v>684</v>
      </c>
      <c r="I109" s="780">
        <v>21400</v>
      </c>
      <c r="J109" s="794"/>
      <c r="K109" s="793"/>
      <c r="L109" s="793"/>
      <c r="M109" s="793">
        <f t="shared" si="62"/>
        <v>21400</v>
      </c>
      <c r="N109" s="793"/>
      <c r="O109" s="446"/>
      <c r="P109" s="906">
        <f t="shared" si="63"/>
        <v>254.31583839753372</v>
      </c>
      <c r="Q109" s="477"/>
      <c r="R109" s="906">
        <f t="shared" si="36"/>
        <v>31.224617528642941</v>
      </c>
      <c r="S109" s="477"/>
      <c r="T109" s="906">
        <f t="shared" si="37"/>
        <v>36.512332695964282</v>
      </c>
      <c r="U109" s="477"/>
      <c r="V109" s="906">
        <f t="shared" si="38"/>
        <v>38.778496339101999</v>
      </c>
      <c r="W109" s="477"/>
      <c r="X109" s="325">
        <f t="shared" si="64"/>
        <v>2.296379158379553</v>
      </c>
      <c r="Y109" s="327"/>
      <c r="Z109" s="783"/>
      <c r="AA109" s="793">
        <f t="shared" ref="AA109:AA120" si="65">(N109/$N$131)*$AA$131</f>
        <v>0</v>
      </c>
      <c r="AB109" s="327"/>
      <c r="AC109" s="793"/>
      <c r="AD109" s="327"/>
      <c r="AE109" s="783"/>
      <c r="AF109" s="793">
        <f t="shared" ref="AF109:AF120" si="66">(N109/$N$131)*$AF$131</f>
        <v>0</v>
      </c>
      <c r="AG109" s="327"/>
      <c r="AH109" s="783"/>
      <c r="AI109" s="327"/>
      <c r="AJ109" s="783"/>
      <c r="AK109" s="368"/>
      <c r="AL109" s="216"/>
      <c r="AM109" s="369"/>
      <c r="AN109" s="795"/>
      <c r="AO109" s="795"/>
      <c r="AP109" s="202">
        <v>1800</v>
      </c>
      <c r="AQ109" s="807"/>
      <c r="AR109" s="807"/>
      <c r="AS109" s="807"/>
      <c r="AT109" s="807"/>
      <c r="AU109" s="807"/>
      <c r="AV109" s="807"/>
      <c r="AW109" s="805"/>
      <c r="AX109" s="319"/>
      <c r="AY109" s="319"/>
      <c r="AZ109" s="220"/>
    </row>
    <row r="110" spans="1:52" s="185" customFormat="1" ht="15.75">
      <c r="A110" s="659" t="s">
        <v>507</v>
      </c>
      <c r="B110" s="665" t="s">
        <v>526</v>
      </c>
      <c r="C110" s="304" t="s">
        <v>527</v>
      </c>
      <c r="D110" s="660" t="s">
        <v>528</v>
      </c>
      <c r="E110" s="305" t="s">
        <v>529</v>
      </c>
      <c r="F110" s="661">
        <v>29445</v>
      </c>
      <c r="G110" s="666" t="s">
        <v>685</v>
      </c>
      <c r="H110" s="808" t="s">
        <v>680</v>
      </c>
      <c r="I110" s="798">
        <v>50000</v>
      </c>
      <c r="J110" s="851"/>
      <c r="K110" s="781"/>
      <c r="L110" s="781"/>
      <c r="M110" s="781">
        <f t="shared" si="62"/>
        <v>50000</v>
      </c>
      <c r="N110" s="782">
        <v>93</v>
      </c>
      <c r="O110" s="446"/>
      <c r="P110" s="907">
        <f t="shared" si="63"/>
        <v>594.19588410638721</v>
      </c>
      <c r="Q110" s="476">
        <f>P110</f>
        <v>594.19588410638721</v>
      </c>
      <c r="R110" s="907">
        <f t="shared" si="36"/>
        <v>72.954713851969501</v>
      </c>
      <c r="S110" s="476">
        <f>R110</f>
        <v>72.954713851969501</v>
      </c>
      <c r="T110" s="907">
        <f t="shared" si="37"/>
        <v>85.309188541972631</v>
      </c>
      <c r="U110" s="476">
        <f>T110</f>
        <v>85.309188541972631</v>
      </c>
      <c r="V110" s="907">
        <f t="shared" si="38"/>
        <v>90.603963409116815</v>
      </c>
      <c r="W110" s="476">
        <f>V110</f>
        <v>90.603963409116815</v>
      </c>
      <c r="X110" s="284">
        <f t="shared" si="64"/>
        <v>5.3653718653727873</v>
      </c>
      <c r="Y110" s="782">
        <f>X110</f>
        <v>5.3653718653727873</v>
      </c>
      <c r="Z110" s="783"/>
      <c r="AA110" s="782">
        <f t="shared" si="65"/>
        <v>8777.0717352866886</v>
      </c>
      <c r="AB110" s="326">
        <f>AA110</f>
        <v>8777.0717352866886</v>
      </c>
      <c r="AC110" s="782">
        <f>(N110/$N$131)*$AC$131</f>
        <v>165.75094720889112</v>
      </c>
      <c r="AD110" s="326">
        <f>AC110</f>
        <v>165.75094720889112</v>
      </c>
      <c r="AE110" s="783"/>
      <c r="AF110" s="782">
        <f t="shared" si="66"/>
        <v>4899.025764081839</v>
      </c>
      <c r="AG110" s="326">
        <f>AF110</f>
        <v>4899.025764081839</v>
      </c>
      <c r="AH110" s="783"/>
      <c r="AI110" s="326">
        <f t="shared" si="39"/>
        <v>14690.277568352238</v>
      </c>
      <c r="AJ110" s="783"/>
      <c r="AK110" s="368"/>
      <c r="AL110" s="665" t="s">
        <v>526</v>
      </c>
      <c r="AM110" s="369"/>
      <c r="AN110" s="666"/>
      <c r="AO110" s="666"/>
      <c r="AP110" s="225">
        <v>166</v>
      </c>
      <c r="AQ110" s="657">
        <v>1990</v>
      </c>
      <c r="AR110" s="787">
        <v>2002</v>
      </c>
      <c r="AS110" s="657">
        <v>2000</v>
      </c>
      <c r="AT110" s="657" t="s">
        <v>586</v>
      </c>
      <c r="AU110" s="657">
        <v>1</v>
      </c>
      <c r="AV110" s="657" t="s">
        <v>579</v>
      </c>
      <c r="AW110" s="665"/>
      <c r="AX110" s="306" t="s">
        <v>580</v>
      </c>
      <c r="AY110" s="306"/>
      <c r="AZ110" s="47" t="s">
        <v>670</v>
      </c>
    </row>
    <row r="111" spans="1:52" ht="15.75">
      <c r="A111" s="373"/>
      <c r="B111" s="320" t="s">
        <v>503</v>
      </c>
      <c r="C111" s="169" t="s">
        <v>686</v>
      </c>
      <c r="D111" s="123" t="s">
        <v>505</v>
      </c>
      <c r="E111" s="321" t="s">
        <v>506</v>
      </c>
      <c r="F111" s="408">
        <v>33040</v>
      </c>
      <c r="G111" s="123" t="s">
        <v>687</v>
      </c>
      <c r="H111" s="123" t="s">
        <v>688</v>
      </c>
      <c r="I111" s="809">
        <v>1199226</v>
      </c>
      <c r="J111" s="847"/>
      <c r="K111" s="809"/>
      <c r="L111" s="809"/>
      <c r="M111" s="735">
        <f t="shared" si="62"/>
        <v>1199226</v>
      </c>
      <c r="N111" s="735"/>
      <c r="O111" s="446"/>
      <c r="P111" s="908">
        <f>((M111/$M$131)*$P$131)-26250</f>
        <v>-11998.496933732675</v>
      </c>
      <c r="Q111" s="462">
        <f>SUM(P111:P117)</f>
        <v>-9205.7762784326551</v>
      </c>
      <c r="R111" s="898">
        <f t="shared" si="36"/>
        <v>1749.7837934768393</v>
      </c>
      <c r="S111" s="462">
        <f>SUM(R111:R117)</f>
        <v>2092.6709485810957</v>
      </c>
      <c r="T111" s="898">
        <f t="shared" si="37"/>
        <v>2046.0999387687132</v>
      </c>
      <c r="U111" s="462">
        <f>SUM(T111:T117)</f>
        <v>2447.0531249159844</v>
      </c>
      <c r="V111" s="898">
        <f t="shared" si="38"/>
        <v>2173.0925724652307</v>
      </c>
      <c r="W111" s="462">
        <f>SUM(V111:V117)</f>
        <v>2598.9312004880799</v>
      </c>
      <c r="X111" s="272">
        <f t="shared" si="64"/>
        <v>128.68586881247091</v>
      </c>
      <c r="Y111" s="258">
        <f>SUM(X111:X117)</f>
        <v>153.90311657972302</v>
      </c>
      <c r="Z111" s="783"/>
      <c r="AA111" s="735">
        <f t="shared" si="65"/>
        <v>0</v>
      </c>
      <c r="AB111" s="258">
        <f>SUM(AA111:AA117)</f>
        <v>0</v>
      </c>
      <c r="AC111" s="735">
        <f>(N111/$N$131)*$AC$131</f>
        <v>0</v>
      </c>
      <c r="AD111" s="258">
        <f>SUM(AC111:AC117)</f>
        <v>0</v>
      </c>
      <c r="AE111" s="783"/>
      <c r="AF111" s="735">
        <f t="shared" si="66"/>
        <v>0</v>
      </c>
      <c r="AG111" s="258">
        <f>SUM(AF111:AF117)</f>
        <v>0</v>
      </c>
      <c r="AH111" s="783"/>
      <c r="AI111" s="258">
        <f t="shared" si="39"/>
        <v>-1913.2178878677721</v>
      </c>
      <c r="AJ111" s="783"/>
      <c r="AK111" s="368"/>
      <c r="AL111" s="320" t="s">
        <v>22</v>
      </c>
      <c r="AM111" s="369"/>
      <c r="AN111" s="711"/>
      <c r="AO111" s="711"/>
      <c r="AP111" s="100"/>
      <c r="AQ111" s="738"/>
      <c r="AR111" s="738"/>
      <c r="AS111" s="738"/>
      <c r="AT111" s="738"/>
      <c r="AU111" s="738"/>
      <c r="AV111" s="738"/>
      <c r="AW111" s="739"/>
      <c r="AX111" s="170" t="s">
        <v>587</v>
      </c>
      <c r="AY111" s="711" t="s">
        <v>588</v>
      </c>
      <c r="AZ111" s="123" t="s">
        <v>689</v>
      </c>
    </row>
    <row r="112" spans="1:52" ht="15.75">
      <c r="A112" s="810"/>
      <c r="B112" s="320" t="s">
        <v>690</v>
      </c>
      <c r="C112" s="169"/>
      <c r="D112" s="123"/>
      <c r="E112" s="321"/>
      <c r="F112" s="408"/>
      <c r="G112" s="123"/>
      <c r="H112" s="123" t="s">
        <v>640</v>
      </c>
      <c r="I112" s="809"/>
      <c r="J112" s="809"/>
      <c r="K112" s="809"/>
      <c r="L112" s="809"/>
      <c r="M112" s="735">
        <f t="shared" si="62"/>
        <v>0</v>
      </c>
      <c r="N112" s="735"/>
      <c r="O112" s="446"/>
      <c r="P112" s="898">
        <f t="shared" si="63"/>
        <v>0</v>
      </c>
      <c r="Q112" s="463"/>
      <c r="R112" s="898">
        <f t="shared" si="36"/>
        <v>0</v>
      </c>
      <c r="S112" s="463"/>
      <c r="T112" s="898">
        <f t="shared" si="37"/>
        <v>0</v>
      </c>
      <c r="U112" s="463"/>
      <c r="V112" s="898">
        <f t="shared" si="38"/>
        <v>0</v>
      </c>
      <c r="W112" s="463"/>
      <c r="X112" s="272">
        <f t="shared" si="64"/>
        <v>0</v>
      </c>
      <c r="Y112" s="273"/>
      <c r="Z112" s="783"/>
      <c r="AA112" s="735">
        <f t="shared" si="65"/>
        <v>0</v>
      </c>
      <c r="AB112" s="273"/>
      <c r="AC112" s="735"/>
      <c r="AD112" s="273"/>
      <c r="AE112" s="783"/>
      <c r="AF112" s="735">
        <f t="shared" si="66"/>
        <v>0</v>
      </c>
      <c r="AG112" s="273"/>
      <c r="AH112" s="783"/>
      <c r="AI112" s="273"/>
      <c r="AJ112" s="783"/>
      <c r="AK112" s="368"/>
      <c r="AL112" s="320"/>
      <c r="AM112" s="369"/>
      <c r="AN112" s="711"/>
      <c r="AO112" s="711"/>
      <c r="AP112" s="100"/>
      <c r="AQ112" s="738"/>
      <c r="AR112" s="738"/>
      <c r="AS112" s="738"/>
      <c r="AT112" s="738"/>
      <c r="AU112" s="738"/>
      <c r="AV112" s="738"/>
      <c r="AW112" s="739"/>
      <c r="AX112" s="170"/>
      <c r="AY112" s="170"/>
      <c r="AZ112" s="123"/>
    </row>
    <row r="113" spans="1:54" ht="15.75">
      <c r="A113" s="810"/>
      <c r="B113" s="320" t="s">
        <v>691</v>
      </c>
      <c r="C113" s="169"/>
      <c r="D113" s="123"/>
      <c r="E113" s="321"/>
      <c r="F113" s="408"/>
      <c r="G113" s="123"/>
      <c r="H113" s="123" t="s">
        <v>692</v>
      </c>
      <c r="I113" s="809"/>
      <c r="J113" s="809"/>
      <c r="K113" s="809"/>
      <c r="L113" s="809"/>
      <c r="M113" s="735">
        <f t="shared" si="62"/>
        <v>0</v>
      </c>
      <c r="N113" s="735"/>
      <c r="O113" s="446"/>
      <c r="P113" s="898">
        <f t="shared" si="63"/>
        <v>0</v>
      </c>
      <c r="Q113" s="463"/>
      <c r="R113" s="898">
        <f t="shared" si="36"/>
        <v>0</v>
      </c>
      <c r="S113" s="463"/>
      <c r="T113" s="898">
        <f t="shared" si="37"/>
        <v>0</v>
      </c>
      <c r="U113" s="463"/>
      <c r="V113" s="898">
        <f t="shared" si="38"/>
        <v>0</v>
      </c>
      <c r="W113" s="463"/>
      <c r="X113" s="272">
        <f t="shared" si="64"/>
        <v>0</v>
      </c>
      <c r="Y113" s="273"/>
      <c r="Z113" s="783"/>
      <c r="AA113" s="735">
        <f t="shared" si="65"/>
        <v>0</v>
      </c>
      <c r="AB113" s="273"/>
      <c r="AC113" s="735"/>
      <c r="AD113" s="273"/>
      <c r="AE113" s="783"/>
      <c r="AF113" s="735">
        <f t="shared" si="66"/>
        <v>0</v>
      </c>
      <c r="AG113" s="273"/>
      <c r="AH113" s="783"/>
      <c r="AI113" s="273"/>
      <c r="AJ113" s="783"/>
      <c r="AK113" s="368"/>
      <c r="AL113" s="320"/>
      <c r="AM113" s="369"/>
      <c r="AN113" s="711"/>
      <c r="AO113" s="711"/>
      <c r="AP113" s="100"/>
      <c r="AQ113" s="738"/>
      <c r="AR113" s="738"/>
      <c r="AS113" s="738"/>
      <c r="AT113" s="738"/>
      <c r="AU113" s="738"/>
      <c r="AV113" s="738"/>
      <c r="AW113" s="739"/>
      <c r="AX113" s="170"/>
      <c r="AY113" s="170"/>
      <c r="AZ113" s="123"/>
    </row>
    <row r="114" spans="1:54" ht="15.75">
      <c r="A114" s="810"/>
      <c r="B114" s="320"/>
      <c r="C114" s="169"/>
      <c r="D114" s="123"/>
      <c r="E114" s="321"/>
      <c r="F114" s="408"/>
      <c r="G114" s="123"/>
      <c r="H114" s="123"/>
      <c r="I114" s="809"/>
      <c r="J114" s="809"/>
      <c r="K114" s="809"/>
      <c r="L114" s="809"/>
      <c r="M114" s="735">
        <f t="shared" si="62"/>
        <v>0</v>
      </c>
      <c r="N114" s="735"/>
      <c r="O114" s="446"/>
      <c r="P114" s="898">
        <f t="shared" si="63"/>
        <v>0</v>
      </c>
      <c r="Q114" s="463"/>
      <c r="R114" s="898">
        <f t="shared" si="36"/>
        <v>0</v>
      </c>
      <c r="S114" s="463"/>
      <c r="T114" s="898">
        <f t="shared" si="37"/>
        <v>0</v>
      </c>
      <c r="U114" s="463"/>
      <c r="V114" s="898">
        <f t="shared" si="38"/>
        <v>0</v>
      </c>
      <c r="W114" s="463"/>
      <c r="X114" s="272">
        <f t="shared" si="64"/>
        <v>0</v>
      </c>
      <c r="Y114" s="273"/>
      <c r="Z114" s="783"/>
      <c r="AA114" s="735">
        <f t="shared" si="65"/>
        <v>0</v>
      </c>
      <c r="AB114" s="273"/>
      <c r="AC114" s="735"/>
      <c r="AD114" s="273"/>
      <c r="AE114" s="783"/>
      <c r="AF114" s="735">
        <f t="shared" si="66"/>
        <v>0</v>
      </c>
      <c r="AG114" s="273"/>
      <c r="AH114" s="783"/>
      <c r="AI114" s="273"/>
      <c r="AJ114" s="783"/>
      <c r="AK114" s="368"/>
      <c r="AL114" s="320"/>
      <c r="AM114" s="369"/>
      <c r="AN114" s="711"/>
      <c r="AO114" s="711"/>
      <c r="AP114" s="100"/>
      <c r="AQ114" s="738"/>
      <c r="AR114" s="738"/>
      <c r="AS114" s="738"/>
      <c r="AT114" s="738"/>
      <c r="AU114" s="738"/>
      <c r="AV114" s="738"/>
      <c r="AW114" s="739"/>
      <c r="AX114" s="170"/>
      <c r="AY114" s="170"/>
      <c r="AZ114" s="123"/>
    </row>
    <row r="115" spans="1:54" ht="15.75">
      <c r="A115" s="810"/>
      <c r="B115" s="320" t="s">
        <v>503</v>
      </c>
      <c r="C115" s="169" t="s">
        <v>693</v>
      </c>
      <c r="D115" s="123" t="s">
        <v>505</v>
      </c>
      <c r="E115" s="321" t="s">
        <v>506</v>
      </c>
      <c r="F115" s="408">
        <v>33040</v>
      </c>
      <c r="G115" s="123" t="s">
        <v>687</v>
      </c>
      <c r="H115" s="123" t="s">
        <v>598</v>
      </c>
      <c r="I115" s="809">
        <v>235000</v>
      </c>
      <c r="J115" s="809"/>
      <c r="K115" s="809"/>
      <c r="L115" s="809"/>
      <c r="M115" s="735">
        <f t="shared" si="62"/>
        <v>235000</v>
      </c>
      <c r="N115" s="735"/>
      <c r="O115" s="446"/>
      <c r="P115" s="898">
        <f t="shared" si="63"/>
        <v>2792.7206553000196</v>
      </c>
      <c r="Q115" s="463"/>
      <c r="R115" s="898">
        <f t="shared" si="36"/>
        <v>342.88715510425658</v>
      </c>
      <c r="S115" s="463"/>
      <c r="T115" s="898">
        <f t="shared" si="37"/>
        <v>400.95318614727131</v>
      </c>
      <c r="U115" s="463"/>
      <c r="V115" s="898">
        <f t="shared" si="38"/>
        <v>425.83862802284904</v>
      </c>
      <c r="W115" s="463"/>
      <c r="X115" s="272">
        <f t="shared" si="64"/>
        <v>25.217247767252097</v>
      </c>
      <c r="Y115" s="273"/>
      <c r="Z115" s="783"/>
      <c r="AA115" s="735">
        <f t="shared" si="65"/>
        <v>0</v>
      </c>
      <c r="AB115" s="273"/>
      <c r="AC115" s="735"/>
      <c r="AD115" s="273"/>
      <c r="AE115" s="783"/>
      <c r="AF115" s="735">
        <f t="shared" si="66"/>
        <v>0</v>
      </c>
      <c r="AG115" s="273"/>
      <c r="AH115" s="783"/>
      <c r="AI115" s="273"/>
      <c r="AJ115" s="783"/>
      <c r="AK115" s="368"/>
      <c r="AL115" s="320"/>
      <c r="AM115" s="369"/>
      <c r="AN115" s="711"/>
      <c r="AO115" s="711"/>
      <c r="AP115" s="100">
        <v>1217</v>
      </c>
      <c r="AQ115" s="738">
        <v>1966</v>
      </c>
      <c r="AR115" s="738">
        <v>2008</v>
      </c>
      <c r="AS115" s="738">
        <v>2008</v>
      </c>
      <c r="AT115" s="738" t="s">
        <v>586</v>
      </c>
      <c r="AU115" s="738">
        <v>2</v>
      </c>
      <c r="AV115" s="738"/>
      <c r="AW115" s="739"/>
      <c r="AX115" s="170"/>
      <c r="AY115" s="711" t="s">
        <v>588</v>
      </c>
      <c r="AZ115" s="123"/>
      <c r="BA115" s="156"/>
    </row>
    <row r="116" spans="1:54" ht="15.75">
      <c r="A116" s="741"/>
      <c r="B116" s="320"/>
      <c r="C116" s="169"/>
      <c r="D116" s="123"/>
      <c r="E116" s="321"/>
      <c r="F116" s="408"/>
      <c r="G116" s="123"/>
      <c r="H116" s="123"/>
      <c r="I116" s="809"/>
      <c r="J116" s="809"/>
      <c r="K116" s="809"/>
      <c r="L116" s="809"/>
      <c r="M116" s="735">
        <f t="shared" si="62"/>
        <v>0</v>
      </c>
      <c r="N116" s="735"/>
      <c r="O116" s="446"/>
      <c r="P116" s="898">
        <f t="shared" si="63"/>
        <v>0</v>
      </c>
      <c r="Q116" s="463"/>
      <c r="R116" s="898">
        <f t="shared" si="36"/>
        <v>0</v>
      </c>
      <c r="S116" s="463"/>
      <c r="T116" s="898">
        <f t="shared" si="37"/>
        <v>0</v>
      </c>
      <c r="U116" s="463"/>
      <c r="V116" s="898">
        <f t="shared" si="38"/>
        <v>0</v>
      </c>
      <c r="W116" s="463"/>
      <c r="X116" s="272">
        <f t="shared" si="64"/>
        <v>0</v>
      </c>
      <c r="Y116" s="273"/>
      <c r="Z116" s="783"/>
      <c r="AA116" s="735">
        <f t="shared" si="65"/>
        <v>0</v>
      </c>
      <c r="AB116" s="273"/>
      <c r="AC116" s="735"/>
      <c r="AD116" s="273"/>
      <c r="AE116" s="783"/>
      <c r="AF116" s="735">
        <f t="shared" si="66"/>
        <v>0</v>
      </c>
      <c r="AG116" s="273"/>
      <c r="AH116" s="783"/>
      <c r="AI116" s="273"/>
      <c r="AJ116" s="783"/>
      <c r="AK116" s="368"/>
      <c r="AL116" s="320"/>
      <c r="AM116" s="369"/>
      <c r="AN116" s="711"/>
      <c r="AO116" s="711"/>
      <c r="AP116" s="100"/>
      <c r="AQ116" s="738"/>
      <c r="AR116" s="738"/>
      <c r="AS116" s="738"/>
      <c r="AT116" s="738"/>
      <c r="AU116" s="738"/>
      <c r="AV116" s="738"/>
      <c r="AW116" s="739"/>
      <c r="AX116" s="170" t="s">
        <v>587</v>
      </c>
      <c r="AY116" s="170"/>
      <c r="AZ116" s="123" t="s">
        <v>689</v>
      </c>
      <c r="BA116" s="156"/>
    </row>
    <row r="117" spans="1:54" ht="15.75">
      <c r="A117" s="811"/>
      <c r="B117" s="322"/>
      <c r="C117" s="208"/>
      <c r="D117" s="28"/>
      <c r="E117" s="208"/>
      <c r="F117" s="411"/>
      <c r="G117" s="28"/>
      <c r="H117" s="28"/>
      <c r="I117" s="809"/>
      <c r="J117" s="809"/>
      <c r="K117" s="809"/>
      <c r="L117" s="809"/>
      <c r="M117" s="735">
        <f t="shared" si="62"/>
        <v>0</v>
      </c>
      <c r="N117" s="735"/>
      <c r="O117" s="446"/>
      <c r="P117" s="898">
        <f t="shared" si="63"/>
        <v>0</v>
      </c>
      <c r="Q117" s="470"/>
      <c r="R117" s="898">
        <f t="shared" si="36"/>
        <v>0</v>
      </c>
      <c r="S117" s="470"/>
      <c r="T117" s="898">
        <f t="shared" si="37"/>
        <v>0</v>
      </c>
      <c r="U117" s="470"/>
      <c r="V117" s="898">
        <f t="shared" si="38"/>
        <v>0</v>
      </c>
      <c r="W117" s="470"/>
      <c r="X117" s="272">
        <f t="shared" si="64"/>
        <v>0</v>
      </c>
      <c r="Y117" s="261"/>
      <c r="Z117" s="783"/>
      <c r="AA117" s="735">
        <f t="shared" si="65"/>
        <v>0</v>
      </c>
      <c r="AB117" s="261"/>
      <c r="AC117" s="735"/>
      <c r="AD117" s="261"/>
      <c r="AE117" s="783"/>
      <c r="AF117" s="735">
        <f t="shared" si="66"/>
        <v>0</v>
      </c>
      <c r="AG117" s="261"/>
      <c r="AH117" s="783"/>
      <c r="AI117" s="261"/>
      <c r="AJ117" s="783"/>
      <c r="AK117" s="368"/>
      <c r="AL117" s="322"/>
      <c r="AM117" s="369"/>
      <c r="AN117" s="711"/>
      <c r="AO117" s="711"/>
      <c r="AP117" s="100"/>
      <c r="AQ117" s="738"/>
      <c r="AR117" s="738"/>
      <c r="AS117" s="738"/>
      <c r="AT117" s="738"/>
      <c r="AU117" s="738"/>
      <c r="AV117" s="738"/>
      <c r="AW117" s="739"/>
      <c r="AX117" s="154"/>
      <c r="AY117" s="154"/>
      <c r="AZ117" s="28"/>
      <c r="BA117" s="156"/>
    </row>
    <row r="118" spans="1:54" s="185" customFormat="1" ht="15.75">
      <c r="A118" s="659" t="s">
        <v>530</v>
      </c>
      <c r="B118" s="666" t="s">
        <v>531</v>
      </c>
      <c r="C118" s="666" t="s">
        <v>532</v>
      </c>
      <c r="D118" s="666" t="s">
        <v>533</v>
      </c>
      <c r="E118" s="667" t="s">
        <v>529</v>
      </c>
      <c r="F118" s="668">
        <v>29486</v>
      </c>
      <c r="G118" s="666" t="s">
        <v>694</v>
      </c>
      <c r="H118" s="666" t="s">
        <v>585</v>
      </c>
      <c r="I118" s="812">
        <v>50000</v>
      </c>
      <c r="J118" s="850"/>
      <c r="K118" s="812"/>
      <c r="L118" s="812"/>
      <c r="M118" s="781">
        <f t="shared" si="62"/>
        <v>50000</v>
      </c>
      <c r="N118" s="781">
        <v>91</v>
      </c>
      <c r="O118" s="446"/>
      <c r="P118" s="907">
        <f t="shared" si="63"/>
        <v>594.19588410638721</v>
      </c>
      <c r="Q118" s="473">
        <f>P118</f>
        <v>594.19588410638721</v>
      </c>
      <c r="R118" s="907">
        <f t="shared" si="36"/>
        <v>72.954713851969501</v>
      </c>
      <c r="S118" s="473">
        <f>R118</f>
        <v>72.954713851969501</v>
      </c>
      <c r="T118" s="907">
        <f t="shared" si="37"/>
        <v>85.309188541972631</v>
      </c>
      <c r="U118" s="473">
        <f>T118</f>
        <v>85.309188541972631</v>
      </c>
      <c r="V118" s="907">
        <f t="shared" si="38"/>
        <v>90.603963409116815</v>
      </c>
      <c r="W118" s="473">
        <f>V118</f>
        <v>90.603963409116815</v>
      </c>
      <c r="X118" s="284">
        <f t="shared" si="64"/>
        <v>5.3653718653727873</v>
      </c>
      <c r="Y118" s="781">
        <f>X118</f>
        <v>5.3653718653727873</v>
      </c>
      <c r="Z118" s="783"/>
      <c r="AA118" s="781">
        <f t="shared" si="65"/>
        <v>8588.3175044203072</v>
      </c>
      <c r="AB118" s="287">
        <f>AA118</f>
        <v>8588.3175044203072</v>
      </c>
      <c r="AC118" s="781">
        <f>(N118/$N$131)*$AC$131</f>
        <v>162.18641070977517</v>
      </c>
      <c r="AD118" s="287">
        <f>AC118</f>
        <v>162.18641070977517</v>
      </c>
      <c r="AE118" s="783"/>
      <c r="AF118" s="781">
        <f t="shared" si="66"/>
        <v>4793.6703713058851</v>
      </c>
      <c r="AG118" s="287">
        <f>AF118</f>
        <v>4793.6703713058851</v>
      </c>
      <c r="AH118" s="783"/>
      <c r="AI118" s="287">
        <f t="shared" si="39"/>
        <v>14392.603408210787</v>
      </c>
      <c r="AJ118" s="783"/>
      <c r="AK118" s="368"/>
      <c r="AL118" s="666" t="s">
        <v>531</v>
      </c>
      <c r="AM118" s="369"/>
      <c r="AN118" s="666"/>
      <c r="AO118" s="666"/>
      <c r="AP118" s="814"/>
      <c r="AQ118" s="667">
        <v>2002</v>
      </c>
      <c r="AR118" s="667"/>
      <c r="AS118" s="667"/>
      <c r="AT118" s="667" t="s">
        <v>578</v>
      </c>
      <c r="AU118" s="667">
        <v>1</v>
      </c>
      <c r="AV118" s="667"/>
      <c r="AW118" s="665"/>
      <c r="AX118" s="667" t="s">
        <v>580</v>
      </c>
      <c r="AY118" s="529" t="s">
        <v>695</v>
      </c>
      <c r="AZ118" s="47" t="s">
        <v>670</v>
      </c>
      <c r="BA118" s="232"/>
      <c r="BB118" s="233"/>
    </row>
    <row r="119" spans="1:54" s="234" customFormat="1" ht="15.75">
      <c r="A119" s="788" t="s">
        <v>530</v>
      </c>
      <c r="B119" s="795" t="s">
        <v>534</v>
      </c>
      <c r="C119" s="795" t="s">
        <v>535</v>
      </c>
      <c r="D119" s="795" t="s">
        <v>536</v>
      </c>
      <c r="E119" s="807" t="s">
        <v>529</v>
      </c>
      <c r="F119" s="815">
        <v>29170</v>
      </c>
      <c r="G119" s="795" t="s">
        <v>696</v>
      </c>
      <c r="H119" s="795" t="s">
        <v>585</v>
      </c>
      <c r="I119" s="813">
        <v>120000</v>
      </c>
      <c r="J119" s="850"/>
      <c r="K119" s="816"/>
      <c r="L119" s="816"/>
      <c r="M119" s="793">
        <f t="shared" si="62"/>
        <v>120000</v>
      </c>
      <c r="N119" s="793">
        <v>90</v>
      </c>
      <c r="O119" s="446"/>
      <c r="P119" s="905">
        <f t="shared" si="63"/>
        <v>1426.0701218553293</v>
      </c>
      <c r="Q119" s="909">
        <f>P119</f>
        <v>1426.0701218553293</v>
      </c>
      <c r="R119" s="905">
        <f t="shared" si="36"/>
        <v>175.09131324472679</v>
      </c>
      <c r="S119" s="909">
        <f>R119</f>
        <v>175.09131324472679</v>
      </c>
      <c r="T119" s="905">
        <f t="shared" si="37"/>
        <v>204.74205250073427</v>
      </c>
      <c r="U119" s="909">
        <f>T119</f>
        <v>204.74205250073427</v>
      </c>
      <c r="V119" s="905">
        <f t="shared" si="38"/>
        <v>217.44951218188035</v>
      </c>
      <c r="W119" s="909">
        <f>V119</f>
        <v>217.44951218188035</v>
      </c>
      <c r="X119" s="325">
        <f t="shared" si="64"/>
        <v>12.876892476894689</v>
      </c>
      <c r="Y119" s="793">
        <f>X119</f>
        <v>12.876892476894689</v>
      </c>
      <c r="Z119" s="783"/>
      <c r="AA119" s="793">
        <f t="shared" si="65"/>
        <v>8493.9403889871191</v>
      </c>
      <c r="AB119" s="793">
        <f>AA119</f>
        <v>8493.9403889871191</v>
      </c>
      <c r="AC119" s="793">
        <f>(N119/$N$131)*$AC$131</f>
        <v>160.40414246021723</v>
      </c>
      <c r="AD119" s="793">
        <f>AC119</f>
        <v>160.40414246021723</v>
      </c>
      <c r="AE119" s="783"/>
      <c r="AF119" s="793">
        <f t="shared" si="66"/>
        <v>4740.9926749179085</v>
      </c>
      <c r="AG119" s="793">
        <f>AF119</f>
        <v>4740.9926749179085</v>
      </c>
      <c r="AH119" s="783"/>
      <c r="AI119" s="793">
        <f t="shared" si="39"/>
        <v>15431.56709862481</v>
      </c>
      <c r="AJ119" s="783"/>
      <c r="AK119" s="368"/>
      <c r="AL119" s="795" t="s">
        <v>534</v>
      </c>
      <c r="AM119" s="369"/>
      <c r="AN119" s="795"/>
      <c r="AO119" s="795"/>
      <c r="AP119" s="817"/>
      <c r="AQ119" s="807">
        <v>1977</v>
      </c>
      <c r="AR119" s="807"/>
      <c r="AS119" s="807"/>
      <c r="AT119" s="807" t="s">
        <v>578</v>
      </c>
      <c r="AU119" s="807">
        <v>1</v>
      </c>
      <c r="AV119" s="807"/>
      <c r="AW119" s="805"/>
      <c r="AX119" s="807" t="s">
        <v>580</v>
      </c>
      <c r="AY119" s="807"/>
      <c r="AZ119" s="21" t="s">
        <v>670</v>
      </c>
      <c r="BA119" s="232"/>
      <c r="BB119" s="233"/>
    </row>
    <row r="120" spans="1:54" s="235" customFormat="1" ht="15.75">
      <c r="A120" s="669" t="s">
        <v>530</v>
      </c>
      <c r="B120" s="670" t="s">
        <v>537</v>
      </c>
      <c r="C120" s="307" t="s">
        <v>538</v>
      </c>
      <c r="D120" s="671" t="s">
        <v>533</v>
      </c>
      <c r="E120" s="308" t="s">
        <v>529</v>
      </c>
      <c r="F120" s="672">
        <v>29483</v>
      </c>
      <c r="G120" s="818" t="s">
        <v>533</v>
      </c>
      <c r="H120" s="819"/>
      <c r="I120" s="780">
        <v>134000</v>
      </c>
      <c r="J120" s="851"/>
      <c r="K120" s="820"/>
      <c r="L120" s="820"/>
      <c r="M120" s="820">
        <f t="shared" si="62"/>
        <v>134000</v>
      </c>
      <c r="N120" s="821">
        <v>75</v>
      </c>
      <c r="O120" s="446"/>
      <c r="P120" s="910">
        <f t="shared" si="63"/>
        <v>1592.4449694051175</v>
      </c>
      <c r="Q120" s="911">
        <f>P120</f>
        <v>1592.4449694051175</v>
      </c>
      <c r="R120" s="910">
        <f t="shared" si="36"/>
        <v>195.51863312327822</v>
      </c>
      <c r="S120" s="911">
        <f>R120</f>
        <v>195.51863312327822</v>
      </c>
      <c r="T120" s="910">
        <f t="shared" si="37"/>
        <v>228.62862529248662</v>
      </c>
      <c r="U120" s="911">
        <f>T120</f>
        <v>228.62862529248662</v>
      </c>
      <c r="V120" s="910">
        <f t="shared" si="38"/>
        <v>242.81862193643306</v>
      </c>
      <c r="W120" s="911">
        <f>V120</f>
        <v>242.81862193643306</v>
      </c>
      <c r="X120" s="487">
        <f t="shared" si="64"/>
        <v>14.379196599199069</v>
      </c>
      <c r="Y120" s="821">
        <f>X120</f>
        <v>14.379196599199069</v>
      </c>
      <c r="Z120" s="783"/>
      <c r="AA120" s="821">
        <f t="shared" si="65"/>
        <v>7078.2836574892644</v>
      </c>
      <c r="AB120" s="821">
        <f>AA120</f>
        <v>7078.2836574892644</v>
      </c>
      <c r="AC120" s="821">
        <f>(N120/$N$131)*$AC$131</f>
        <v>133.67011871684767</v>
      </c>
      <c r="AD120" s="821">
        <f>AC120</f>
        <v>133.67011871684767</v>
      </c>
      <c r="AE120" s="783"/>
      <c r="AF120" s="821">
        <f t="shared" si="66"/>
        <v>3950.8272290982568</v>
      </c>
      <c r="AG120" s="821">
        <f>AF120</f>
        <v>3950.8272290982568</v>
      </c>
      <c r="AH120" s="783"/>
      <c r="AI120" s="821">
        <f t="shared" si="39"/>
        <v>13436.571051660883</v>
      </c>
      <c r="AJ120" s="783"/>
      <c r="AK120" s="368"/>
      <c r="AL120" s="670" t="s">
        <v>537</v>
      </c>
      <c r="AM120" s="369"/>
      <c r="AN120" s="818"/>
      <c r="AO120" s="818"/>
      <c r="AP120" s="309">
        <v>1200</v>
      </c>
      <c r="AQ120" s="822">
        <v>1980</v>
      </c>
      <c r="AR120" s="823">
        <v>2019</v>
      </c>
      <c r="AS120" s="822">
        <v>2014</v>
      </c>
      <c r="AT120" s="822" t="s">
        <v>586</v>
      </c>
      <c r="AU120" s="822">
        <v>1</v>
      </c>
      <c r="AV120" s="822" t="s">
        <v>697</v>
      </c>
      <c r="AW120" s="670"/>
      <c r="AX120" s="310" t="s">
        <v>580</v>
      </c>
      <c r="AY120" s="310"/>
      <c r="AZ120" s="47" t="s">
        <v>670</v>
      </c>
    </row>
    <row r="121" spans="1:54" s="235" customFormat="1" ht="15.75">
      <c r="A121" s="669" t="s">
        <v>530</v>
      </c>
      <c r="B121" s="670" t="s">
        <v>698</v>
      </c>
      <c r="C121" s="307" t="s">
        <v>699</v>
      </c>
      <c r="D121" s="671" t="s">
        <v>700</v>
      </c>
      <c r="E121" s="308" t="s">
        <v>529</v>
      </c>
      <c r="F121" s="672">
        <v>29644</v>
      </c>
      <c r="G121" s="868"/>
      <c r="H121" s="869"/>
      <c r="I121" s="780"/>
      <c r="J121" s="883"/>
      <c r="K121" s="820"/>
      <c r="L121" s="820"/>
      <c r="M121" s="820">
        <f>SUM(I121:L121)</f>
        <v>0</v>
      </c>
      <c r="N121" s="821">
        <v>129</v>
      </c>
      <c r="O121" s="446"/>
      <c r="P121" s="910">
        <f>(M121/$M$131)*$P$131</f>
        <v>0</v>
      </c>
      <c r="Q121" s="911">
        <f>P121</f>
        <v>0</v>
      </c>
      <c r="R121" s="910">
        <f t="shared" ref="R121" si="67">(M121/$M$131)*$R$131</f>
        <v>0</v>
      </c>
      <c r="S121" s="911">
        <f>R121</f>
        <v>0</v>
      </c>
      <c r="T121" s="910">
        <f t="shared" ref="T121" si="68">(M121/$M$131)*$T$131</f>
        <v>0</v>
      </c>
      <c r="U121" s="911">
        <f>T121</f>
        <v>0</v>
      </c>
      <c r="V121" s="910">
        <f t="shared" ref="V121" si="69">(M121/$M$131)*$V$131</f>
        <v>0</v>
      </c>
      <c r="W121" s="911">
        <f>V121</f>
        <v>0</v>
      </c>
      <c r="X121" s="487">
        <f t="shared" ref="X121" si="70">(M121/$M$131)*$X$131</f>
        <v>0</v>
      </c>
      <c r="Y121" s="821">
        <f>X121</f>
        <v>0</v>
      </c>
      <c r="Z121" s="783"/>
      <c r="AA121" s="821">
        <f>(N121/$N$131)*$AA$131</f>
        <v>12174.647890881537</v>
      </c>
      <c r="AB121" s="821">
        <f>AA121</f>
        <v>12174.647890881537</v>
      </c>
      <c r="AC121" s="821">
        <f>(N121/$N$131)*$AC$131</f>
        <v>229.91260419297805</v>
      </c>
      <c r="AD121" s="821">
        <f>AC121</f>
        <v>229.91260419297805</v>
      </c>
      <c r="AE121" s="783"/>
      <c r="AF121" s="821">
        <f t="shared" ref="AF121" si="71">(N121/$N$131)*$AF$131</f>
        <v>6795.4228340490026</v>
      </c>
      <c r="AG121" s="821">
        <f>AF121</f>
        <v>6795.4228340490026</v>
      </c>
      <c r="AH121" s="783"/>
      <c r="AI121" s="821">
        <f t="shared" ref="AI121" si="72">Q121+S121+U121+W121+Y121+AB121+AD121+AG121</f>
        <v>19199.983329123519</v>
      </c>
      <c r="AJ121" s="860"/>
      <c r="AK121" s="861"/>
      <c r="AL121" s="859"/>
      <c r="AM121" s="861"/>
      <c r="AP121" s="862"/>
      <c r="AQ121" s="863"/>
      <c r="AR121" s="864"/>
      <c r="AS121" s="863"/>
      <c r="AT121" s="863"/>
      <c r="AU121" s="863"/>
      <c r="AV121" s="863"/>
      <c r="AW121" s="859"/>
      <c r="AX121" s="865"/>
      <c r="AY121" s="865"/>
      <c r="AZ121"/>
    </row>
    <row r="122" spans="1:54" s="235" customFormat="1" ht="15.75">
      <c r="A122" s="669" t="s">
        <v>530</v>
      </c>
      <c r="B122" s="670" t="s">
        <v>701</v>
      </c>
      <c r="C122" s="307" t="s">
        <v>702</v>
      </c>
      <c r="D122" s="671" t="s">
        <v>544</v>
      </c>
      <c r="E122" s="308" t="s">
        <v>375</v>
      </c>
      <c r="F122" s="672">
        <v>64746</v>
      </c>
      <c r="G122" s="867"/>
      <c r="H122" s="869"/>
      <c r="I122" s="780"/>
      <c r="J122" s="883"/>
      <c r="K122" s="820"/>
      <c r="L122" s="820"/>
      <c r="M122" s="820">
        <f>SUM(I122:L122)</f>
        <v>0</v>
      </c>
      <c r="N122" s="821">
        <v>230</v>
      </c>
      <c r="O122" s="446"/>
      <c r="P122" s="910">
        <f>(M122/$M$131)*$P$131</f>
        <v>0</v>
      </c>
      <c r="Q122" s="911">
        <f>P122</f>
        <v>0</v>
      </c>
      <c r="R122" s="910">
        <f t="shared" ref="R122" si="73">(M122/$M$131)*$R$131</f>
        <v>0</v>
      </c>
      <c r="S122" s="911">
        <f>R122</f>
        <v>0</v>
      </c>
      <c r="T122" s="910">
        <f t="shared" ref="T122" si="74">(M122/$M$131)*$T$131</f>
        <v>0</v>
      </c>
      <c r="U122" s="911">
        <f>T122</f>
        <v>0</v>
      </c>
      <c r="V122" s="910">
        <f t="shared" ref="V122" si="75">(M122/$M$131)*$V$131</f>
        <v>0</v>
      </c>
      <c r="W122" s="911">
        <f>V122</f>
        <v>0</v>
      </c>
      <c r="X122" s="487">
        <f t="shared" ref="X122" si="76">(M122/$M$131)*$X$131</f>
        <v>0</v>
      </c>
      <c r="Y122" s="821">
        <f>X122</f>
        <v>0</v>
      </c>
      <c r="Z122" s="783"/>
      <c r="AA122" s="821">
        <f>(N122/$N$131)*$AA$131</f>
        <v>21706.736549633748</v>
      </c>
      <c r="AB122" s="821">
        <f>AA122</f>
        <v>21706.736549633748</v>
      </c>
      <c r="AC122" s="821">
        <f>(N122/$N$131)*$AC$131</f>
        <v>409.92169739833292</v>
      </c>
      <c r="AD122" s="821">
        <f>AC122</f>
        <v>409.92169739833292</v>
      </c>
      <c r="AE122" s="783"/>
      <c r="AF122" s="821">
        <f t="shared" ref="AF122" si="77">(N122/$N$131)*$AF$131</f>
        <v>12115.870169234655</v>
      </c>
      <c r="AG122" s="821">
        <f>AF122</f>
        <v>12115.870169234655</v>
      </c>
      <c r="AH122" s="783"/>
      <c r="AI122" s="821">
        <f t="shared" ref="AI122" si="78">Q122+S122+U122+W122+Y122+AB122+AD122+AG122</f>
        <v>34232.528416266738</v>
      </c>
      <c r="AJ122" s="860"/>
      <c r="AK122" s="861"/>
      <c r="AL122" s="859"/>
      <c r="AM122" s="861"/>
      <c r="AP122" s="862"/>
      <c r="AQ122" s="863"/>
      <c r="AR122" s="864"/>
      <c r="AS122" s="863"/>
      <c r="AT122" s="863"/>
      <c r="AU122" s="863"/>
      <c r="AV122" s="863"/>
      <c r="AW122" s="859"/>
      <c r="AX122" s="865"/>
      <c r="AY122" s="865"/>
      <c r="AZ122"/>
    </row>
    <row r="123" spans="1:54" s="235" customFormat="1" ht="15.75">
      <c r="A123" s="669" t="s">
        <v>530</v>
      </c>
      <c r="B123" s="670" t="s">
        <v>703</v>
      </c>
      <c r="C123" s="307" t="s">
        <v>704</v>
      </c>
      <c r="D123" s="671" t="s">
        <v>705</v>
      </c>
      <c r="E123" s="308" t="s">
        <v>375</v>
      </c>
      <c r="F123" s="672">
        <v>32754</v>
      </c>
      <c r="G123" s="868"/>
      <c r="H123" s="869"/>
      <c r="I123" s="780"/>
      <c r="J123" s="883"/>
      <c r="K123" s="820"/>
      <c r="L123" s="820"/>
      <c r="M123" s="820">
        <f>SUM(I123:L123)</f>
        <v>0</v>
      </c>
      <c r="N123" s="821">
        <v>329</v>
      </c>
      <c r="O123" s="446"/>
      <c r="P123" s="910">
        <f>(M123/$M$131)*$P$131</f>
        <v>0</v>
      </c>
      <c r="Q123" s="911">
        <f>P123</f>
        <v>0</v>
      </c>
      <c r="R123" s="910">
        <f t="shared" ref="R123" si="79">(M123/$M$131)*$R$131</f>
        <v>0</v>
      </c>
      <c r="S123" s="911">
        <f>R123</f>
        <v>0</v>
      </c>
      <c r="T123" s="910">
        <f t="shared" ref="T123" si="80">(M123/$M$131)*$T$131</f>
        <v>0</v>
      </c>
      <c r="U123" s="911">
        <f>T123</f>
        <v>0</v>
      </c>
      <c r="V123" s="910">
        <f t="shared" ref="V123" si="81">(M123/$M$131)*$V$131</f>
        <v>0</v>
      </c>
      <c r="W123" s="911">
        <f>V123</f>
        <v>0</v>
      </c>
      <c r="X123" s="487">
        <f t="shared" ref="X123" si="82">(M123/$M$131)*$X$131</f>
        <v>0</v>
      </c>
      <c r="Y123" s="821">
        <f>X123</f>
        <v>0</v>
      </c>
      <c r="Z123" s="783"/>
      <c r="AA123" s="821">
        <f>(N123/$N$131)*$AA$131</f>
        <v>31050.070977519572</v>
      </c>
      <c r="AB123" s="821">
        <f>AA123</f>
        <v>31050.070977519572</v>
      </c>
      <c r="AC123" s="821">
        <f>(N123/$N$131)*$AC$131</f>
        <v>586.36625410457179</v>
      </c>
      <c r="AD123" s="821">
        <f>AC123</f>
        <v>586.36625410457179</v>
      </c>
      <c r="AE123" s="783"/>
      <c r="AF123" s="821">
        <f t="shared" ref="AF123" si="83">(N123/$N$131)*$AF$131</f>
        <v>17330.962111644352</v>
      </c>
      <c r="AG123" s="821">
        <f>AF123</f>
        <v>17330.962111644352</v>
      </c>
      <c r="AH123" s="783"/>
      <c r="AI123" s="821">
        <f t="shared" ref="AI123" si="84">Q123+S123+U123+W123+Y123+AB123+AD123+AG123</f>
        <v>48967.399343268495</v>
      </c>
      <c r="AJ123" s="860"/>
      <c r="AK123" s="861"/>
      <c r="AL123" s="859"/>
      <c r="AM123" s="861"/>
      <c r="AP123" s="862"/>
      <c r="AQ123" s="863"/>
      <c r="AR123" s="864"/>
      <c r="AS123" s="863"/>
      <c r="AT123" s="863"/>
      <c r="AU123" s="863"/>
      <c r="AV123" s="863"/>
      <c r="AW123" s="859"/>
      <c r="AX123" s="865"/>
      <c r="AY123" s="865"/>
      <c r="AZ123"/>
    </row>
    <row r="124" spans="1:54" s="235" customFormat="1" ht="15.75">
      <c r="A124" s="669" t="s">
        <v>530</v>
      </c>
      <c r="B124" s="670" t="s">
        <v>706</v>
      </c>
      <c r="C124" s="307" t="s">
        <v>707</v>
      </c>
      <c r="D124" s="671" t="s">
        <v>708</v>
      </c>
      <c r="E124" s="308" t="s">
        <v>375</v>
      </c>
      <c r="F124" s="672">
        <v>33592</v>
      </c>
      <c r="G124" s="868"/>
      <c r="H124" s="869"/>
      <c r="I124" s="780"/>
      <c r="J124" s="883"/>
      <c r="K124" s="820"/>
      <c r="L124" s="820"/>
      <c r="M124" s="820">
        <f>SUM(I124:L124)</f>
        <v>0</v>
      </c>
      <c r="N124" s="821">
        <v>65</v>
      </c>
      <c r="O124" s="446"/>
      <c r="P124" s="910">
        <f>(M124/$M$131)*$P$131</f>
        <v>0</v>
      </c>
      <c r="Q124" s="911">
        <f>P124</f>
        <v>0</v>
      </c>
      <c r="R124" s="910">
        <f t="shared" ref="R124" si="85">(M124/$M$131)*$R$131</f>
        <v>0</v>
      </c>
      <c r="S124" s="911">
        <f>R124</f>
        <v>0</v>
      </c>
      <c r="T124" s="910">
        <f t="shared" ref="T124" si="86">(M124/$M$131)*$T$131</f>
        <v>0</v>
      </c>
      <c r="U124" s="911">
        <f>T124</f>
        <v>0</v>
      </c>
      <c r="V124" s="910">
        <f t="shared" ref="V124" si="87">(M124/$M$131)*$V$131</f>
        <v>0</v>
      </c>
      <c r="W124" s="911">
        <f>V124</f>
        <v>0</v>
      </c>
      <c r="X124" s="487">
        <f t="shared" ref="X124" si="88">(M124/$M$131)*$X$131</f>
        <v>0</v>
      </c>
      <c r="Y124" s="821">
        <f>X124</f>
        <v>0</v>
      </c>
      <c r="Z124" s="783"/>
      <c r="AA124" s="821">
        <f>(N124/$N$131)*$AA$131</f>
        <v>6134.5125031573625</v>
      </c>
      <c r="AB124" s="821">
        <f>AA124</f>
        <v>6134.5125031573625</v>
      </c>
      <c r="AC124" s="821">
        <f>(N124/$N$131)*$AC$131</f>
        <v>115.84743622126798</v>
      </c>
      <c r="AD124" s="821">
        <f>AC124</f>
        <v>115.84743622126798</v>
      </c>
      <c r="AE124" s="783"/>
      <c r="AF124" s="821">
        <f t="shared" ref="AF124" si="89">(N124/$N$131)*$AF$131</f>
        <v>3424.0502652184891</v>
      </c>
      <c r="AG124" s="821">
        <f>AF124</f>
        <v>3424.0502652184891</v>
      </c>
      <c r="AH124" s="783"/>
      <c r="AI124" s="821">
        <f t="shared" ref="AI124" si="90">Q124+S124+U124+W124+Y124+AB124+AD124+AG124</f>
        <v>9674.4102045971194</v>
      </c>
      <c r="AJ124" s="860"/>
      <c r="AK124" s="861"/>
      <c r="AL124" s="859"/>
      <c r="AM124" s="861"/>
      <c r="AP124" s="862"/>
      <c r="AQ124" s="863"/>
      <c r="AR124" s="864"/>
      <c r="AS124" s="863"/>
      <c r="AT124" s="863"/>
      <c r="AU124" s="863"/>
      <c r="AV124" s="863"/>
      <c r="AW124" s="859"/>
      <c r="AX124" s="865"/>
      <c r="AY124" s="865"/>
      <c r="AZ124"/>
    </row>
    <row r="125" spans="1:54" ht="15.75">
      <c r="A125" s="669" t="s">
        <v>530</v>
      </c>
      <c r="B125" s="881" t="s">
        <v>172</v>
      </c>
      <c r="C125" s="307" t="s">
        <v>709</v>
      </c>
      <c r="D125" s="671" t="s">
        <v>708</v>
      </c>
      <c r="E125" s="308" t="s">
        <v>375</v>
      </c>
      <c r="F125" s="672">
        <v>33592</v>
      </c>
      <c r="G125" s="882"/>
      <c r="H125" s="877"/>
      <c r="I125" s="780"/>
      <c r="J125" s="883"/>
      <c r="K125" s="820"/>
      <c r="L125" s="820"/>
      <c r="M125" s="820">
        <f>SUM(I125:L125)</f>
        <v>0</v>
      </c>
      <c r="N125" s="821">
        <v>190</v>
      </c>
      <c r="O125" s="446"/>
      <c r="P125" s="910">
        <f>(M125/$M$131)*$P$131</f>
        <v>0</v>
      </c>
      <c r="Q125" s="911">
        <f>P125</f>
        <v>0</v>
      </c>
      <c r="R125" s="910">
        <f t="shared" ref="R125" si="91">(M125/$M$131)*$R$131</f>
        <v>0</v>
      </c>
      <c r="S125" s="911">
        <f>R125</f>
        <v>0</v>
      </c>
      <c r="T125" s="910">
        <f t="shared" ref="T125" si="92">(M125/$M$131)*$T$131</f>
        <v>0</v>
      </c>
      <c r="U125" s="911">
        <f>T125</f>
        <v>0</v>
      </c>
      <c r="V125" s="910">
        <f t="shared" ref="V125" si="93">(M125/$M$131)*$V$131</f>
        <v>0</v>
      </c>
      <c r="W125" s="911">
        <f>V125</f>
        <v>0</v>
      </c>
      <c r="X125" s="487">
        <f t="shared" ref="X125" si="94">(M125/$M$131)*$X$131</f>
        <v>0</v>
      </c>
      <c r="Y125" s="821">
        <f>X125</f>
        <v>0</v>
      </c>
      <c r="Z125" s="783"/>
      <c r="AA125" s="821">
        <f>(N125/$N$131)*$AA$131</f>
        <v>17931.651932306137</v>
      </c>
      <c r="AB125" s="821">
        <f>AA125</f>
        <v>17931.651932306137</v>
      </c>
      <c r="AC125" s="821">
        <f>(N125/$N$131)*$AC$131</f>
        <v>338.63096741601413</v>
      </c>
      <c r="AD125" s="821">
        <f>AC125</f>
        <v>338.63096741601413</v>
      </c>
      <c r="AE125" s="783"/>
      <c r="AF125" s="821">
        <f t="shared" ref="AF125" si="95">(N125/$N$131)*$AF$131</f>
        <v>10008.762313715584</v>
      </c>
      <c r="AG125" s="821">
        <f>AF125</f>
        <v>10008.762313715584</v>
      </c>
      <c r="AH125" s="783"/>
      <c r="AI125" s="821">
        <f t="shared" ref="AI125" si="96">Q125+S125+U125+W125+Y125+AB125+AD125+AG125</f>
        <v>28279.045213437734</v>
      </c>
      <c r="AJ125" s="820">
        <f>SUM(AF125:AI125)</f>
        <v>48296.569840868906</v>
      </c>
      <c r="AK125" s="861"/>
      <c r="AL125" s="859"/>
      <c r="AM125" s="861"/>
      <c r="AN125" s="235"/>
      <c r="AO125" s="235"/>
      <c r="AP125" s="862"/>
      <c r="AQ125" s="863"/>
      <c r="AR125" s="864"/>
      <c r="AS125" s="863"/>
      <c r="AT125" s="863"/>
      <c r="AU125" s="863"/>
      <c r="AV125" s="863"/>
      <c r="AW125" s="859"/>
      <c r="AX125" s="865"/>
      <c r="AY125" s="865"/>
      <c r="BA125" s="235"/>
      <c r="BB125" s="235"/>
    </row>
    <row r="126" spans="1:54" ht="30.75">
      <c r="A126" s="880" t="s">
        <v>530</v>
      </c>
      <c r="B126" s="879" t="s">
        <v>710</v>
      </c>
      <c r="C126" s="307" t="s">
        <v>711</v>
      </c>
      <c r="D126" s="671" t="s">
        <v>708</v>
      </c>
      <c r="E126" s="308" t="s">
        <v>375</v>
      </c>
      <c r="F126" s="672">
        <v>33592</v>
      </c>
      <c r="G126" s="884"/>
      <c r="H126" s="885"/>
      <c r="I126" s="871"/>
      <c r="J126" s="883"/>
      <c r="K126" s="820"/>
      <c r="L126" s="820"/>
      <c r="M126" s="820">
        <f t="shared" ref="M126:M130" si="97">SUM(I126:L126)</f>
        <v>0</v>
      </c>
      <c r="N126" s="821">
        <v>168</v>
      </c>
      <c r="O126" s="446"/>
      <c r="P126" s="910">
        <f t="shared" ref="P126:P130" si="98">(M126/$M$131)*$P$131</f>
        <v>0</v>
      </c>
      <c r="Q126" s="911">
        <f t="shared" ref="Q126:Q130" si="99">P126</f>
        <v>0</v>
      </c>
      <c r="R126" s="910">
        <f t="shared" ref="R126:R130" si="100">(M126/$M$131)*$R$131</f>
        <v>0</v>
      </c>
      <c r="S126" s="911">
        <f t="shared" ref="S126:S130" si="101">R126</f>
        <v>0</v>
      </c>
      <c r="T126" s="910">
        <f t="shared" ref="T126:T130" si="102">(M126/$M$131)*$T$131</f>
        <v>0</v>
      </c>
      <c r="U126" s="911">
        <f t="shared" ref="U126:U130" si="103">T126</f>
        <v>0</v>
      </c>
      <c r="V126" s="910">
        <f t="shared" ref="V126:V130" si="104">(M126/$M$131)*$V$131</f>
        <v>0</v>
      </c>
      <c r="W126" s="911">
        <f t="shared" ref="W126:W130" si="105">V126</f>
        <v>0</v>
      </c>
      <c r="X126" s="487">
        <f t="shared" ref="X126:X130" si="106">(M126/$M$131)*$X$131</f>
        <v>0</v>
      </c>
      <c r="Y126" s="821">
        <f t="shared" ref="Y126:Y130" si="107">X126</f>
        <v>0</v>
      </c>
      <c r="Z126" s="783"/>
      <c r="AA126" s="821">
        <f t="shared" ref="AA126:AA130" si="108">(N126/$N$131)*$AA$131</f>
        <v>15855.355392775953</v>
      </c>
      <c r="AB126" s="821">
        <f t="shared" ref="AB126:AB130" si="109">AA126</f>
        <v>15855.355392775953</v>
      </c>
      <c r="AC126" s="821">
        <f t="shared" ref="AC126:AC130" si="110">(N126/$N$131)*$AC$131</f>
        <v>299.42106592573879</v>
      </c>
      <c r="AD126" s="821">
        <f t="shared" ref="AD126:AD130" si="111">AC126</f>
        <v>299.42106592573879</v>
      </c>
      <c r="AE126" s="783"/>
      <c r="AF126" s="821">
        <f t="shared" ref="AF126:AF130" si="112">(N126/$N$131)*$AF$131</f>
        <v>8849.8529931800949</v>
      </c>
      <c r="AG126" s="821">
        <f t="shared" ref="AG126:AG130" si="113">AF126</f>
        <v>8849.8529931800949</v>
      </c>
      <c r="AH126" s="783"/>
      <c r="AI126" s="821">
        <f t="shared" ref="AI126:AI130" si="114">Q126+S126+U126+W126+Y126+AB126+AD126+AG126</f>
        <v>25004.629451881789</v>
      </c>
      <c r="AJ126" s="820">
        <f t="shared" ref="AJ126:AJ130" si="115">SUM(AF126:AI126)</f>
        <v>42704.335438241978</v>
      </c>
      <c r="AK126" s="861"/>
      <c r="AL126" s="859"/>
      <c r="AM126" s="861"/>
      <c r="AN126" s="235"/>
      <c r="AO126" s="235"/>
      <c r="AP126" s="862"/>
      <c r="AQ126" s="863"/>
      <c r="AR126" s="864"/>
      <c r="AS126" s="863"/>
      <c r="AT126" s="863"/>
      <c r="AU126" s="863"/>
      <c r="AV126" s="863"/>
      <c r="AW126" s="859"/>
      <c r="AX126" s="865"/>
      <c r="AY126" s="865"/>
      <c r="BA126" s="235"/>
      <c r="BB126" s="235"/>
    </row>
    <row r="127" spans="1:54" ht="15.75">
      <c r="A127" s="880" t="s">
        <v>530</v>
      </c>
      <c r="B127" s="879" t="s">
        <v>145</v>
      </c>
      <c r="C127" s="307" t="s">
        <v>712</v>
      </c>
      <c r="D127" s="671" t="s">
        <v>713</v>
      </c>
      <c r="E127" s="308" t="s">
        <v>529</v>
      </c>
      <c r="F127" s="672">
        <v>29223</v>
      </c>
      <c r="G127" s="884"/>
      <c r="H127" s="885"/>
      <c r="I127" s="871"/>
      <c r="J127" s="883"/>
      <c r="K127" s="820"/>
      <c r="L127" s="820"/>
      <c r="M127" s="820">
        <f t="shared" si="97"/>
        <v>0</v>
      </c>
      <c r="N127" s="821">
        <v>126</v>
      </c>
      <c r="O127" s="446"/>
      <c r="P127" s="910">
        <f t="shared" si="98"/>
        <v>0</v>
      </c>
      <c r="Q127" s="911">
        <f t="shared" si="99"/>
        <v>0</v>
      </c>
      <c r="R127" s="910">
        <f t="shared" si="100"/>
        <v>0</v>
      </c>
      <c r="S127" s="911">
        <f t="shared" si="101"/>
        <v>0</v>
      </c>
      <c r="T127" s="910">
        <f t="shared" si="102"/>
        <v>0</v>
      </c>
      <c r="U127" s="911">
        <f t="shared" si="103"/>
        <v>0</v>
      </c>
      <c r="V127" s="910">
        <f t="shared" si="104"/>
        <v>0</v>
      </c>
      <c r="W127" s="911">
        <f t="shared" si="105"/>
        <v>0</v>
      </c>
      <c r="X127" s="487">
        <f t="shared" si="106"/>
        <v>0</v>
      </c>
      <c r="Y127" s="821">
        <f t="shared" si="107"/>
        <v>0</v>
      </c>
      <c r="Z127" s="783"/>
      <c r="AA127" s="821">
        <f t="shared" si="108"/>
        <v>11891.516544581966</v>
      </c>
      <c r="AB127" s="821">
        <f t="shared" si="109"/>
        <v>11891.516544581966</v>
      </c>
      <c r="AC127" s="821">
        <f t="shared" si="110"/>
        <v>224.56579944430413</v>
      </c>
      <c r="AD127" s="821">
        <f t="shared" si="111"/>
        <v>224.56579944430413</v>
      </c>
      <c r="AE127" s="783"/>
      <c r="AF127" s="821">
        <f t="shared" si="112"/>
        <v>6637.3897448850721</v>
      </c>
      <c r="AG127" s="821">
        <f t="shared" si="113"/>
        <v>6637.3897448850721</v>
      </c>
      <c r="AH127" s="783"/>
      <c r="AI127" s="821">
        <f t="shared" si="114"/>
        <v>18753.472088911341</v>
      </c>
      <c r="AJ127" s="820">
        <f t="shared" si="115"/>
        <v>32028.251578681484</v>
      </c>
      <c r="AK127" s="861"/>
      <c r="AL127" s="859"/>
      <c r="AM127" s="861"/>
      <c r="AN127" s="235"/>
      <c r="AO127" s="235"/>
      <c r="AP127" s="862"/>
      <c r="AQ127" s="863"/>
      <c r="AR127" s="864"/>
      <c r="AS127" s="863"/>
      <c r="AT127" s="863"/>
      <c r="AU127" s="863"/>
      <c r="AV127" s="863"/>
      <c r="AW127" s="859"/>
      <c r="AX127" s="865"/>
      <c r="AY127" s="865"/>
      <c r="BA127" s="235"/>
      <c r="BB127" s="235"/>
    </row>
    <row r="128" spans="1:54" ht="15.75">
      <c r="A128" s="669" t="s">
        <v>530</v>
      </c>
      <c r="B128" s="879" t="s">
        <v>714</v>
      </c>
      <c r="C128" s="307" t="s">
        <v>715</v>
      </c>
      <c r="D128" s="671" t="s">
        <v>716</v>
      </c>
      <c r="E128" s="308" t="s">
        <v>375</v>
      </c>
      <c r="F128" s="672">
        <v>33534</v>
      </c>
      <c r="G128" s="884"/>
      <c r="H128" s="885"/>
      <c r="I128" s="871"/>
      <c r="J128" s="883"/>
      <c r="K128" s="820"/>
      <c r="L128" s="820"/>
      <c r="M128" s="820">
        <f t="shared" si="97"/>
        <v>0</v>
      </c>
      <c r="N128" s="821">
        <v>201</v>
      </c>
      <c r="O128" s="446"/>
      <c r="P128" s="910">
        <f t="shared" si="98"/>
        <v>0</v>
      </c>
      <c r="Q128" s="911">
        <f t="shared" si="99"/>
        <v>0</v>
      </c>
      <c r="R128" s="910">
        <f t="shared" si="100"/>
        <v>0</v>
      </c>
      <c r="S128" s="911">
        <f t="shared" si="101"/>
        <v>0</v>
      </c>
      <c r="T128" s="910">
        <f t="shared" si="102"/>
        <v>0</v>
      </c>
      <c r="U128" s="911">
        <f t="shared" si="103"/>
        <v>0</v>
      </c>
      <c r="V128" s="910">
        <f t="shared" si="104"/>
        <v>0</v>
      </c>
      <c r="W128" s="911">
        <f t="shared" si="105"/>
        <v>0</v>
      </c>
      <c r="X128" s="487">
        <f t="shared" si="106"/>
        <v>0</v>
      </c>
      <c r="Y128" s="821">
        <f t="shared" si="107"/>
        <v>0</v>
      </c>
      <c r="Z128" s="783"/>
      <c r="AA128" s="821">
        <f t="shared" si="108"/>
        <v>18969.80020207123</v>
      </c>
      <c r="AB128" s="821">
        <f t="shared" si="109"/>
        <v>18969.80020207123</v>
      </c>
      <c r="AC128" s="821">
        <f t="shared" si="110"/>
        <v>358.2359181611518</v>
      </c>
      <c r="AD128" s="821">
        <f t="shared" si="111"/>
        <v>358.2359181611518</v>
      </c>
      <c r="AE128" s="783"/>
      <c r="AF128" s="821">
        <f t="shared" si="112"/>
        <v>10588.216973983328</v>
      </c>
      <c r="AG128" s="821">
        <f t="shared" si="113"/>
        <v>10588.216973983328</v>
      </c>
      <c r="AH128" s="783"/>
      <c r="AI128" s="821">
        <f t="shared" si="114"/>
        <v>29916.25309421571</v>
      </c>
      <c r="AJ128" s="820">
        <f t="shared" si="115"/>
        <v>51092.68704218237</v>
      </c>
      <c r="AK128" s="861"/>
      <c r="AL128" s="859"/>
      <c r="AM128" s="861"/>
      <c r="AN128" s="235"/>
      <c r="AO128" s="235"/>
      <c r="AP128" s="862"/>
      <c r="AQ128" s="863"/>
      <c r="AR128" s="864"/>
      <c r="AS128" s="863"/>
      <c r="AT128" s="863"/>
      <c r="AU128" s="863"/>
      <c r="AV128" s="863"/>
      <c r="AW128" s="859"/>
      <c r="AX128" s="865"/>
      <c r="AY128" s="865"/>
      <c r="BA128" s="235"/>
      <c r="BB128" s="235"/>
    </row>
    <row r="129" spans="1:54" ht="15.75">
      <c r="A129" s="880" t="s">
        <v>530</v>
      </c>
      <c r="B129" s="879" t="s">
        <v>717</v>
      </c>
      <c r="C129" s="307" t="s">
        <v>718</v>
      </c>
      <c r="D129" s="671" t="s">
        <v>408</v>
      </c>
      <c r="E129" s="308" t="s">
        <v>375</v>
      </c>
      <c r="F129" s="672">
        <v>33570</v>
      </c>
      <c r="G129" s="884"/>
      <c r="H129" s="885"/>
      <c r="I129" s="871"/>
      <c r="J129" s="883"/>
      <c r="K129" s="820"/>
      <c r="L129" s="820"/>
      <c r="M129" s="820">
        <f t="shared" si="97"/>
        <v>0</v>
      </c>
      <c r="N129" s="821">
        <v>74</v>
      </c>
      <c r="O129" s="446"/>
      <c r="P129" s="910">
        <f t="shared" si="98"/>
        <v>0</v>
      </c>
      <c r="Q129" s="911">
        <f t="shared" si="99"/>
        <v>0</v>
      </c>
      <c r="R129" s="910">
        <f t="shared" si="100"/>
        <v>0</v>
      </c>
      <c r="S129" s="911">
        <f t="shared" si="101"/>
        <v>0</v>
      </c>
      <c r="T129" s="910">
        <f t="shared" si="102"/>
        <v>0</v>
      </c>
      <c r="U129" s="911">
        <f t="shared" si="103"/>
        <v>0</v>
      </c>
      <c r="V129" s="910">
        <f t="shared" si="104"/>
        <v>0</v>
      </c>
      <c r="W129" s="911">
        <f t="shared" si="105"/>
        <v>0</v>
      </c>
      <c r="X129" s="487">
        <f t="shared" si="106"/>
        <v>0</v>
      </c>
      <c r="Y129" s="821">
        <f t="shared" si="107"/>
        <v>0</v>
      </c>
      <c r="Z129" s="783"/>
      <c r="AA129" s="821">
        <f t="shared" si="108"/>
        <v>6983.9065420560746</v>
      </c>
      <c r="AB129" s="821">
        <f t="shared" si="109"/>
        <v>6983.9065420560746</v>
      </c>
      <c r="AC129" s="821">
        <f t="shared" si="110"/>
        <v>131.88785046728972</v>
      </c>
      <c r="AD129" s="821">
        <f t="shared" si="111"/>
        <v>131.88785046728972</v>
      </c>
      <c r="AE129" s="783"/>
      <c r="AF129" s="821">
        <f t="shared" si="112"/>
        <v>3898.1495327102803</v>
      </c>
      <c r="AG129" s="821">
        <f t="shared" si="113"/>
        <v>3898.1495327102803</v>
      </c>
      <c r="AH129" s="783"/>
      <c r="AI129" s="821">
        <f t="shared" si="114"/>
        <v>11013.943925233645</v>
      </c>
      <c r="AJ129" s="820">
        <f t="shared" si="115"/>
        <v>18810.242990654206</v>
      </c>
      <c r="AK129" s="861"/>
      <c r="AL129" s="859"/>
      <c r="AM129" s="861"/>
      <c r="AN129" s="235"/>
      <c r="AO129" s="235"/>
      <c r="AP129" s="862"/>
      <c r="AQ129" s="863"/>
      <c r="AR129" s="864"/>
      <c r="AS129" s="863"/>
      <c r="AT129" s="863"/>
      <c r="AU129" s="863"/>
      <c r="AV129" s="863"/>
      <c r="AW129" s="859"/>
      <c r="AX129" s="865"/>
      <c r="AY129" s="865"/>
      <c r="BA129" s="235"/>
      <c r="BB129" s="235"/>
    </row>
    <row r="130" spans="1:54" ht="15.75">
      <c r="A130" s="858"/>
      <c r="B130" s="859"/>
      <c r="C130" s="872"/>
      <c r="D130" s="872"/>
      <c r="E130" s="873"/>
      <c r="F130" s="874"/>
      <c r="G130" s="235"/>
      <c r="H130" s="875"/>
      <c r="I130" s="876"/>
      <c r="J130" s="883"/>
      <c r="K130" s="820"/>
      <c r="L130" s="820"/>
      <c r="M130" s="820"/>
      <c r="N130" s="870"/>
      <c r="O130" s="446"/>
      <c r="P130" s="910"/>
      <c r="Q130" s="911"/>
      <c r="R130" s="910"/>
      <c r="S130" s="911"/>
      <c r="T130" s="910"/>
      <c r="U130" s="911"/>
      <c r="V130" s="910"/>
      <c r="W130" s="911"/>
      <c r="X130" s="487"/>
      <c r="Y130" s="821"/>
      <c r="Z130" s="783"/>
      <c r="AA130" s="821"/>
      <c r="AB130" s="821"/>
      <c r="AC130" s="821"/>
      <c r="AD130" s="821"/>
      <c r="AE130" s="783"/>
      <c r="AF130" s="821"/>
      <c r="AG130" s="821"/>
      <c r="AH130" s="783"/>
      <c r="AI130" s="821"/>
      <c r="AJ130" s="820">
        <f t="shared" si="115"/>
        <v>0</v>
      </c>
      <c r="AK130" s="861"/>
      <c r="AL130" s="859"/>
      <c r="AM130" s="861"/>
      <c r="AN130" s="235"/>
      <c r="AO130" s="235"/>
      <c r="AP130" s="862"/>
      <c r="AQ130" s="863"/>
      <c r="AR130" s="864"/>
      <c r="AS130" s="863"/>
      <c r="AT130" s="863"/>
      <c r="AU130" s="863"/>
      <c r="AV130" s="863"/>
      <c r="AW130" s="859"/>
      <c r="AX130" s="865"/>
      <c r="AY130" s="865"/>
      <c r="BA130" s="235"/>
      <c r="BB130" s="235"/>
    </row>
    <row r="131" spans="1:54" ht="15.75">
      <c r="H131" s="878" t="s">
        <v>719</v>
      </c>
      <c r="I131" s="414">
        <f t="shared" ref="I131:N131" si="116">SUM(I4:I120)</f>
        <v>17372961</v>
      </c>
      <c r="J131" s="824">
        <f t="shared" si="116"/>
        <v>27205999.870000005</v>
      </c>
      <c r="K131" s="824">
        <f t="shared" si="116"/>
        <v>16500</v>
      </c>
      <c r="L131" s="824">
        <f t="shared" si="116"/>
        <v>24000</v>
      </c>
      <c r="M131" s="824">
        <f t="shared" si="116"/>
        <v>44619460.870000005</v>
      </c>
      <c r="N131" s="825">
        <f t="shared" si="116"/>
        <v>3959</v>
      </c>
      <c r="O131" s="247"/>
      <c r="P131" s="488">
        <v>530254</v>
      </c>
      <c r="Q131" s="489">
        <v>530254</v>
      </c>
      <c r="R131" s="490">
        <v>65104</v>
      </c>
      <c r="S131" s="489">
        <v>65104</v>
      </c>
      <c r="T131" s="490">
        <v>76129</v>
      </c>
      <c r="U131" s="489">
        <v>76129</v>
      </c>
      <c r="V131" s="490">
        <v>80854</v>
      </c>
      <c r="W131" s="489">
        <v>80854</v>
      </c>
      <c r="X131" s="435">
        <v>4788</v>
      </c>
      <c r="Y131" s="826">
        <v>4788</v>
      </c>
      <c r="Z131" s="242"/>
      <c r="AA131" s="827">
        <v>373639</v>
      </c>
      <c r="AB131" s="827">
        <v>373639</v>
      </c>
      <c r="AC131" s="827">
        <v>7056</v>
      </c>
      <c r="AD131" s="827">
        <v>7056</v>
      </c>
      <c r="AE131" s="242"/>
      <c r="AF131" s="827">
        <v>208551</v>
      </c>
      <c r="AG131" s="827">
        <v>208551</v>
      </c>
      <c r="AH131" s="242"/>
      <c r="AI131" s="828">
        <v>1346375</v>
      </c>
      <c r="AJ131" s="247"/>
      <c r="AK131" s="349"/>
      <c r="AL131" s="349"/>
      <c r="AM131" s="349"/>
      <c r="AN131" s="238"/>
      <c r="AO131" s="238"/>
      <c r="AP131" s="237">
        <f>SUM(AP4:AP120)</f>
        <v>103903</v>
      </c>
      <c r="AQ131" s="239"/>
      <c r="AR131" s="239"/>
      <c r="AS131" s="239"/>
      <c r="AT131" s="239"/>
      <c r="AU131" s="239"/>
      <c r="AV131" s="239"/>
      <c r="AW131" s="240"/>
      <c r="AX131" s="239"/>
      <c r="AY131" s="239"/>
    </row>
    <row r="132" spans="1:54" ht="15.75">
      <c r="B132" s="2" t="s">
        <v>539</v>
      </c>
      <c r="N132" s="3" t="s">
        <v>720</v>
      </c>
      <c r="P132" s="912">
        <f t="shared" ref="P132:Y132" si="117">SUM(P4:P120)</f>
        <v>504003.99999999983</v>
      </c>
      <c r="Q132" s="913">
        <f t="shared" si="117"/>
        <v>461142.85153543</v>
      </c>
      <c r="R132" s="914">
        <f t="shared" si="117"/>
        <v>65104.000000000015</v>
      </c>
      <c r="S132" s="913">
        <f t="shared" si="117"/>
        <v>59841.555568392934</v>
      </c>
      <c r="T132" s="914">
        <f t="shared" si="117"/>
        <v>76129</v>
      </c>
      <c r="U132" s="913">
        <f t="shared" si="117"/>
        <v>69975.389897182758</v>
      </c>
      <c r="V132" s="914">
        <f t="shared" si="117"/>
        <v>80854</v>
      </c>
      <c r="W132" s="913">
        <f t="shared" si="117"/>
        <v>74318.461752378382</v>
      </c>
      <c r="X132" s="491">
        <f t="shared" si="117"/>
        <v>4787.9999999999991</v>
      </c>
      <c r="Y132" s="829">
        <f t="shared" si="117"/>
        <v>4400.9794799315778</v>
      </c>
      <c r="Z132" s="247"/>
      <c r="AA132" s="830">
        <f>SUM(AA4:AA120)</f>
        <v>373639</v>
      </c>
      <c r="AB132" s="830">
        <f>SUM(AB4:AB120)</f>
        <v>337964.45036625408</v>
      </c>
      <c r="AC132" s="830">
        <f>SUM(AC4:AC120)</f>
        <v>7055.9999999999991</v>
      </c>
      <c r="AD132" s="830">
        <f>SUM(AD4:AD120)</f>
        <v>6382.3026016670883</v>
      </c>
      <c r="AE132" s="247"/>
      <c r="AF132" s="831">
        <f>SUM(AF4:AF120)</f>
        <v>208551</v>
      </c>
      <c r="AG132" s="831">
        <f>SUM(AG4:AG120)</f>
        <v>188638.83076534478</v>
      </c>
      <c r="AH132" s="247"/>
      <c r="AI132" s="832">
        <f>SUM(AI4:AI120)</f>
        <v>1320125.0000000002</v>
      </c>
      <c r="AJ132" s="242"/>
      <c r="AL132" s="372" t="s">
        <v>354</v>
      </c>
    </row>
    <row r="133" spans="1:54" ht="14.65" thickBot="1">
      <c r="H133" s="493" t="s">
        <v>721</v>
      </c>
      <c r="I133" s="494">
        <v>17192611</v>
      </c>
      <c r="J133" s="494">
        <v>34872272</v>
      </c>
      <c r="K133" s="494">
        <v>16500</v>
      </c>
      <c r="L133" s="494">
        <v>24000</v>
      </c>
      <c r="M133" s="495">
        <v>52105383</v>
      </c>
      <c r="N133" s="3" t="s">
        <v>722</v>
      </c>
      <c r="P133" s="248">
        <v>726091</v>
      </c>
      <c r="R133" s="433"/>
      <c r="S133" s="433"/>
      <c r="T133" s="433"/>
      <c r="U133" s="433"/>
      <c r="V133" s="433"/>
      <c r="W133" s="433"/>
      <c r="X133" s="248"/>
      <c r="Y133" s="248"/>
      <c r="AB133" s="248"/>
      <c r="AC133" s="248"/>
      <c r="AD133" s="248"/>
      <c r="AG133" s="248"/>
      <c r="AI133" s="335"/>
    </row>
    <row r="134" spans="1:54">
      <c r="L134" t="s">
        <v>723</v>
      </c>
      <c r="M134" s="413">
        <f>M131-M133</f>
        <v>-7485922.1299999952</v>
      </c>
      <c r="P134" s="430">
        <f>P133/M131*100</f>
        <v>1.6272966679617344</v>
      </c>
      <c r="T134" s="496"/>
      <c r="AA134" s="430">
        <f>AA132/N131</f>
        <v>94.377115433190198</v>
      </c>
      <c r="AF134" s="430">
        <f>AF132/N131</f>
        <v>52.677696387976759</v>
      </c>
    </row>
    <row r="135" spans="1:54" ht="14.65" thickBot="1">
      <c r="L135" s="427" t="s">
        <v>724</v>
      </c>
      <c r="P135" s="431" t="s">
        <v>725</v>
      </c>
      <c r="AA135" s="431" t="s">
        <v>725</v>
      </c>
      <c r="AF135" s="431" t="s">
        <v>725</v>
      </c>
    </row>
    <row r="136" spans="1:54" ht="14.65" thickBot="1">
      <c r="AI136" s="336"/>
    </row>
    <row r="137" spans="1:54" ht="14.65" thickBot="1">
      <c r="O137" s="425"/>
      <c r="P137" s="694"/>
      <c r="Q137" s="432"/>
      <c r="R137" s="432"/>
      <c r="S137" s="600" t="s">
        <v>349</v>
      </c>
      <c r="T137" s="432"/>
      <c r="U137" s="432"/>
      <c r="V137" s="432"/>
      <c r="W137" s="416"/>
      <c r="AK137" s="347"/>
      <c r="AL137" s="347"/>
      <c r="AM137" s="347"/>
    </row>
    <row r="138" spans="1:54" ht="14.65" thickBot="1">
      <c r="B138" s="241"/>
      <c r="H138" s="338" t="s">
        <v>726</v>
      </c>
      <c r="O138" s="420"/>
      <c r="P138" s="607" t="s">
        <v>360</v>
      </c>
      <c r="Q138" s="434"/>
      <c r="R138" s="608" t="s">
        <v>361</v>
      </c>
      <c r="S138" s="434"/>
      <c r="T138" s="608" t="s">
        <v>362</v>
      </c>
      <c r="U138" s="434"/>
      <c r="V138" s="608" t="s">
        <v>363</v>
      </c>
      <c r="W138" s="434"/>
      <c r="X138" s="695"/>
      <c r="Y138" s="833" t="s">
        <v>547</v>
      </c>
      <c r="Z138" s="421"/>
      <c r="AA138" s="697" t="s">
        <v>548</v>
      </c>
      <c r="AB138" s="602"/>
      <c r="AC138" s="698"/>
      <c r="AD138" s="834" t="s">
        <v>549</v>
      </c>
      <c r="AE138" s="422"/>
      <c r="AF138" s="695" t="s">
        <v>550</v>
      </c>
      <c r="AG138" s="423"/>
      <c r="AH138" s="425"/>
      <c r="AI138" s="330" t="s">
        <v>354</v>
      </c>
      <c r="AJ138" s="426"/>
      <c r="AK138" s="347"/>
      <c r="AL138" s="347"/>
      <c r="AM138" s="347"/>
    </row>
    <row r="139" spans="1:54" ht="15.75">
      <c r="H139" s="614" t="s">
        <v>371</v>
      </c>
      <c r="I139" s="675">
        <f t="shared" ref="I139:N139" si="118">I4+I5+I8+I9+I10+I11+I12+I13+I14+I15+I16+I17+I18+I19+I20+I21+I22+I23+I25+I26+I27+I28+I29+I30+I31+I52+I53+I54+I55+I56+I57+I58+I59+I60+I61+I62+I63+I64+I65+I66+I67+I68+I69+I70+I71+I80+I81+I82+I83+I84</f>
        <v>8271105</v>
      </c>
      <c r="J139" s="675">
        <f t="shared" si="118"/>
        <v>18337113.309999999</v>
      </c>
      <c r="K139" s="675">
        <f t="shared" si="118"/>
        <v>0</v>
      </c>
      <c r="L139" s="675">
        <f t="shared" si="118"/>
        <v>0</v>
      </c>
      <c r="M139" s="675">
        <f t="shared" si="118"/>
        <v>26608218.309999999</v>
      </c>
      <c r="N139" s="269">
        <f t="shared" si="118"/>
        <v>2033</v>
      </c>
      <c r="O139" s="342"/>
      <c r="P139" s="675"/>
      <c r="Q139" s="675">
        <f>Q4+Q5+Q8+Q9+Q10+Q11+Q12+Q13+Q14+Q15+Q16+Q17+Q18+Q19+Q20+Q21+Q22+Q23+Q25+Q26+Q27+Q28+Q29+Q30+Q31+Q52+Q53+Q54+Q55+Q56+Q57+Q58+Q59+Q60+Q61+Q62+Q63+Q64+Q65+Q66+Q67+Q68+Q69+Q70+Q71+Q80+Q81+Q82+Q83+Q84</f>
        <v>316209.87606412417</v>
      </c>
      <c r="R139" s="675"/>
      <c r="S139" s="675">
        <f>S4+S5+S8+S9+S10+S11+S12+S13+S14+S15+S16+S17+S18+S19+S20+S21+S22+S23+S25+S26+S27+S28+S29+S30+S31+S52+S53+S54+S55+S56+S57+S58+S59+S60+S61+S62+S63+S64+S65+S66+S67+S68+S69+S70+S71+S80+S81+S82+S83+S84</f>
        <v>38823.899058335708</v>
      </c>
      <c r="T139" s="675"/>
      <c r="U139" s="675">
        <f>U4+U5+U8+U9+U10+U11+U12+U13+U14+U15+U16+U17+U18+U19+U20+U21+U22+U23+U25+U26+U27+U28+U29+U30+U31+U52+U53+U54+U55+U56+U57+U58+U59+U60+U61+U62+U63+U64+U65+U66+U67+U68+U69+U70+U71+U80+U81+U82+U83+U84</f>
        <v>45398.510251475163</v>
      </c>
      <c r="V139" s="675"/>
      <c r="W139" s="675">
        <f>W4+W5+W8+W9+W10+W11+W12+W13+W14+W15+W16+W17+W18+W19+W20+W21+W22+W23+W25+W26+W27+W28+W29+W30+W31+W52+W53+W54+W55+W56+W57+W58+W59+W60+W61+W62+W63+W64+W65+W66+W67+W68+W69+W70+W71+W80+W81+W82+W83+W84</f>
        <v>48216.200762820648</v>
      </c>
      <c r="X139" s="675"/>
      <c r="Y139" s="675">
        <f>Y4+Y5+Y8+Y9+Y10+Y11+Y12+Y13+Y14+Y15+Y16+Y17+Y18+Y19+Y20+Y21+Y22+Y23+Y25+Y26+Y27+Y28+Y29+Y30+Y31+Y52+Y53+Y54+Y55+Y56+Y57+Y58+Y59+Y60+Y61+Y62+Y63+Y64+Y65+Y66+Y67+Y68+Y69+Y70+Y71+Y80+Y81+Y82+Y83+Y84</f>
        <v>2855.259718163421</v>
      </c>
      <c r="Z139" s="340"/>
      <c r="AA139" s="675"/>
      <c r="AB139" s="675">
        <f>AB4+AB5+AB8+AB9+AB10+AB11+AB12+AB13+AB14+AB15+AB16+AB17+AB18+AB19+AB20+AB21+AB22+AB23+AB25+AB26+AB27+AB28+AB29+AB30+AB31+AB52+AB53+AB54+AB55+AB56+AB57+AB58+AB59+AB60+AB61+AB62+AB63+AB64+AB65+AB66+AB67+AB68+AB69+AB70+AB71+AB80+AB81+AB82+AB83+AB84</f>
        <v>191868.67567567565</v>
      </c>
      <c r="AC139" s="675"/>
      <c r="AD139" s="675">
        <f>AD4+AD5+AD8+AD9+AD10+AD11+AD12+AD13+AD14+AD15+AD16+AD17+AD18+AD19+AD20+AD21+AD22+AD23+AD25+AD26+AD27+AD28+AD29+AD30+AD31+AD52+AD53+AD54+AD55+AD56+AD57+AD58+AD59+AD60+AD61+AD62+AD63+AD64+AD65+AD66+AD67+AD68+AD69+AD70+AD71+AD80+AD81+AD82+AD83+AD84</f>
        <v>3623.3513513513517</v>
      </c>
      <c r="AE139" s="340"/>
      <c r="AF139" s="675"/>
      <c r="AG139" s="675">
        <f>AG4+AG5+AG8+AG9+AG10+AG11+AG12+AG13+AG14+AG15+AG16+AG17+AG18+AG19+AG20+AG21+AG22+AG23+AG25+AG26+AG27+AG28+AG29+AG30+AG31+AG52+AG53+AG54+AG55+AG56+AG57+AG58+AG59+AG60+AG61+AG62+AG63+AG64+AG65+AG66+AG67+AG68+AG69+AG70+AG71+AG80+AG81+AG82+AG83+AG84</f>
        <v>107093.75675675676</v>
      </c>
      <c r="AH139" s="340"/>
      <c r="AI139" s="675">
        <f>AI4+AI5+AI8+AI9+AI10+AI11+AI12+AI13+AI14+AI15+AI16+AI17+AI18+AI19+AI20+AI21+AI22+AI23+AI25+AI26+AI27+AI28+AI29+AI30+AI31+AI52+AI53+AI54+AI55+AI56+AI57+AI58+AI59+AI60+AI61+AI62+AI63+AI64+AI65+AI66+AI67+AI68+AI69+AI70+AI71+AI80+AI81+AI82+AI83+AI84</f>
        <v>754089.52963870286</v>
      </c>
      <c r="AJ139" s="343"/>
      <c r="AK139" s="350"/>
      <c r="AL139" s="350"/>
      <c r="AM139" s="350"/>
    </row>
    <row r="140" spans="1:54">
      <c r="H140" s="529" t="s">
        <v>436</v>
      </c>
      <c r="I140" s="677">
        <f t="shared" ref="I140:N140" si="119">I6+I7+I24+I32+I33+I34+I35+I36+I37+I38+I39+I40+I41+I42+I43+I44+I45+I46+I47+I48+I49+I50+I51+I72+I73+I74+I75+I76+I77+I78+I79+I111+I112+I113+I114+I115+I116+I117</f>
        <v>4534381</v>
      </c>
      <c r="J140" s="677">
        <f t="shared" si="119"/>
        <v>5480152.2000000002</v>
      </c>
      <c r="K140" s="677">
        <f t="shared" si="119"/>
        <v>16500</v>
      </c>
      <c r="L140" s="677">
        <f t="shared" si="119"/>
        <v>24000</v>
      </c>
      <c r="M140" s="677">
        <f t="shared" si="119"/>
        <v>10055033.200000001</v>
      </c>
      <c r="N140" s="263">
        <f t="shared" si="119"/>
        <v>835</v>
      </c>
      <c r="O140" s="342"/>
      <c r="P140" s="677"/>
      <c r="Q140" s="677">
        <f>Q6+Q7+Q24+Q32+Q33+Q34+Q35+Q36+Q37+Q38+Q39+Q40+Q41+Q42+Q43+Q44+Q45+Q46+Q47+Q48+Q49+Q50+Q51+Q72+Q73+Q74+Q75+Q76+Q77+Q78+Q79+Q111+Q112+Q113+Q114+Q115+Q116+Q117</f>
        <v>50382.038375291551</v>
      </c>
      <c r="R140" s="677"/>
      <c r="S140" s="677">
        <f>S6+S7+S24+S32+S33+S34+S35+S36+S37+S38+S39+S40+S41+S42+S43+S44+S45+S46+S47+S48+S49+S50+S51+S72+S73+S74+S75+S76+S77+S78+S79+S111+S112+S113+S114+S115+S116+S117</f>
        <v>9408.7969659540177</v>
      </c>
      <c r="T140" s="677"/>
      <c r="U140" s="677">
        <f>U6+U7+U24+U32+U33+U34+U35+U36+U37+U38+U39+U40+U41+U42+U43+U44+U45+U46+U47+U48+U49+U50+U51+U72+U73+U74+U75+U76+U77+U78+U79+U111+U112+U113+U114+U115+U116+U117</f>
        <v>11002.124358274657</v>
      </c>
      <c r="V140" s="677"/>
      <c r="W140" s="677">
        <f>W6+W7+W24+W32+W33+W34+W35+W36+W37+W38+W39+W40+W41+W42+W43+W44+W45+W46+W47+W48+W49+W50+W51+W72+W73+W74+W75+W76+W77+W78+W79+W111+W112+W113+W114+W115+W116+W117</f>
        <v>11684.978954983502</v>
      </c>
      <c r="X140" s="677"/>
      <c r="Y140" s="677">
        <f>Y6+Y7+Y24+Y32+Y33+Y34+Y35+Y36+Y37+Y38+Y39+Y40+Y41+Y42+Y43+Y44+Y45+Y46+Y47+Y48+Y49+Y50+Y51+Y72+Y73+Y74+Y75+Y76+Y77+Y78+Y79+Y111+Y112+Y113+Y114+Y115+Y116+Y117</f>
        <v>691.95932466496424</v>
      </c>
      <c r="Z140" s="340"/>
      <c r="AA140" s="677"/>
      <c r="AB140" s="677">
        <f>AB6+AB7+AB24+AB32+AB33+AB34+AB35+AB36+AB37+AB38+AB39+AB40+AB41+AB42+AB43+AB44+AB45+AB46+AB47+AB48+AB49+AB50+AB51+AB72+AB73+AB74+AB75+AB76+AB77+AB78+AB79+AB111+AB112+AB113+AB114+AB115+AB116+AB117</f>
        <v>43130.341752967921</v>
      </c>
      <c r="AC140" s="677"/>
      <c r="AD140" s="677">
        <f>AD6+AD7+AD24+AD32+AD33+AD34+AD35+AD36+AD37+AD38+AD39+AD40+AD41+AD42+AD43+AD44+AD45+AD46+AD47+AD48+AD49+AD50+AD51+AD72+AD73+AD74+AD75+AD76+AD77+AD78+AD79+AD111+AD112+AD113+AD114+AD115+AD116+AD117</f>
        <v>814.49659004799184</v>
      </c>
      <c r="AE140" s="340"/>
      <c r="AF140" s="677"/>
      <c r="AG140" s="677">
        <f>AG6+AG7+AG24+AG32+AG33+AG34+AG35+AG36+AG37+AG38+AG39+AG40+AG41+AG42+AG43+AG44+AG45+AG46+AG47+AG48+AG49+AG50+AG51+AG72+AG73+AG74+AG75+AG76+AG77+AG78+AG79+AG111+AG112+AG113+AG114+AG115+AG116+AG117</f>
        <v>24073.707249305378</v>
      </c>
      <c r="AH140" s="340"/>
      <c r="AI140" s="677">
        <f>AI6+AI7+AI24+AI32+AI33+AI34+AI35+AI36+AI37+AI38+AI39+AI40+AI41+AI42+AI43+AI44+AI45+AI46+AI47+AI48+AI49+AI50+AI51+AI72+AI73+AI74+AI75+AI76+AI77+AI78+AI79+AI111+AI112+AI113+AI114+AI115+AI116+AI117</f>
        <v>268648.62160490826</v>
      </c>
      <c r="AJ140" s="343"/>
      <c r="AK140" s="350"/>
      <c r="AL140" s="350"/>
      <c r="AM140" s="350"/>
    </row>
    <row r="141" spans="1:54">
      <c r="H141" s="835" t="s">
        <v>530</v>
      </c>
      <c r="I141" s="679">
        <f t="shared" ref="I141:N141" si="120">I85+I86+I87+I88+I89+I90+I91+I92+I93+I94+I95+I96+I97+I98+I99+I100+I101+I102+I103+I104+I105+I106+I107+I109+I110+I118+I119+I120</f>
        <v>4342475</v>
      </c>
      <c r="J141" s="679">
        <f t="shared" si="120"/>
        <v>3388734.36</v>
      </c>
      <c r="K141" s="679">
        <f t="shared" si="120"/>
        <v>0</v>
      </c>
      <c r="L141" s="679">
        <f t="shared" si="120"/>
        <v>0</v>
      </c>
      <c r="M141" s="679">
        <f t="shared" si="120"/>
        <v>7731209.3599999994</v>
      </c>
      <c r="N141" s="339">
        <f t="shared" si="120"/>
        <v>1091</v>
      </c>
      <c r="O141" s="342"/>
      <c r="P141" s="679"/>
      <c r="Q141" s="679">
        <f>Q85+Q86+Q87+Q88+Q89+Q90+Q91+Q92+Q93+Q94+Q95+Q96+Q97+Q98+Q99+Q100+Q101+Q102+Q103+Q104+Q105+Q106+Q107+Q109+Q110+Q118+Q119+Q120</f>
        <v>94550.93709601427</v>
      </c>
      <c r="R141" s="679"/>
      <c r="S141" s="679">
        <f>S85+S86+S87+S88+S89+S90+S91+S92+S93+S94+S95+S96+S97+S98+S99+S100+S101+S102+S103+S104+S105+S106+S107+S109+S110+S118+S119+S120</f>
        <v>11608.859544103228</v>
      </c>
      <c r="T141" s="679"/>
      <c r="U141" s="679">
        <f>U85+U86+U87+U88+U89+U90+U91+U92+U93+U94+U95+U96+U97+U98+U99+U100+U101+U102+U103+U104+U105+U106+U107+U109+U110+U118+U119+U120</f>
        <v>13574.755287432949</v>
      </c>
      <c r="V141" s="679"/>
      <c r="W141" s="679">
        <f>W85+W86+W87+W88+W89+W90+W91+W92+W93+W94+W95+W96+W97+W98+W99+W100+W101+W102+W103+W104+W105+W106+W107+W109+W110+W118+W119+W120</f>
        <v>14417.282034574257</v>
      </c>
      <c r="X141" s="679"/>
      <c r="Y141" s="679">
        <f>Y85+Y86+Y87+Y88+Y89+Y90+Y91+Y92+Y93+Y94+Y95+Y96+Y97+Y98+Y99+Y100+Y101+Y102+Y103+Y104+Y105+Y106+Y107+Y109+Y110+Y118+Y119+Y120</f>
        <v>853.76043710319254</v>
      </c>
      <c r="Z141" s="340"/>
      <c r="AA141" s="679"/>
      <c r="AB141" s="679">
        <f>AB85+AB86+AB87+AB88+AB89+AB90+AB91+AB92+AB93+AB94+AB95+AB96+AB97+AB98+AB99+AB100+AB101+AB102+AB103+AB104+AB105+AB106+AB107+AB109+AB110+AB118+AB119+AB120</f>
        <v>102965.43293761052</v>
      </c>
      <c r="AC141" s="679"/>
      <c r="AD141" s="679">
        <f>AD85+AD86+AD87+AD88+AD89+AD90+AD91+AD92+AD93+AD94+AD95+AD96+AD97+AD98+AD99+AD100+AD101+AD102+AD103+AD104+AD105+AD106+AD107+AD109+AD110+AD118+AD119+AD120</f>
        <v>1944.454660267744</v>
      </c>
      <c r="AE141" s="340"/>
      <c r="AF141" s="679"/>
      <c r="AG141" s="679">
        <f>AG85+AG86+AG87+AG88+AG89+AG90+AG91+AG92+AG93+AG94+AG95+AG96+AG97+AG98+AG99+AG100+AG101+AG102+AG103+AG104+AG105+AG106+AG107+AG109+AG110+AG118+AG119+AG120</f>
        <v>57471.366759282646</v>
      </c>
      <c r="AH141" s="340"/>
      <c r="AI141" s="679">
        <f>AI85+AI86+AI87+AI88+AI89+AI90+AI91+AI92+AI93+AI94+AI95+AI96+AI97+AI98+AI99+AI100+AI101+AI102+AI103+AI104+AI105+AI106+AI107+AI109+AI110+AI118+AI119+AI120</f>
        <v>297386.84875638876</v>
      </c>
      <c r="AJ141" s="343"/>
      <c r="AK141" s="350"/>
      <c r="AL141" s="350"/>
      <c r="AM141" s="350"/>
    </row>
    <row r="142" spans="1:54" ht="4.1500000000000004" customHeight="1">
      <c r="H142" s="337"/>
      <c r="I142" s="337"/>
      <c r="J142" s="337"/>
      <c r="K142" s="337"/>
      <c r="L142" s="337"/>
      <c r="M142" s="337"/>
      <c r="N142" s="242"/>
      <c r="O142" s="344"/>
      <c r="P142" s="242"/>
      <c r="Q142" s="341"/>
      <c r="R142" s="341"/>
      <c r="S142" s="341"/>
      <c r="T142" s="341"/>
      <c r="U142" s="341"/>
      <c r="V142" s="341"/>
      <c r="W142" s="341"/>
      <c r="X142" s="341"/>
      <c r="Y142" s="341"/>
      <c r="Z142" s="242"/>
      <c r="AA142" s="242"/>
      <c r="AB142" s="242"/>
      <c r="AC142" s="242"/>
      <c r="AD142" s="242"/>
      <c r="AE142" s="242"/>
      <c r="AF142" s="242"/>
      <c r="AG142" s="242"/>
      <c r="AH142" s="242"/>
      <c r="AI142" s="242"/>
      <c r="AJ142" s="345"/>
    </row>
    <row r="143" spans="1:54" ht="14.65" thickBot="1">
      <c r="H143" s="836" t="s">
        <v>727</v>
      </c>
      <c r="I143" s="837">
        <f>SUM(I139:I142)</f>
        <v>17147961</v>
      </c>
      <c r="J143" s="837">
        <f t="shared" ref="J143:AI143" si="121">SUM(J139:J142)</f>
        <v>27205999.869999997</v>
      </c>
      <c r="K143" s="837">
        <f t="shared" si="121"/>
        <v>16500</v>
      </c>
      <c r="L143" s="837">
        <f t="shared" si="121"/>
        <v>24000</v>
      </c>
      <c r="M143" s="837">
        <f t="shared" si="121"/>
        <v>44394460.869999997</v>
      </c>
      <c r="N143" s="838">
        <f t="shared" si="121"/>
        <v>3959</v>
      </c>
      <c r="O143" s="680">
        <f t="shared" si="121"/>
        <v>0</v>
      </c>
      <c r="P143" s="889"/>
      <c r="Q143" s="889">
        <f t="shared" si="121"/>
        <v>461142.85153543</v>
      </c>
      <c r="R143" s="889"/>
      <c r="S143" s="889">
        <f t="shared" si="121"/>
        <v>59841.555568392956</v>
      </c>
      <c r="T143" s="889"/>
      <c r="U143" s="889">
        <f t="shared" si="121"/>
        <v>69975.389897182758</v>
      </c>
      <c r="V143" s="889"/>
      <c r="W143" s="889">
        <f t="shared" si="121"/>
        <v>74318.461752378411</v>
      </c>
      <c r="X143" s="889"/>
      <c r="Y143" s="889">
        <f t="shared" si="121"/>
        <v>4400.9794799315778</v>
      </c>
      <c r="Z143" s="681">
        <f t="shared" si="121"/>
        <v>0</v>
      </c>
      <c r="AA143" s="889"/>
      <c r="AB143" s="889">
        <f t="shared" si="121"/>
        <v>337964.45036625408</v>
      </c>
      <c r="AC143" s="889"/>
      <c r="AD143" s="889">
        <f t="shared" ref="AD143" si="122">SUM(AD139:AD142)</f>
        <v>6382.3026016670874</v>
      </c>
      <c r="AE143" s="681">
        <f t="shared" si="121"/>
        <v>0</v>
      </c>
      <c r="AF143" s="889"/>
      <c r="AG143" s="889">
        <f t="shared" si="121"/>
        <v>188638.83076534478</v>
      </c>
      <c r="AH143" s="681">
        <f t="shared" si="121"/>
        <v>0</v>
      </c>
      <c r="AI143" s="890">
        <f t="shared" si="121"/>
        <v>1320125</v>
      </c>
      <c r="AJ143" s="346"/>
      <c r="AK143" s="350"/>
      <c r="AL143" s="350"/>
      <c r="AM143" s="350"/>
    </row>
    <row r="144" spans="1:54">
      <c r="I144" s="249"/>
    </row>
    <row r="145" spans="8:38">
      <c r="P145" s="3" t="s">
        <v>721</v>
      </c>
      <c r="Q145" s="839" t="s">
        <v>728</v>
      </c>
      <c r="R145" s="840"/>
    </row>
    <row r="146" spans="8:38">
      <c r="P146" s="249">
        <f>504004+26250</f>
        <v>530254</v>
      </c>
      <c r="Q146" s="249">
        <v>504004</v>
      </c>
      <c r="R146" s="249"/>
      <c r="S146" s="249"/>
      <c r="T146" s="249"/>
      <c r="U146" s="249"/>
      <c r="V146" s="249"/>
      <c r="W146" s="249"/>
      <c r="X146" s="249"/>
      <c r="AA146" s="419"/>
      <c r="AC146" s="419"/>
      <c r="AF146" s="419"/>
      <c r="AI146" s="419"/>
      <c r="AK146" s="3"/>
      <c r="AL146" s="3"/>
    </row>
    <row r="147" spans="8:38">
      <c r="P147" s="249">
        <v>65104</v>
      </c>
      <c r="Q147" s="249">
        <v>65104</v>
      </c>
    </row>
    <row r="148" spans="8:38">
      <c r="P148" s="249">
        <v>76129</v>
      </c>
      <c r="Q148" s="249">
        <v>76129</v>
      </c>
    </row>
    <row r="149" spans="8:38">
      <c r="P149" s="492">
        <v>80854</v>
      </c>
      <c r="Q149" s="492">
        <v>80854</v>
      </c>
      <c r="S149" s="496"/>
    </row>
    <row r="150" spans="8:38">
      <c r="P150" s="249">
        <f>SUM(P146:P149)</f>
        <v>752341</v>
      </c>
      <c r="Q150" s="249">
        <f>SUM(Q146:Q149)</f>
        <v>726091</v>
      </c>
    </row>
    <row r="151" spans="8:38">
      <c r="H151" s="841" t="s">
        <v>729</v>
      </c>
    </row>
    <row r="152" spans="8:38">
      <c r="H152" t="s">
        <v>730</v>
      </c>
      <c r="P152" s="419">
        <f>SUM(P146:P151)</f>
        <v>1504682</v>
      </c>
      <c r="Q152" s="5" t="s">
        <v>731</v>
      </c>
      <c r="R152" s="5"/>
      <c r="S152" s="5"/>
      <c r="T152" s="5"/>
      <c r="U152" s="5"/>
      <c r="V152" s="5"/>
      <c r="W152" s="5"/>
    </row>
    <row r="153" spans="8:38">
      <c r="H153" t="s">
        <v>732</v>
      </c>
      <c r="P153" s="842">
        <v>26250</v>
      </c>
      <c r="Q153" s="839" t="s">
        <v>733</v>
      </c>
      <c r="R153" s="839"/>
      <c r="S153" s="839"/>
      <c r="T153" s="839"/>
      <c r="U153" s="839"/>
      <c r="V153" s="839"/>
      <c r="W153" s="839"/>
      <c r="X153" s="840"/>
      <c r="Y153" s="428"/>
      <c r="Z153" s="429"/>
      <c r="AA153" s="429"/>
      <c r="AB153" s="429"/>
      <c r="AC153" s="429"/>
    </row>
    <row r="154" spans="8:38">
      <c r="H154" t="s">
        <v>734</v>
      </c>
      <c r="P154" s="419">
        <f>P152+P153</f>
        <v>1530932</v>
      </c>
      <c r="Q154" s="5" t="s">
        <v>735</v>
      </c>
      <c r="R154" s="5"/>
      <c r="S154" s="5"/>
      <c r="T154" s="5"/>
      <c r="U154" s="5"/>
      <c r="V154" s="5"/>
      <c r="W154" s="5"/>
    </row>
    <row r="155" spans="8:38">
      <c r="H155" t="s">
        <v>736</v>
      </c>
    </row>
    <row r="156" spans="8:38">
      <c r="H156" s="497" t="s">
        <v>737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8b946ec2-561f-4a03-a63a-0eab221a5776" xsi:nil="true"/>
    <PropertyShortName xmlns="8b946ec2-561f-4a03-a63a-0eab221a577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3F35BBD7BE847B1FE9D41E83E62E1" ma:contentTypeVersion="5" ma:contentTypeDescription="Create a new document." ma:contentTypeScope="" ma:versionID="4de38bc70b46bf211a8bca91ccacfa73">
  <xsd:schema xmlns:xsd="http://www.w3.org/2001/XMLSchema" xmlns:xs="http://www.w3.org/2001/XMLSchema" xmlns:p="http://schemas.microsoft.com/office/2006/metadata/properties" xmlns:ns2="8b946ec2-561f-4a03-a63a-0eab221a5776" targetNamespace="http://schemas.microsoft.com/office/2006/metadata/properties" ma:root="true" ma:fieldsID="163cbbbd2a2baced66042b4a09b3616a" ns2:_="">
    <xsd:import namespace="8b946ec2-561f-4a03-a63a-0eab221a5776"/>
    <xsd:element name="properties">
      <xsd:complexType>
        <xsd:sequence>
          <xsd:element name="documentManagement">
            <xsd:complexType>
              <xsd:all>
                <xsd:element ref="ns2:PropertyShortName" minOccurs="0"/>
                <xsd:element ref="ns2:DocumentType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46ec2-561f-4a03-a63a-0eab221a5776" elementFormDefault="qualified">
    <xsd:import namespace="http://schemas.microsoft.com/office/2006/documentManagement/types"/>
    <xsd:import namespace="http://schemas.microsoft.com/office/infopath/2007/PartnerControls"/>
    <xsd:element name="PropertyShortName" ma:index="8" nillable="true" ma:displayName="Property Short Name" ma:format="Dropdown" ma:internalName="PropertyShortName">
      <xsd:simpleType>
        <xsd:restriction base="dms:Choice">
          <xsd:enumeration value="JBJ"/>
          <xsd:enumeration value="GO"/>
          <xsd:enumeration value="A2Z"/>
          <xsd:enumeration value="PC"/>
          <xsd:enumeration value="KEET"/>
          <xsd:enumeration value="BOVI"/>
          <xsd:enumeration value="BOVII"/>
          <xsd:enumeration value="POBOVI"/>
          <xsd:enumeration value="POBOVII"/>
          <xsd:enumeration value="ARD"/>
          <xsd:enumeration value="AMER"/>
          <xsd:enumeration value="APPLE"/>
          <xsd:enumeration value="AW"/>
          <xsd:enumeration value="Choice 14"/>
        </xsd:restriction>
      </xsd:simpleType>
    </xsd:element>
    <xsd:element name="DocumentType" ma:index="9" nillable="true" ma:displayName="Document Type" ma:format="Dropdown" ma:internalName="DocumentType">
      <xsd:simpleType>
        <xsd:restriction base="dms:Choice">
          <xsd:enumeration value="Cert of Formation"/>
          <xsd:enumeration value="EIN Letter"/>
          <xsd:enumeration value="LLC Agreeement"/>
          <xsd:enumeration value="Cert of Registration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B70D7B-DA35-4989-B8BF-DD7077C72AD6}"/>
</file>

<file path=customXml/itemProps2.xml><?xml version="1.0" encoding="utf-8"?>
<ds:datastoreItem xmlns:ds="http://schemas.openxmlformats.org/officeDocument/2006/customXml" ds:itemID="{07FF5487-E0FC-4035-8CC3-3C1A1470BE47}"/>
</file>

<file path=customXml/itemProps3.xml><?xml version="1.0" encoding="utf-8"?>
<ds:datastoreItem xmlns:ds="http://schemas.openxmlformats.org/officeDocument/2006/customXml" ds:itemID="{0859F89F-9830-43D3-8A3A-3BC8872A5559}"/>
</file>

<file path=docMetadata/LabelInfo.xml><?xml version="1.0" encoding="utf-8"?>
<clbl:labelList xmlns:clbl="http://schemas.microsoft.com/office/2020/mipLabelMetadata">
  <clbl:label id="{0563e81f-e9eb-4f5c-82d9-740d884c8835}" enabled="0" method="" siteId="{0563e81f-e9eb-4f5c-82d9-740d884c88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Jacqueline Davis</dc:creator>
  <cp:keywords/>
  <dc:description/>
  <cp:lastModifiedBy>Moe Mehmood</cp:lastModifiedBy>
  <cp:revision/>
  <dcterms:created xsi:type="dcterms:W3CDTF">2025-04-08T13:17:16Z</dcterms:created>
  <dcterms:modified xsi:type="dcterms:W3CDTF">2026-04-09T22:07:13Z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0x010100E233F35BBD7BE847B1FE9D41E83E62E1</vt:lpwstr>
  </property>
  <property fmtid="{D5CDD505-2E9C-101B-9397-08002B2CF9AE}" pid="3" name="MediaServiceImageTags">
    <vt:lpwstr/>
  </property>
</Properties>
</file>